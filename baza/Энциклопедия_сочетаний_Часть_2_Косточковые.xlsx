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6b9c48c75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 проекте" sheetId="1" r:id="Rd4d4c422658f47ed"/>
    <x:sheet xmlns:r="http://schemas.openxmlformats.org/officeDocument/2006/relationships" name="Все сочетания" sheetId="2" r:id="R22e47fc013644cf1"/>
    <x:sheet xmlns:r="http://schemas.openxmlformats.org/officeDocument/2006/relationships" name="Напитки" sheetId="3" r:id="Rb184d439202e4017"/>
    <x:sheet xmlns:r="http://schemas.openxmlformats.org/officeDocument/2006/relationships" name="Еда" sheetId="4" r:id="Re47c4e4a7fd5441c"/>
    <x:sheet xmlns:r="http://schemas.openxmlformats.org/officeDocument/2006/relationships" name="Десерты" sheetId="5" r:id="Rd3f96fa98e35423f"/>
    <x:sheet xmlns:r="http://schemas.openxmlformats.org/officeDocument/2006/relationships" name="Соусы и маринады" sheetId="6" r:id="R0f61d942b26343ce"/>
    <x:sheet xmlns:r="http://schemas.openxmlformats.org/officeDocument/2006/relationships" name="Паспорта косточковых" sheetId="7" r:id="R983999ac485d4a66"/>
    <x:sheet xmlns:r="http://schemas.openxmlformats.org/officeDocument/2006/relationships" name="ТОП партнёров" sheetId="8" r:id="R52477540778742dc"/>
    <x:sheet xmlns:r="http://schemas.openxmlformats.org/officeDocument/2006/relationships" name="Безопасность косточек" sheetId="9" r:id="R0008852b41de4ad1"/>
    <x:sheet xmlns:r="http://schemas.openxmlformats.org/officeDocument/2006/relationships" name="Ингредиенты" sheetId="10" r:id="Ra7e70697b1664e49"/>
    <x:sheet xmlns:r="http://schemas.openxmlformats.org/officeDocument/2006/relationships" name="Молекулы" sheetId="11" r:id="Raf014bd5d01e4819"/>
    <x:sheet xmlns:r="http://schemas.openxmlformats.org/officeDocument/2006/relationships" name="Методика" sheetId="12" r:id="R2d13682056784c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sz val="10"/>
      <x:color rgb="FF5A3743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9"/>
      <x:color rgb="FF4A2233"/>
      <x:name val="Carlito"/>
    </x:font>
    <x:font>
      <x:b/>
      <x:sz val="11"/>
      <x:color rgb="FF4A2233"/>
      <x:name val="Carlito"/>
    </x:font>
    <x:font>
      <x:sz val="9"/>
      <x:color rgb="FF5A434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A2233"/>
      </x:patternFill>
    </x:fill>
    <x:fill>
      <x:patternFill patternType="solid">
        <x:fgColor rgb="FFF7EEE8"/>
      </x:patternFill>
    </x:fill>
    <x:fill>
      <x:patternFill patternType="solid">
        <x:fgColor rgb="FF7C3F55"/>
      </x:patternFill>
    </x:fill>
    <x:fill>
      <x:patternFill patternType="solid">
        <x:fgColor rgb="FFE9D5CC"/>
      </x:patternFill>
    </x:fill>
    <x:fill>
      <x:patternFill patternType="solid">
        <x:fgColor rgb="FFFBF7F4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7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f3f1bbcac4719" /><Relationship Type="http://schemas.openxmlformats.org/officeDocument/2006/relationships/theme" Target="/xl/theme/theme1.xml" Id="R90613358e4b14da9" /><Relationship Type="http://schemas.openxmlformats.org/officeDocument/2006/relationships/sharedStrings" Target="/xl/sharedStrings.xml" Id="R7a115563dec34fe8" /><Relationship Type="http://schemas.openxmlformats.org/officeDocument/2006/relationships/worksheet" Target="/xl/worksheets/sheet1.xml" Id="Rd4d4c422658f47ed" /><Relationship Type="http://schemas.openxmlformats.org/officeDocument/2006/relationships/worksheet" Target="/xl/worksheets/sheet2.xml" Id="R22e47fc013644cf1" /><Relationship Type="http://schemas.openxmlformats.org/officeDocument/2006/relationships/worksheet" Target="/xl/worksheets/sheet3.xml" Id="Rb184d439202e4017" /><Relationship Type="http://schemas.openxmlformats.org/officeDocument/2006/relationships/worksheet" Target="/xl/worksheets/sheet4.xml" Id="Re47c4e4a7fd5441c" /><Relationship Type="http://schemas.openxmlformats.org/officeDocument/2006/relationships/worksheet" Target="/xl/worksheets/sheet5.xml" Id="Rd3f96fa98e35423f" /><Relationship Type="http://schemas.openxmlformats.org/officeDocument/2006/relationships/worksheet" Target="/xl/worksheets/sheet6.xml" Id="R0f61d942b26343ce" /><Relationship Type="http://schemas.openxmlformats.org/officeDocument/2006/relationships/worksheet" Target="/xl/worksheets/sheet7.xml" Id="R983999ac485d4a66" /><Relationship Type="http://schemas.openxmlformats.org/officeDocument/2006/relationships/worksheet" Target="/xl/worksheets/sheet8.xml" Id="R52477540778742dc" /><Relationship Type="http://schemas.openxmlformats.org/officeDocument/2006/relationships/worksheet" Target="/xl/worksheets/sheet9.xml" Id="R0008852b41de4ad1" /><Relationship Type="http://schemas.openxmlformats.org/officeDocument/2006/relationships/worksheet" Target="/xl/worksheets/sheet10.xml" Id="Ra7e70697b1664e49" /><Relationship Type="http://schemas.openxmlformats.org/officeDocument/2006/relationships/worksheet" Target="/xl/worksheets/sheet11.xml" Id="Raf014bd5d01e4819" /><Relationship Type="http://schemas.openxmlformats.org/officeDocument/2006/relationships/worksheet" Target="/xl/worksheets/sheet12.xml" Id="R2d13682056784c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bc1fce382c422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Насыщенность разделов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 пар</c:v>
          </c:tx>
          <c:cat>
            <c:strRef>
              <c:f>'О проекте'!$A$16:$A$23</c:f>
              <c:strCache>
                <c:ptCount val="0"/>
              </c:strCache>
            </c:strRef>
          </c:cat>
          <c:val>
            <c:numRef>
              <c:f>'О проекте'!$B$16:$B$23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bc1fce382c422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oneFruitPairsTable" displayName="StoneFruitPairsTable" ref="A1:AF467" headerRowCount="1">
  <x:tableColumns count="32">
    <x:tableColumn id="1" name="ID"/>
    <x:tableColumn id="2" name="Базовый ингредиент"/>
    <x:tableColumn id="3" name="Основной раздел"/>
    <x:tableColumn id="4" name="Ингредиент 1"/>
    <x:tableColumn id="5" name="Оригинал 1"/>
    <x:tableColumn id="6" name="Группа 1"/>
    <x:tableColumn id="7" name="Ингредиент 2"/>
    <x:tableColumn id="8" name="Оригинал 2"/>
    <x:tableColumn id="9" name="Группа 2"/>
    <x:tableColumn id="10" name="Аромапрофиль 1"/>
    <x:tableColumn id="11" name="Аромапрофиль 2"/>
    <x:tableColumn id="12" name="Ключевые соединения 1"/>
    <x:tableColumn id="13" name="Ключевые соединения 2"/>
    <x:tableColumn id="14" name="Общий ароматический мост"/>
    <x:tableColumn id="15" name="Общие соединения"/>
    <x:tableColumn id="16" name="Тип механизма"/>
    <x:tableColumn id="17" name="Вкусовое взаимодействие"/>
    <x:tableColumn id="18" name="Тройничный эффект"/>
    <x:tableColumn id="19" name="Матрица и растворимость"/>
    <x:tableColumn id="20" name="Влияние обработки"/>
    <x:tableColumn id="21" name="Подробное научное объяснение"/>
    <x:tableColumn id="22" name="Критические точки"/>
    <x:tableColumn id="23" name="Ингредиент-мост"/>
    <x:tableColumn id="24" name="Практическое применение"/>
    <x:tableColumn id="25" name="Теги применения"/>
    <x:tableColumn id="26" name="Уверенность"/>
    <x:tableColumn id="27" name="Источники"/>
    <x:tableColumn id="28" name="Страницы"/>
    <x:tableColumn id="29" name="Основание из источника"/>
    <x:tableColumn id="30" name="Число источников"/>
    <x:tableColumn id="31" name="Число записей"/>
    <x:tableColumn id="32" name="Балл"/>
  </x:tableColumns>
  <x:tableStyleInfo name="TableStyleMedium2" showRowStripes="1"/>
</x:table>
</file>

<file path=xl/tables/table2.xml><?xml version="1.0" encoding="utf-8"?>
<x:table xmlns:x="http://schemas.openxmlformats.org/spreadsheetml/2006/main" id="2" name="StoneDrinksTable" displayName="StoneDrinksTable" ref="A1:M307" headerRowCount="1">
  <x:tableColumns count="13">
    <x:tableColumn id="1" name="ID"/>
    <x:tableColumn id="2" name="Базовый ингредиент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3.xml><?xml version="1.0" encoding="utf-8"?>
<x:table xmlns:x="http://schemas.openxmlformats.org/spreadsheetml/2006/main" id="3" name="StoneFoodTable" displayName="StoneFoodTable" ref="A1:M389" headerRowCount="1">
  <x:tableColumns count="13">
    <x:tableColumn id="1" name="ID"/>
    <x:tableColumn id="2" name="Базовый ингредиент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4.xml><?xml version="1.0" encoding="utf-8"?>
<x:table xmlns:x="http://schemas.openxmlformats.org/spreadsheetml/2006/main" id="4" name="StoneDessertsTable" displayName="StoneDessertsTable" ref="A1:M351" headerRowCount="1">
  <x:tableColumns count="13">
    <x:tableColumn id="1" name="ID"/>
    <x:tableColumn id="2" name="Базовый ингредиент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5.xml><?xml version="1.0" encoding="utf-8"?>
<x:table xmlns:x="http://schemas.openxmlformats.org/spreadsheetml/2006/main" id="5" name="StoneSaucesTable" displayName="StoneSaucesTable" ref="A1:M387" headerRowCount="1">
  <x:tableColumns count="13">
    <x:tableColumn id="1" name="ID"/>
    <x:tableColumn id="2" name="Базовый ингредиент"/>
    <x:tableColumn id="3" name="Ингредиент 1"/>
    <x:tableColumn id="4" name="Партнёр"/>
    <x:tableColumn id="5" name="Группа партнёра"/>
    <x:tableColumn id="6" name="Тип механизма"/>
    <x:tableColumn id="7" name="Подробное научное объяснение"/>
    <x:tableColumn id="8" name="Обработка"/>
    <x:tableColumn id="9" name="Критические точки"/>
    <x:tableColumn id="10" name="Практическое применение"/>
    <x:tableColumn id="11" name="Уверенность"/>
    <x:tableColumn id="12" name="Источники"/>
    <x:tableColumn id="13" name="Страницы"/>
  </x:tableColumns>
  <x:tableStyleInfo name="TableStyleMedium2" showRowStripes="1"/>
</x:table>
</file>

<file path=xl/tables/table6.xml><?xml version="1.0" encoding="utf-8"?>
<x:table xmlns:x="http://schemas.openxmlformats.org/spreadsheetml/2006/main" id="6" name="StoneFruitPassportsTable" displayName="StoneFruitPassportsTable" ref="A1:J9" headerRowCount="1">
  <x:tableColumns count="10">
    <x:tableColumn id="1" name="Ингредиент"/>
    <x:tableColumn id="2" name="Группа"/>
    <x:tableColumn id="3" name="Ароматический профиль"/>
    <x:tableColumn id="4" name="Характерные соединения"/>
    <x:tableColumn id="5" name="Вкус и баланс"/>
    <x:tableColumn id="6" name="Матрица"/>
    <x:tableColumn id="7" name="Изменение при обработке"/>
    <x:tableColumn id="8" name="Рекомендуемые технологии"/>
    <x:tableColumn id="9" name="Критические точки"/>
    <x:tableColumn id="10" name="Количество пар"/>
  </x:tableColumns>
  <x:tableStyleInfo name="TableStyleMedium2" showRowStripes="1"/>
</x:table>
</file>

<file path=xl/tables/table7.xml><?xml version="1.0" encoding="utf-8"?>
<x:table xmlns:x="http://schemas.openxmlformats.org/spreadsheetml/2006/main" id="7" name="StoneTopPartnersTable" displayName="StoneTopPartnersTable" ref="A1:J126" headerRowCount="1">
  <x:tableColumns count="10">
    <x:tableColumn id="1" name="Косточковый ингредиент"/>
    <x:tableColumn id="2" name="Место"/>
    <x:tableColumn id="3" name="Партнёр"/>
    <x:tableColumn id="4" name="Балл"/>
    <x:tableColumn id="5" name="Уверенность"/>
    <x:tableColumn id="6" name="Число источников"/>
    <x:tableColumn id="7" name="Тип механизма"/>
    <x:tableColumn id="8" name="Применение"/>
    <x:tableColumn id="9" name="Источники"/>
    <x:tableColumn id="10" name="Страницы"/>
  </x:tableColumns>
  <x:tableStyleInfo name="TableStyleMedium2" showRowStripes="1"/>
</x:table>
</file>

<file path=xl/tables/table8.xml><?xml version="1.0" encoding="utf-8"?>
<x:table xmlns:x="http://schemas.openxmlformats.org/spreadsheetml/2006/main" id="8" name="StoneIngredientGlossaryTable" displayName="StoneIngredientGlossaryTable" ref="A1:I221" headerRowCount="1">
  <x:tableColumns count="9">
    <x:tableColumn id="1" name="Ингредиент"/>
    <x:tableColumn id="2" name="Группа"/>
    <x:tableColumn id="3" name="Аромапрофиль"/>
    <x:tableColumn id="4" name="Характерные соединения"/>
    <x:tableColumn id="5" name="Вкус"/>
    <x:tableColumn id="6" name="Тройничный эффект"/>
    <x:tableColumn id="7" name="Матрица"/>
    <x:tableColumn id="8" name="Комментарий по обработке"/>
    <x:tableColumn id="9" name="Количество пар"/>
  </x:tableColumns>
  <x:tableStyleInfo name="TableStyleMedium2" showRowStripes="1"/>
</x:table>
</file>

<file path=xl/tables/table9.xml><?xml version="1.0" encoding="utf-8"?>
<x:table xmlns:x="http://schemas.openxmlformats.org/spreadsheetml/2006/main" id="9" name="StoneMoleculeTable" displayName="StoneMoleculeTable" ref="A1:F18" headerRowCount="1">
  <x:tableColumns count="6">
    <x:tableColumn id="1" name="Соединение / группа"/>
    <x:tableColumn id="2" name="Класс"/>
    <x:tableColumn id="3" name="Аромат / эффект"/>
    <x:tableColumn id="4" name="Поведение и растворимость"/>
    <x:tableColumn id="5" name="Роль в сочетаниях"/>
    <x:tableColumn id="6" name="Критическая точк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693a1b92264c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483ce72b124a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5ec67e83d64f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bd03a2d6b84f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d2cfd6a4a442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b2b14201f04a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5d90c6aee447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8b26dae7b64d7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3d1437ed6e2947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3f6973078f4c9e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7" hidden="0" customWidth="1"/>
    <x:col min="3" max="3" width="39" hidden="0" customWidth="1"/>
    <x:col min="4" max="4" width="24" hidden="0" customWidth="1"/>
    <x:col min="5" max="5" width="15" hidden="0" customWidth="1"/>
    <x:col min="6" max="6" width="3" hidden="0" customWidth="1"/>
    <x:col min="7" max="7" width="34" hidden="0" customWidth="1"/>
    <x:col min="8" max="8" width="16" hidden="0" customWidth="1"/>
    <x:col min="9" max="9" width="14" hidden="0" customWidth="1"/>
    <x:col min="10" max="10" width="14" hidden="0" customWidth="1"/>
  </x:cols>
  <x:sheetData>
    <x:row r="1" ht="34" customHeight="1">
      <x:c r="A1" s="4" t="str">
        <x:v>ЭНЦИКЛОПЕДИЯ СОЧЕТАНИЙ ВКУСОВ — ЧАСТЬ 2: КОСТОЧКОВЫЕ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48" customHeight="1">
      <x:c r="A3" s="11" t="str">
        <x:v>Абрикос, персик, нектарин, слива, чернослив, мирабель, уме и плюмкот. Вишня и черешня уже разобраны в части 1Б «Ягоды», а манго, кокос и авокадо — в части 1В «Тропические и семечковые». В этой книге собраны уникальные пары из трёх PDF, удалены прямые дубли и добавлены научно-сенсорные механизмы, технологические ограничения и отдельный раздел по безопасности косточек.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48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6">
      <x:c r="A6" s="20" t="str">
        <x:v>Показатель</x:v>
      </x:c>
      <x:c r="B6" s="20" t="str">
        <x:v>Значение</x:v>
      </x:c>
      <x:c r="D6" s="20" t="str">
        <x:v>Основной раздел</x:v>
      </x:c>
      <x:c r="E6" s="20" t="str">
        <x:v>Количество</x:v>
      </x:c>
      <x:c r="G6" s="20" t="str">
        <x:v>Источник</x:v>
      </x:c>
      <x:c r="H6" s="20" t="str">
        <x:v>Пар в базе</x:v>
      </x:c>
    </x:row>
    <x:row r="7">
      <x:c r="A7" s="32" t="str">
        <x:v>Уникальных сочетаний</x:v>
      </x:c>
      <x:c r="B7" s="28" t="n">
        <x:f>COUNTA('Все сочетания'!A:A)-1</x:f>
        <x:v>466</x:v>
      </x:c>
      <x:c r="D7" s="28" t="str">
        <x:v>Напитки</x:v>
      </x:c>
      <x:c r="E7" s="28" t="n">
        <x:v>18</x:v>
      </x:c>
      <x:c r="G7" s="28" t="str">
        <x:v>Тезаурус вкусов</x:v>
      </x:c>
      <x:c r="H7" s="28" t="n">
        <x:v>31</x:v>
      </x:c>
    </x:row>
    <x:row r="8">
      <x:c r="A8" s="32" t="str">
        <x:v>Уникальных ингредиентов</x:v>
      </x:c>
      <x:c r="B8" s="28" t="n">
        <x:f>COUNTA('Ингредиенты'!A:A)-1</x:f>
        <x:v>220</x:v>
      </x:c>
      <x:c r="D8" s="28" t="str">
        <x:v>Еда и соусы</x:v>
      </x:c>
      <x:c r="E8" s="28" t="n">
        <x:v>98</x:v>
      </x:c>
      <x:c r="G8" s="28" t="str">
        <x:v>The Art &amp; Science of Foodpairing</x:v>
      </x:c>
      <x:c r="H8" s="28" t="n">
        <x:v>323</x:v>
      </x:c>
    </x:row>
    <x:row r="9">
      <x:c r="A9" s="32" t="str">
        <x:v>Исходных записей</x:v>
      </x:c>
      <x:c r="B9" s="28" t="n">
        <x:f>672</x:f>
        <x:v>672</x:v>
      </x:c>
      <x:c r="D9" s="28" t="str">
        <x:v>Десерты и выпечка</x:v>
      </x:c>
      <x:c r="E9" s="28" t="n">
        <x:v>122</x:v>
      </x:c>
      <x:c r="G9" s="28" t="str">
        <x:v>Таблица сочетаний</x:v>
      </x:c>
      <x:c r="H9" s="28" t="n">
        <x:v>155</x:v>
      </x:c>
    </x:row>
    <x:row r="10">
      <x:c r="A10" s="32" t="str">
        <x:v>Высокая уверенность</x:v>
      </x:c>
      <x:c r="B10" s="28" t="n">
        <x:f>COUNTIF('Все сочетания'!Z:Z,"Высокая")</x:f>
        <x:v>36</x:v>
      </x:c>
      <x:c r="D10" s="28" t="str">
        <x:v>Универсальные</x:v>
      </x:c>
      <x:c r="E10" s="28" t="n">
        <x:v>228</x:v>
      </x:c>
    </x:row>
    <x:row r="11">
      <x:c r="A11" s="32" t="str">
        <x:v>Средняя уверенность</x:v>
      </x:c>
      <x:c r="B11" s="28" t="n">
        <x:f>COUNTIF('Все сочетания'!Z:Z,"Средняя")</x:f>
        <x:v>303</x:v>
      </x:c>
    </x:row>
    <x:row r="12">
      <x:c r="A12" s="32" t="str">
        <x:v>Гипотеза / практическая</x:v>
      </x:c>
      <x:c r="B12" s="28" t="n">
        <x:f>COUNTIF('Все сочетания'!Z:Z,"Гипотеза / практическая")</x:f>
        <x:v>127</x:v>
      </x:c>
    </x:row>
    <x:row r="15">
      <x:c r="A15" s="20" t="str">
        <x:v>Косточковый ингредиент</x:v>
      </x:c>
      <x:c r="B15" s="20" t="str">
        <x:v>Количество пар</x:v>
      </x:c>
    </x:row>
    <x:row r="16">
      <x:c r="A16" s="28" t="str">
        <x:v>персик</x:v>
      </x:c>
      <x:c r="B16" s="28" t="n">
        <x:v>155</x:v>
      </x:c>
    </x:row>
    <x:row r="17">
      <x:c r="A17" s="28" t="str">
        <x:v>нектарин</x:v>
      </x:c>
      <x:c r="B17" s="28" t="n">
        <x:v>133</x:v>
      </x:c>
    </x:row>
    <x:row r="18">
      <x:c r="A18" s="28" t="str">
        <x:v>абрикос</x:v>
      </x:c>
      <x:c r="B18" s="28" t="n">
        <x:v>79</x:v>
      </x:c>
    </x:row>
    <x:row r="19">
      <x:c r="A19" s="28" t="str">
        <x:v>слива</x:v>
      </x:c>
      <x:c r="B19" s="28" t="n">
        <x:v>46</x:v>
      </x:c>
    </x:row>
    <x:row r="20">
      <x:c r="A20" s="28" t="str">
        <x:v>чернослив</x:v>
      </x:c>
      <x:c r="B20" s="28" t="n">
        <x:v>39</x:v>
      </x:c>
    </x:row>
    <x:row r="21">
      <x:c r="A21" s="28" t="str">
        <x:v>уме</x:v>
      </x:c>
      <x:c r="B21" s="28" t="n">
        <x:v>14</x:v>
      </x:c>
    </x:row>
    <x:row r="22">
      <x:c r="A22" s="28" t="str">
        <x:v>плюмкот</x:v>
      </x:c>
      <x:c r="B22" s="28" t="n">
        <x:v>10</x:v>
      </x:c>
    </x:row>
    <x:row r="23">
      <x:c r="A23" s="28" t="str">
        <x:v>мирабель</x:v>
      </x:c>
      <x:c r="B23" s="28" t="n">
        <x:v>1</x:v>
      </x:c>
    </x:row>
    <x:row r="32">
      <x:c r="A32" s="36" t="str">
        <x:v>КЛЮЧЕВАЯ НАУЧНАЯ ЛОГИКА</x:v>
      </x:c>
      <x:c r="B32" s="36"/>
      <x:c r="C32" s="36"/>
      <x:c r="D32" s="36"/>
      <x:c r="E32" s="36"/>
      <x:c r="F32" s="36"/>
      <x:c r="G32" s="36"/>
      <x:c r="H32" s="36"/>
      <x:c r="I32" s="36"/>
      <x:c r="J32" s="36"/>
    </x:row>
    <x:row r="33" ht="108" customHeight="1">
      <x:c r="A33" s="43" t="str">
        <x:v>• Лактоны формируют персиково-сливочный и кокосовый профиль персика, нектарина и абрикоса. Они гидрофобны, поэтому особенно хорошо проявляются в молочном жире, орехах и этаноле.
• Бензальдегид даёт миндально-марципановый запах и связывает мякоть и производные косточковых с миндалём, марципаном и частью пряностей. Однако образование бензальдегида из повреждённых косточек может сопровождаться выделением цианида.
• «Общая молекула» указывается только при совпадении рабочих профилей. В остальных случаях сочетание объясняется семействами ароматов, вкусом, тройничной чувствительностью и матрицей.
• Антоцианы тёмных слив отвечают за цвет и часть терпкости, но не являются источником сливового запаха.</x:v>
      </x:c>
      <x:c r="B33" s="43"/>
      <x:c r="C33" s="43"/>
      <x:c r="D33" s="43"/>
      <x:c r="E33" s="43"/>
      <x:c r="F33" s="43"/>
      <x:c r="G33" s="43"/>
      <x:c r="H33" s="43"/>
      <x:c r="I33" s="43"/>
      <x:c r="J33" s="43"/>
    </x:row>
    <x:row r="34" ht="108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</x:row>
    <x:row r="35" ht="108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</x:row>
    <x:row r="36" ht="108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</x:row>
    <x:row r="37" ht="108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</x:row>
    <x:row r="38" ht="108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</x:row>
    <x:row r="39" ht="108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</x:row>
    <x:row r="40" ht="108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</x:row>
    <x:row r="41" ht="108" customHeight="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</x:row>
    <x:row r="43">
      <x:c r="A43" s="36" t="str">
        <x:v>ИСТОЧНИКИ</x:v>
      </x:c>
      <x:c r="B43" s="36"/>
      <x:c r="C43" s="36"/>
      <x:c r="D43" s="36"/>
      <x:c r="E43" s="36"/>
      <x:c r="F43" s="36"/>
      <x:c r="G43" s="36"/>
      <x:c r="H43" s="36"/>
      <x:c r="I43" s="36"/>
      <x:c r="J43" s="36"/>
    </x:row>
    <x:row r="44">
      <x:c r="A44" s="20" t="str">
        <x:v>Файл</x:v>
      </x:c>
      <x:c r="B44" s="20" t="str">
        <x:v>Роль в базе</x:v>
      </x:c>
      <x:c r="C44" s="20" t="str">
        <x:v>Навигация</x:v>
      </x:c>
    </x:row>
    <x:row r="45">
      <x:c r="A45" s="28" t="str">
        <x:v>Тезариус вкусов (Ники Сегнит)(1).pdf</x:v>
      </x:c>
      <x:c r="B45" s="28" t="str">
        <x:v>Развёрнутые статьи, рецептуры, культурные и сенсорные наблюдения</x:v>
      </x:c>
      <x:c r="C45" s="28" t="str">
        <x:v>PDF-страницы в каждой строке</x:v>
      </x:c>
    </x:row>
    <x:row r="46">
      <x:c r="A46" s="28" t="str">
        <x:v>The Art &amp; Science of Foodpairing.pdf</x:v>
      </x:c>
      <x:c r="B46" s="28" t="str">
        <x:v>Аромапрофили, молекулы, прямые pairings и сетки связей</x:v>
      </x:c>
      <x:c r="C46" s="28" t="str">
        <x:v>PDF-страницы в каждой строке</x:v>
      </x:c>
    </x:row>
    <x:row r="47">
      <x:c r="A47" s="28" t="str">
        <x:v>Таблица сочетания(1).pdf</x:v>
      </x:c>
      <x:c r="B47" s="28" t="str">
        <x:v>Компактные рекомендованные сочетания</x:v>
      </x:c>
      <x:c r="C47" s="28" t="str">
        <x:v>PDF-страницы в каждой строке</x:v>
      </x:c>
    </x:row>
  </x:sheetData>
  <x:mergeCells>
    <x:mergeCell ref="A1:J2"/>
    <x:mergeCell ref="A3:J4"/>
    <x:mergeCell ref="A32:J32"/>
    <x:mergeCell ref="A33:J41"/>
    <x:mergeCell ref="A43:J43"/>
  </x:mergeCells>
  <x:pageMargins left="0.7" right="0.7" top="0.75" bottom="0.75" header="0.3" footer="0.3"/>
  <x:drawing xmlns:r="http://schemas.openxmlformats.org/officeDocument/2006/relationships" r:id="R12693a1b92264c1c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0" hidden="0" customWidth="1"/>
    <x:col min="4" max="4" width="25" hidden="0" customWidth="1"/>
    <x:col min="5" max="5" width="24" hidden="0" customWidth="1"/>
    <x:col min="6" max="6" width="26" hidden="0" customWidth="1"/>
    <x:col min="7" max="7" width="30" hidden="0" customWidth="1"/>
    <x:col min="8" max="8" width="31" hidden="0" customWidth="1"/>
    <x:col min="9" max="9" width="26" hidden="0" customWidth="1"/>
    <x:col min="10" max="10" width="34" hidden="0" customWidth="1"/>
    <x:col min="11" max="11" width="34" hidden="0" customWidth="1"/>
    <x:col min="12" max="12" width="39" hidden="0" customWidth="1"/>
    <x:col min="13" max="13" width="39" hidden="0" customWidth="1"/>
    <x:col min="14" max="14" width="35" hidden="0" customWidth="1"/>
    <x:col min="15" max="15" width="41" hidden="0" customWidth="1"/>
    <x:col min="16" max="16" width="36" hidden="0" customWidth="1"/>
    <x:col min="17" max="17" width="48" hidden="0" customWidth="1"/>
    <x:col min="18" max="18" width="43" hidden="0" customWidth="1"/>
    <x:col min="19" max="19" width="52" hidden="0" customWidth="1"/>
    <x:col min="20" max="20" width="54" hidden="0" customWidth="1"/>
    <x:col min="21" max="21" width="68" hidden="0" customWidth="1"/>
    <x:col min="22" max="22" width="54" hidden="0" customWidth="1"/>
    <x:col min="23" max="23" width="32" hidden="0" customWidth="1"/>
    <x:col min="24" max="24" width="48" hidden="0" customWidth="1"/>
    <x:col min="25" max="25" width="28" hidden="0" customWidth="1"/>
    <x:col min="26" max="26" width="22" hidden="0" customWidth="1"/>
    <x:col min="27" max="27" width="39" hidden="0" customWidth="1"/>
    <x:col min="28" max="28" width="46" hidden="0" customWidth="1"/>
    <x:col min="29" max="29" width="58" hidden="0" customWidth="1"/>
    <x:col min="30" max="30" width="14" hidden="0" customWidth="1"/>
    <x:col min="31" max="31" width="14" hidden="0" customWidth="1"/>
    <x:col min="32" max="32" width="11" hidden="0" customWidth="1"/>
  </x:cols>
  <x:sheetData>
    <x:row r="1" ht="44" customHeight="1">
      <x:c r="A1" s="20" t="str">
        <x:v>ID</x:v>
      </x:c>
      <x:c r="B1" s="20" t="str">
        <x:v>Базовый ингредиент</x:v>
      </x:c>
      <x:c r="C1" s="20" t="str">
        <x:v>Основной раздел</x:v>
      </x:c>
      <x:c r="D1" s="20" t="str">
        <x:v>Ингредиент 1</x:v>
      </x:c>
      <x:c r="E1" s="20" t="str">
        <x:v>Оригинал 1</x:v>
      </x:c>
      <x:c r="F1" s="20" t="str">
        <x:v>Группа 1</x:v>
      </x:c>
      <x:c r="G1" s="20" t="str">
        <x:v>Ингредиент 2</x:v>
      </x:c>
      <x:c r="H1" s="20" t="str">
        <x:v>Оригинал 2</x:v>
      </x:c>
      <x:c r="I1" s="20" t="str">
        <x:v>Группа 2</x:v>
      </x:c>
      <x:c r="J1" s="20" t="str">
        <x:v>Аромапрофиль 1</x:v>
      </x:c>
      <x:c r="K1" s="20" t="str">
        <x:v>Аромапрофиль 2</x:v>
      </x:c>
      <x:c r="L1" s="20" t="str">
        <x:v>Ключевые соединения 1</x:v>
      </x:c>
      <x:c r="M1" s="20" t="str">
        <x:v>Ключевые соединения 2</x:v>
      </x:c>
      <x:c r="N1" s="20" t="str">
        <x:v>Общий ароматический мост</x:v>
      </x:c>
      <x:c r="O1" s="20" t="str">
        <x:v>Общие соединения</x:v>
      </x:c>
      <x:c r="P1" s="20" t="str">
        <x:v>Тип механизма</x:v>
      </x:c>
      <x:c r="Q1" s="20" t="str">
        <x:v>Вкусовое взаимодействие</x:v>
      </x:c>
      <x:c r="R1" s="20" t="str">
        <x:v>Тройничный эффект</x:v>
      </x:c>
      <x:c r="S1" s="20" t="str">
        <x:v>Матрица и растворимость</x:v>
      </x:c>
      <x:c r="T1" s="20" t="str">
        <x:v>Влияние обработки</x:v>
      </x:c>
      <x:c r="U1" s="20" t="str">
        <x:v>Подробное научное объяснение</x:v>
      </x:c>
      <x:c r="V1" s="20" t="str">
        <x:v>Критические точки</x:v>
      </x:c>
      <x:c r="W1" s="20" t="str">
        <x:v>Ингредиент-мост</x:v>
      </x:c>
      <x:c r="X1" s="20" t="str">
        <x:v>Практическое применение</x:v>
      </x:c>
      <x:c r="Y1" s="20" t="str">
        <x:v>Теги применения</x:v>
      </x:c>
      <x:c r="Z1" s="20" t="str">
        <x:v>Уверенность</x:v>
      </x:c>
      <x:c r="AA1" s="20" t="str">
        <x:v>Источники</x:v>
      </x:c>
      <x:c r="AB1" s="20" t="str">
        <x:v>Страницы</x:v>
      </x:c>
      <x:c r="AC1" s="20" t="str">
        <x:v>Основание из источника</x:v>
      </x:c>
      <x:c r="AD1" s="20" t="str">
        <x:v>Число источников</x:v>
      </x:c>
      <x:c r="AE1" s="20" t="str">
        <x:v>Число записей</x:v>
      </x:c>
      <x:c r="AF1" s="20" t="str">
        <x:v>Балл</x:v>
      </x:c>
    </x:row>
    <x:row r="2" ht="62" customHeight="1">
      <x:c r="A2" s="28" t="str">
        <x:v>STN-0001</x:v>
      </x:c>
      <x:c r="B2" s="28" t="str">
        <x:v>абрикос</x:v>
      </x:c>
      <x:c r="C2" s="28" t="str">
        <x:v>Универсальные</x:v>
      </x:c>
      <x:c r="D2" s="28" t="str">
        <x:v>абрикос</x:v>
      </x:c>
      <x:c r="E2" s="28" t="str">
        <x:v>apricot</x:v>
      </x:c>
      <x:c r="F2" s="28" t="str">
        <x:v>Косточковые фрукты</x:v>
      </x:c>
      <x:c r="G2" s="28" t="str">
        <x:v>ананас</x:v>
      </x:c>
      <x:c r="H2" s="28" t="str">
        <x:v>Ананас | ананас</x:v>
      </x:c>
      <x:c r="I2" s="28" t="str">
        <x:v>Тропические фрукты</x:v>
      </x:c>
      <x:c r="J2" s="28" t="str">
        <x:v>цветочный, фруктовый, медовый, сливочно-лактонный, миндальный</x:v>
      </x:c>
      <x:c r="K2" s="28" t="str">
        <x:v>яркий фруктовый, конфетный, цитрусовый, зелёный и слегка сернистый</x:v>
      </x:c>
      <x:c r="L2" s="28" t="str">
        <x:v>γ- и δ-лактоны, линалоол, гераниол, бензальдегид, β-ионон, дамасценон, фруктовые эфиры</x:v>
      </x:c>
      <x:c r="M2" s="28" t="str">
        <x:v>метилгексаноат, этилгексаноат, этилбутират, метил-3-(метилтио)пропионат и другие сернистые следы</x:v>
      </x:c>
      <x:c r="N2" s="28" t="str">
        <x:v>фруктовый</x:v>
      </x:c>
      <x:c r="O2" s="28" t="str">
        <x:v>надёжный единичный общий маркер не подтверждён; механизм не сводится к одной молекуле</x:v>
      </x:c>
      <x:c r="P2" s="28" t="str">
        <x:v>комплементарность ароматических семейств, вкусовой контраст и матричный эффект</x:v>
      </x:c>
      <x:c r="Q2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 и кислотность; лёгкая терпкость сердцевины. Баланс корректируется сахаром, кислотой, солью и горечью.</x:v>
      </x:c>
      <x:c r="R2" s="28" t="str">
        <x:v>обычно слабый; кислотность повышает слюноотделение; партнёр: кислотное покалывание зависит от плода; специальные эффекты указаны в паспорте</x:v>
      </x:c>
      <x:c r="S2" s="28" t="str">
        <x:v>водно-пектиновая мякоть; низкий жир; кожица и косточка могут добавлять терпкость и миндальный оттенок. Партнёр: водная и кислая; содержит протеазу бромелайн, разрушающую белки.</x:v>
      </x:c>
      <x:c r="T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U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Ананас относится к группе «Тропические фрукты» и даёт профиль «яркий фруктовый, конфетный, цитрусовый, зелёный и слегка сернистый»; типичные соединения или классы: метилгексаноат, этилгексаноат, этилбутират, метил-3-(метилтио)пропионат и другие сернистые следы.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 и кислотность; лёгкая терпкость сердцевины.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и кислая; содержит протеазу бромелайн, разрушающую белки.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V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2" s="28" t="str">
        <x:v>мёд, цитрус или нейтральная жировая основа</x:v>
      </x:c>
      <x:c r="X2" s="28" t="str">
        <x:v>напиток, соус, десерт или горячее блюдо после пробной дегустации</x:v>
      </x:c>
      <x:c r="Y2" s="28" t="str">
        <x:v>напитки; еда; десерты; соусы/маринады</x:v>
      </x:c>
      <x:c r="Z2" s="28" t="str">
        <x:v>Гипотеза / практическая</x:v>
      </x:c>
      <x:c r="AA2" s="28" t="str">
        <x:v>Таблица сочетания(1).pdf</x:v>
      </x:c>
      <x:c r="AB2" s="28" t="str">
        <x:v>Таблица сочетания(1).pdf: Таблица сочетаний: 1, 17 | Таблица сочетания(1).pdf: 1 | Таблица сочетания(1).pdf: 17</x:v>
      </x:c>
      <x:c r="AC2" s="28" t="str">
        <x:v>Таблица сочетаний: В строке «Абрикос» ингредиент «ананас» указан как рекомендуемое сочетание в колонке «Фрукты». || Таблица сочетаний: В строке «Ананас» ингредиент «абрикос» указан как рекомендуемое сочетание в колонке «Фрукты». Пара указана в строке «Абрикос» → колонка «Фрукты». Пара указана в строке «Ананас»: «абрикос» находится в колонке «Фрукты».</x:v>
      </x:c>
      <x:c r="AD2" s="28" t="n">
        <x:v>1</x:v>
      </x:c>
      <x:c r="AE2" s="28" t="n">
        <x:v>3</x:v>
      </x:c>
      <x:c r="AF2" s="28" t="n">
        <x:f>IF(Z2="Высокая",3,IF(Z2="Средняя",2,1))+AD2*2+MIN(AE2,3)</x:f>
        <x:v>6</x:v>
      </x:c>
    </x:row>
    <x:row r="3" ht="62" customHeight="1">
      <x:c r="A3" s="28" t="str">
        <x:v>STN-0002</x:v>
      </x:c>
      <x:c r="B3" s="28" t="str">
        <x:v>абрикос</x:v>
      </x:c>
      <x:c r="C3" s="28" t="str">
        <x:v>Десерты и выпечка</x:v>
      </x:c>
      <x:c r="D3" s="28" t="str">
        <x:v>абрикос</x:v>
      </x:c>
      <x:c r="E3" s="28" t="str">
        <x:v>apricot</x:v>
      </x:c>
      <x:c r="F3" s="28" t="str">
        <x:v>Косточковые фрукты</x:v>
      </x:c>
      <x:c r="G3" s="28" t="str">
        <x:v>апельсин</x:v>
      </x:c>
      <x:c r="H3" s="28" t="str">
        <x:v>Апельсин | апельсин | Orange</x:v>
      </x:c>
      <x:c r="I3" s="28" t="str">
        <x:v>Цитрусовые</x:v>
      </x:c>
      <x:c r="J3" s="28" t="str">
        <x:v>цветочный, фруктовый, медовый, сливочно-лактонный, миндальный</x:v>
      </x:c>
      <x:c r="K3" s="28" t="str">
        <x:v>сладкий цитрусовый и цветочный</x:v>
      </x:c>
      <x:c r="L3" s="28" t="str">
        <x:v>γ- и δ-лактоны, линалоол, гераниол, бензальдегид, β-ионон, дамасценон, фруктовые эфиры</x:v>
      </x:c>
      <x:c r="M3" s="28" t="str">
        <x:v>лимонен, линалоол, деканаль</x:v>
      </x:c>
      <x:c r="N3" s="28" t="str">
        <x:v>цветочный</x:v>
      </x:c>
      <x:c r="O3" s="28" t="str">
        <x:v>линалоол</x:v>
      </x:c>
      <x:c r="P3" s="28" t="str">
        <x:v>прямое или классовое перекрытие характерных одорантов + вкусовой баланс</x:v>
      </x:c>
      <x:c r="Q3" s="28" t="str">
        <x:v>Близкие фруктовые эфиры создают непрерывность, а различия в кислотности, терпкости и сладости формируют контраст.</x:v>
      </x:c>
      <x:c r="R3" s="28" t="str">
        <x:v>обычно слабый; кислотность повышает слюноотделение; партнёр: кислота даёт покалывание и ощущение свежести</x:v>
      </x:c>
      <x:c r="S3" s="28" t="str">
        <x:v>водно-пектиновая мякоть; низкий жир; кожица и косточка могут добавлять терпкость и миндальный оттенок. Партнёр: сок водный и кислый, цедра содержит гидрофобные эфирные масла.</x:v>
      </x:c>
      <x:c r="T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сок водный и кислый, цедра содержит гидрофобные эфирные масла.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3" s="28" t="str">
        <x:v>ваниль, мёд или розмарин</x:v>
      </x:c>
      <x:c r="X3" s="28" t="str">
        <x:v>сорбет, салат, джем, кордиал, лимонад, коктейль или фруктовый соус</x:v>
      </x:c>
      <x:c r="Y3" s="28" t="str">
        <x:v>напитки; десерты; соусы/маринады</x:v>
      </x:c>
      <x:c r="Z3" s="28" t="str">
        <x:v>Высокая</x:v>
      </x:c>
      <x:c r="AA3" s="28" t="str">
        <x:v>The Art &amp; Science of Foodpairing.pdf | Таблица сочетания(1).pdf | Тезариус вкусов (Ники Сегнит)(1).pdf</x:v>
      </x:c>
      <x:c r="AB3" s="28" t="str">
        <x:v>Таблица сочетания(1).pdf: Таблица сочетания(1).pdf: 1, 14 | Тезариус вкусов (Ники Сегнит)(1).pdf: 741, 772 | Тезариус вкусов (Ники Сегнит)(1).pdf: Таблица сочетания(1).pdf: 1, 14 | Тезариус вкусов (Ники Сегнит)(1).pdf: 741, 772 | Таблица сочетания(1).pdf: 1 | Таблица сочетания(1).pdf: 14 | Тезариус вкусов (Ники Сегнит)(1).pdf: 741 | Тезариус вкусов (Ники Сегнит)(1).pdf: 772 | The Art &amp; Science of Foodpairing.pdf: 236</x:v>
      </x:c>
      <x:c r="AC3" s="28" t="str">
        <x:v>В течение 35 лет в меню лондонского ресторана Le Gavroche входил омлет «Ротшильд», который, по существу, представляет собой суфле из абрикосов с добавкой ликера «Куантро» (Cointreau). Омлет обладает сладким, бархатистым, но вполовину менее богатым вкусом, нежели тот, который обещает его название. Пара указана в строке «Абрикос» → колонка «Фрукты». Пара указана в строке «Апельсин»: «абрикос» находится в колонке «Фрукты».</x:v>
      </x:c>
      <x:c r="AD3" s="28" t="n">
        <x:v>3</x:v>
      </x:c>
      <x:c r="AE3" s="28" t="n">
        <x:v>7</x:v>
      </x:c>
      <x:c r="AF3" s="28" t="n">
        <x:f>IF(Z3="Высокая",3,IF(Z3="Средняя",2,1))+AD3*2+MIN(AE3,3)</x:f>
        <x:v>12</x:v>
      </x:c>
    </x:row>
    <x:row r="4" ht="62" customHeight="1">
      <x:c r="A4" s="28" t="str">
        <x:v>STN-0003</x:v>
      </x:c>
      <x:c r="B4" s="28" t="str">
        <x:v>абрикос</x:v>
      </x:c>
      <x:c r="C4" s="28" t="str">
        <x:v>Универсальные</x:v>
      </x:c>
      <x:c r="D4" s="28" t="str">
        <x:v>абрикос</x:v>
      </x:c>
      <x:c r="E4" s="28" t="str">
        <x:v>apricot</x:v>
      </x:c>
      <x:c r="F4" s="28" t="str">
        <x:v>Косточковые фрукты</x:v>
      </x:c>
      <x:c r="G4" s="28" t="str">
        <x:v>арбуз</x:v>
      </x:c>
      <x:c r="H4" s="28" t="str">
        <x:v>арбуз | Watermelon</x:v>
      </x:c>
      <x:c r="I4" s="28" t="str">
        <x:v>Бахчевые</x:v>
      </x:c>
      <x:c r="J4" s="28" t="str">
        <x:v>цветочный, фруктовый, медовый, сливочно-лактонный, миндальный</x:v>
      </x:c>
      <x:c r="K4" s="28" t="str">
        <x:v>водянистый, зелёный, огуречный, свежий и слегка фруктовый</x:v>
      </x:c>
      <x:c r="L4" s="28" t="str">
        <x:v>γ- и δ-лактоны, линалоол, гераниол, бензальдегид, β-ионон, дамасценон, фруктовые эфиры</x:v>
      </x:c>
      <x:c r="M4" s="28" t="str">
        <x:v>(Z)-3-ноненаль, (E,Z)-2,6-нонадиеналь, гексаналь и другие C6/C9-альдегиды</x:v>
      </x:c>
      <x:c r="N4" s="28" t="str">
        <x:v>фруктовый</x:v>
      </x:c>
      <x:c r="O4" s="28" t="str">
        <x:v>надёжный единичный общий маркер не подтверждён; механизм не сводится к одной молекуле</x:v>
      </x:c>
      <x:c r="P4" s="28" t="str">
        <x:v>комплементарность ароматических семейств, вкусовой контраст и матричный эффект</x:v>
      </x:c>
      <x:c r="Q4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умеренная сладость и очень низкая кислотность. Баланс корректируется сахаром, кислотой, солью и горечью.</x:v>
      </x:c>
      <x:c r="R4" s="28" t="str">
        <x:v>обычно слабый; кислотность повышает слюноотделение; партнёр: кислотное покалывание зависит от плода; специальные эффекты указаны в паспорте</x:v>
      </x:c>
      <x:c r="S4" s="28" t="str">
        <x:v>водно-пектиновая мякоть; низкий жир; кожица и косточка могут добавлять терпкость и миндальный оттенок. Партнёр: более чем на 90% водная; аромат легко разбавляется и плохо переносит долгий нагрев.</x:v>
      </x:c>
      <x:c r="T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избыток водянистых партнёров делает сочетание пустым; сильные ароматы быстро подавляют арбуз.</x:v>
      </x:c>
      <x:c r="U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Арбуз относится к группе «Бахчевые» и даёт профиль «водянистый, зелёный, огуречный, свежий и слегка фруктовый»; типичные соединения или классы: (Z)-3-ноненаль, (E,Z)-2,6-нонадиеналь, гексаналь и другие C6/C9-альдегиды.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умеренная сладость и очень низкая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более чем на 90% водная; аромат легко разбавляется и плохо переносит долгий нагрев.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избыток водянистых партнёров делает сочетание пустым; сильные ароматы быстро подавляют арбуз.</x:v>
      </x:c>
      <x:c r="V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4" s="28" t="str">
        <x:v>мёд, цитрус или нейтральная жировая основа</x:v>
      </x:c>
      <x:c r="X4" s="28" t="str">
        <x:v>напиток, соус, десерт или горячее блюдо после пробной дегустации</x:v>
      </x:c>
      <x:c r="Y4" s="28" t="str">
        <x:v>напитки; еда; десерты; соусы/маринады</x:v>
      </x:c>
      <x:c r="Z4" s="28" t="str">
        <x:v>Средняя</x:v>
      </x:c>
      <x:c r="AA4" s="28" t="str">
        <x:v>The Art &amp; Science of Foodpairing.pdf</x:v>
      </x:c>
      <x:c r="AB4" s="28" t="str">
        <x:v>The Art &amp; Science of Foodpairing.pdf: The Art &amp; Science of Foodpairing: 78 | The Art &amp; Science of Foodpairing.pdf: 78</x:v>
      </x:c>
      <x:c r="AC4" s="28" t="str">
        <x:v>The Art &amp; Science of Foodpairing: Ингредиент указан в указателе книги на страницах профиля и pairing grids для «арбуз»: 78. Ингредиент «apricot» указан на странице профиля/сетки сочетаний «Watermelon».</x:v>
      </x:c>
      <x:c r="AD4" s="28" t="n">
        <x:v>1</x:v>
      </x:c>
      <x:c r="AE4" s="28" t="n">
        <x:v>2</x:v>
      </x:c>
      <x:c r="AF4" s="28" t="n">
        <x:f>IF(Z4="Высокая",3,IF(Z4="Средняя",2,1))+AD4*2+MIN(AE4,3)</x:f>
        <x:v>6</x:v>
      </x:c>
    </x:row>
    <x:row r="5" ht="62" customHeight="1">
      <x:c r="A5" s="28" t="str">
        <x:v>STN-0004</x:v>
      </x:c>
      <x:c r="B5" s="28" t="str">
        <x:v>абрикос</x:v>
      </x:c>
      <x:c r="C5" s="28" t="str">
        <x:v>Универсальные</x:v>
      </x:c>
      <x:c r="D5" s="28" t="str">
        <x:v>абрикос</x:v>
      </x:c>
      <x:c r="E5" s="28" t="str">
        <x:v>apricot</x:v>
      </x:c>
      <x:c r="F5" s="28" t="str">
        <x:v>Косточковые фрукты</x:v>
      </x:c>
      <x:c r="G5" s="28" t="str">
        <x:v>артишок</x:v>
      </x:c>
      <x:c r="H5" s="28" t="str">
        <x:v>Artichoke</x:v>
      </x:c>
      <x:c r="I5" s="28" t="str">
        <x:v>Овощи и грибы</x:v>
      </x:c>
      <x:c r="J5" s="28" t="str">
        <x:v>цветочный, фруктовый, медовый, сливочно-лактонный, миндальный</x:v>
      </x:c>
      <x:c r="K5" s="28" t="str">
        <x:v>зелёный, землистый, сернистый</x:v>
      </x:c>
      <x:c r="L5" s="28" t="str">
        <x:v>γ- и δ-лактоны, линалоол, гераниол, бензальдегид, β-ионон, дамасценон, фруктовые эфиры</x:v>
      </x:c>
      <x:c r="M5" s="28" t="str">
        <x:v>C6-альдегиды, пиразины, сернистые соединения</x:v>
      </x:c>
      <x:c r="N5" s="28" t="str">
        <x:v>прямое семейное перекрытие не является главным механизмом</x:v>
      </x:c>
      <x:c r="O5" s="28" t="str">
        <x:v>надёжный единичный общий маркер не подтверждён; механизм не сводится к одной молекуле</x:v>
      </x:c>
      <x:c r="P5" s="28" t="str">
        <x:v>комплементарность ароматических семейств, вкусовой контраст и матричный эффект</x:v>
      </x:c>
      <x:c r="Q5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растительный, иногда умами. Баланс корректируется сахаром, кислотой, солью и горечью.</x:v>
      </x:c>
      <x:c r="R5" s="28" t="str">
        <x:v>обычно слабый; кислотность повышает слюноотделение; партнёр: обычно отсутствует; зависит от конкретного продукта</x:v>
      </x:c>
      <x:c r="S5" s="28" t="str">
        <x:v>водно-пектиновая мякоть; низкий жир; кожица и косточка могут добавлять терпкость и миндальный оттенок. Партнёр: высокая доля воды; нагрев меняет зелёный профиль.</x:v>
      </x:c>
      <x:c r="T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Артишок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растительный, иногда умами.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высокая доля воды; нагрев меняет зелёный профиль.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5" s="28" t="str">
        <x:v>мёд, цитрус или нейтральная жировая основа</x:v>
      </x:c>
      <x:c r="X5" s="28" t="str">
        <x:v>напиток, соус, десерт или горячее блюдо после пробной дегустации</x:v>
      </x:c>
      <x:c r="Y5" s="28" t="str">
        <x:v>напитки; еда; десерты; соусы/маринады</x:v>
      </x:c>
      <x:c r="Z5" s="28" t="str">
        <x:v>Средняя</x:v>
      </x:c>
      <x:c r="AA5" s="28" t="str">
        <x:v>The Art &amp; Science of Foodpairing.pdf</x:v>
      </x:c>
      <x:c r="AB5" s="28" t="str">
        <x:v>The Art &amp; Science of Foodpairing.pdf: 329</x:v>
      </x:c>
      <x:c r="AC5" s="28" t="str">
        <x:v>Ингредиент «apricot» указан на странице профиля/сетки сочетаний «Artichoke».</x:v>
      </x:c>
      <x:c r="AD5" s="28" t="n">
        <x:v>1</x:v>
      </x:c>
      <x:c r="AE5" s="28" t="n">
        <x:v>1</x:v>
      </x:c>
      <x:c r="AF5" s="28" t="n">
        <x:f>IF(Z5="Высокая",3,IF(Z5="Средняя",2,1))+AD5*2+MIN(AE5,3)</x:f>
        <x:v>5</x:v>
      </x:c>
    </x:row>
    <x:row r="6" ht="62" customHeight="1">
      <x:c r="A6" s="28" t="str">
        <x:v>STN-0005</x:v>
      </x:c>
      <x:c r="B6" s="28" t="str">
        <x:v>абрикос</x:v>
      </x:c>
      <x:c r="C6" s="28" t="str">
        <x:v>Универсальные</x:v>
      </x:c>
      <x:c r="D6" s="28" t="str">
        <x:v>абрикос</x:v>
      </x:c>
      <x:c r="E6" s="28" t="str">
        <x:v>apricot</x:v>
      </x:c>
      <x:c r="F6" s="28" t="str">
        <x:v>Косточковые фрукты</x:v>
      </x:c>
      <x:c r="G6" s="28" t="str">
        <x:v>базилик</x:v>
      </x:c>
      <x:c r="H6" s="28" t="str">
        <x:v>basil</x:v>
      </x:c>
      <x:c r="I6" s="28" t="str">
        <x:v>Травы и цветы</x:v>
      </x:c>
      <x:c r="J6" s="28" t="str">
        <x:v>цветочный, фруктовый, медовый, сливочно-лактонный, миндальный</x:v>
      </x:c>
      <x:c r="K6" s="28" t="str">
        <x:v>зелёный, цветочный и пряный</x:v>
      </x:c>
      <x:c r="L6" s="28" t="str">
        <x:v>γ- и δ-лактоны, линалоол, гераниол, бензальдегид, β-ионон, дамасценон, фруктовые эфиры</x:v>
      </x:c>
      <x:c r="M6" s="28" t="str">
        <x:v>линалоол, эвгенол, метилхавикол</x:v>
      </x:c>
      <x:c r="N6" s="28" t="str">
        <x:v>цветочный</x:v>
      </x:c>
      <x:c r="O6" s="28" t="str">
        <x:v>линалоол</x:v>
      </x:c>
      <x:c r="P6" s="28" t="str">
        <x:v>прямое или классовое перекрытие характерных одорантов + вкусовой баланс</x:v>
      </x:c>
      <x:c r="Q6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6" s="28" t="str">
        <x:v>обычно слабый; кислотность повышает слюноотделение; партнёр: у мяты возможен холодящий эффект ментола; у некоторых трав — камфорность</x:v>
      </x:c>
      <x:c r="S6" s="28" t="str">
        <x:v>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</x:v>
      </x:c>
      <x:c r="T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В рабочих профилях пересекаются: линалоол.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6" s="28" t="str">
        <x:v>мёд, цитрус или нейтральная жировая основа</x:v>
      </x:c>
      <x:c r="X6" s="28" t="str">
        <x:v>напиток, соус, десерт или горячее блюдо после пробной дегустации</x:v>
      </x:c>
      <x:c r="Y6" s="28" t="str">
        <x:v>напитки; еда; десерты; соусы/маринады</x:v>
      </x:c>
      <x:c r="Z6" s="28" t="str">
        <x:v>Средняя</x:v>
      </x:c>
      <x:c r="AA6" s="28" t="str">
        <x:v>The Art &amp; Science of Foodpairing.pdf</x:v>
      </x:c>
      <x:c r="AB6" s="28" t="str">
        <x:v>The Art &amp; Science of Foodpairing.pdf: 206</x:v>
      </x:c>
      <x:c r="AC6" s="28" t="str">
        <x:v>Ingredient pairings with apricot: basil.</x:v>
      </x:c>
      <x:c r="AD6" s="28" t="n">
        <x:v>1</x:v>
      </x:c>
      <x:c r="AE6" s="28" t="n">
        <x:v>1</x:v>
      </x:c>
      <x:c r="AF6" s="28" t="n">
        <x:f>IF(Z6="Высокая",3,IF(Z6="Средняя",2,1))+AD6*2+MIN(AE6,3)</x:f>
        <x:v>5</x:v>
      </x:c>
    </x:row>
    <x:row r="7" ht="62" customHeight="1">
      <x:c r="A7" s="28" t="str">
        <x:v>STN-0006</x:v>
      </x:c>
      <x:c r="B7" s="28" t="str">
        <x:v>абрикос</x:v>
      </x:c>
      <x:c r="C7" s="28" t="str">
        <x:v>Универсальные</x:v>
      </x:c>
      <x:c r="D7" s="28" t="str">
        <x:v>абрикос</x:v>
      </x:c>
      <x:c r="E7" s="28" t="str">
        <x:v>apricot</x:v>
      </x:c>
      <x:c r="F7" s="28" t="str">
        <x:v>Косточковые фрукты</x:v>
      </x:c>
      <x:c r="G7" s="28" t="str">
        <x:v>банан</x:v>
      </x:c>
      <x:c r="H7" s="28" t="str">
        <x:v>Банан</x:v>
      </x:c>
      <x:c r="I7" s="28" t="str">
        <x:v>Тропические фрукты</x:v>
      </x:c>
      <x:c r="J7" s="28" t="str">
        <x:v>цветочный, фруктовый, медовый, сливочно-лактонный, миндальный</x:v>
      </x:c>
      <x:c r="K7" s="28" t="str">
        <x:v>сладкий фруктовый, сливочный, цветочный; у зрелого плода — конфетный и пряный</x:v>
      </x:c>
      <x:c r="L7" s="28" t="str">
        <x:v>γ- и δ-лактоны, линалоол, гераниол, бензальдегид, β-ионон, дамасценон, фруктовые эфиры</x:v>
      </x:c>
      <x:c r="M7" s="28" t="str">
        <x:v>изоамилацетат, изобутилацетат, бутилацетат, этилбутират, эвгенол и другие фенольные следы</x:v>
      </x:c>
      <x:c r="N7" s="28" t="str">
        <x:v>цветочный, фруктовый</x:v>
      </x:c>
      <x:c r="O7" s="28" t="str">
        <x:v>надёжный единичный общий маркер не подтверждён; механизм не сводится к одной молекуле</x:v>
      </x:c>
      <x:c r="P7" s="28" t="str">
        <x:v>комплементарность ароматических семейств, вкусовой контраст и матричный эффект</x:v>
      </x:c>
      <x:c r="Q7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низкая кислотность, крахмалистость у незрелого плода. Баланс корректируется сахаром, кислотой, солью и горечью.</x:v>
      </x:c>
      <x:c r="R7" s="28" t="str">
        <x:v>обычно слабый; кислотность повышает слюноотделение; партнёр: кислотное покалывание зависит от плода; специальные эффекты указаны в паспорте</x:v>
      </x:c>
      <x:c r="S7" s="28" t="str">
        <x:v>водно-пектиновая мякоть; низкий жир; кожица и косточка могут добавлять терпкость и миндальный оттенок. Партнёр: мягкая крахмально-пектиновая; низкая кислотность и высокая вязкость приглушают летучесть.</x:v>
      </x:c>
      <x:c r="T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перезрелый банан доминирует и быстро окисляется; без кислоты или горечи сочетание может быть плоским.</x:v>
      </x:c>
      <x:c r="U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Банан относится к группе «Тропические фрукты» и даёт профиль «сладкий фруктовый, сливочный, цветочный; у зрелого плода — конфетный и пряный»; типичные соединения или классы: изоамилацетат, изобутилацетат, бутилацетат, этилбутират, эвгенол и другие фенольные следы. По доступным материалам нельзя уверенно свести совместимость к одной общей молекуле. Общие ароматические направления: цветочный,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низкая кислотность, крахмалистость у незрелого плода.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мягкая крахмально-пектиновая; низкая кислотность и высокая вязкость приглушают летучесть.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перезрелый банан доминирует и быстро окисляется; без кислоты или горечи сочетание может быть плоским.</x:v>
      </x:c>
      <x:c r="V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7" s="28" t="str">
        <x:v>мёд, цитрус или нейтральная жировая основа</x:v>
      </x:c>
      <x:c r="X7" s="28" t="str">
        <x:v>напиток, соус, десерт или горячее блюдо после пробной дегустации</x:v>
      </x:c>
      <x:c r="Y7" s="28" t="str">
        <x:v>напитки; еда; десерты; соусы/маринады</x:v>
      </x:c>
      <x:c r="Z7" s="28" t="str">
        <x:v>Гипотеза / практическая</x:v>
      </x:c>
      <x:c r="AA7" s="28" t="str">
        <x:v>Таблица сочетания(1).pdf</x:v>
      </x:c>
      <x:c r="AB7" s="28" t="str">
        <x:v>Таблица сочетания(1).pdf: Таблица сочетаний: 2 | Таблица сочетания(1).pdf: 2</x:v>
      </x:c>
      <x:c r="AC7" s="28" t="str">
        <x:v>Таблица сочетаний: В строке «Банан» ингредиент «абрикос» указан как рекомендуемое сочетание в колонке «Фрукты». Пара указана в строке «Банан»: «абрикос» находится в колонке «Фрукты».</x:v>
      </x:c>
      <x:c r="AD7" s="28" t="n">
        <x:v>1</x:v>
      </x:c>
      <x:c r="AE7" s="28" t="n">
        <x:v>2</x:v>
      </x:c>
      <x:c r="AF7" s="28" t="n">
        <x:f>IF(Z7="Высокая",3,IF(Z7="Средняя",2,1))+AD7*2+MIN(AE7,3)</x:f>
        <x:v>5</x:v>
      </x:c>
    </x:row>
    <x:row r="8" ht="62" customHeight="1">
      <x:c r="A8" s="28" t="str">
        <x:v>STN-0007</x:v>
      </x:c>
      <x:c r="B8" s="28" t="str">
        <x:v>абрикос</x:v>
      </x:c>
      <x:c r="C8" s="28" t="str">
        <x:v>Еда и соусы</x:v>
      </x:c>
      <x:c r="D8" s="28" t="str">
        <x:v>абрикос</x:v>
      </x:c>
      <x:c r="E8" s="28" t="str">
        <x:v>apricot</x:v>
      </x:c>
      <x:c r="F8" s="28" t="str">
        <x:v>Косточковые фрукты</x:v>
      </x:c>
      <x:c r="G8" s="28" t="str">
        <x:v>баранина</x:v>
      </x:c>
      <x:c r="H8" s="28" t="str">
        <x:v>Баранина | баранина</x:v>
      </x:c>
      <x:c r="I8" s="28" t="str">
        <x:v>Мясо и птица</x:v>
      </x:c>
      <x:c r="J8" s="28" t="str">
        <x:v>цветочный, фруктовый, медовый, сливочно-лактонный, миндальный</x:v>
      </x:c>
      <x:c r="K8" s="28" t="str">
        <x:v>жареный, жирный, сернистый, умами</x:v>
      </x:c>
      <x:c r="L8" s="28" t="str">
        <x:v>γ- и δ-лактоны, линалоол, гераниол, бензальдегид, β-ионон, дамасценон, фруктовые эфиры</x:v>
      </x:c>
      <x:c r="M8" s="28" t="str">
        <x:v>альдегиды, пиразины, сернистые соединения</x:v>
      </x:c>
      <x:c r="N8" s="28" t="str">
        <x:v>прямое семейное перекрытие не является главным механизмом</x:v>
      </x:c>
      <x:c r="O8" s="28" t="str">
        <x:v>надёжный единичный общий маркер не подтверждён; механизм не сводится к одной молекуле</x:v>
      </x:c>
      <x:c r="P8" s="28" t="str">
        <x:v>комплементарность ароматических семейств, вкусовой контраст и матричный эффект</x:v>
      </x:c>
      <x:c r="Q8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8" s="28" t="str">
        <x:v>обычно слабый; кислотность повышает слюноотделение; партнёр: обычно отсутствует; зависит от конкретного продукта</x:v>
      </x:c>
      <x:c r="S8" s="28" t="str">
        <x:v>водно-пектиновая мякоть; низкий жир; кожица и косточка могут добавлять терпкость и миндальный оттенок. Партнёр: жир переносит аромат; реакция Майяра создаёт новые одоранты.</x:v>
      </x:c>
      <x:c r="T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U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Баранина относится к группе «Мясо и птица» и даёт профиль «жареный, жирный, сернистый, умами»; типичные соединения или классы: альдегиды, пиразины,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переносит аромат; реакция Майяра создаёт новые одоранты.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V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W8" s="28" t="str">
        <x:v>розмарин, горчица или хересный уксус</x:v>
      </x:c>
      <x:c r="X8" s="28" t="str">
        <x:v>соус, глазировка, чатни, маринад, гарнир или основное блюдо</x:v>
      </x:c>
      <x:c r="Y8" s="28" t="str">
        <x:v>еда; соусы/маринады</x:v>
      </x:c>
      <x:c r="Z8" s="28" t="str">
        <x:v>Средняя</x:v>
      </x:c>
      <x:c r="AA8" s="28" t="str">
        <x:v>Тезариус вкусов (Ники Сегнит)(1).pdf</x:v>
      </x:c>
      <x:c r="AB8" s="28" t="str">
        <x:v>Тезариус вкусов (Ники Сегнит)(1).pdf: 124 | Тезариус вкусов (Ники Сегнит)(1).pdf: 741</x:v>
      </x:c>
      <x:c r="AC8" s="28" t="str">
        <x:v>Баранина и абрикос. Вернемся в прежние века. Абрикос и баранина. См. Баранина и абрикос</x:v>
      </x:c>
      <x:c r="AD8" s="28" t="n">
        <x:v>1</x:v>
      </x:c>
      <x:c r="AE8" s="28" t="n">
        <x:v>2</x:v>
      </x:c>
      <x:c r="AF8" s="28" t="n">
        <x:f>IF(Z8="Высокая",3,IF(Z8="Средняя",2,1))+AD8*2+MIN(AE8,3)</x:f>
        <x:v>6</x:v>
      </x:c>
    </x:row>
    <x:row r="9" ht="62" customHeight="1">
      <x:c r="A9" s="28" t="str">
        <x:v>STN-0008</x:v>
      </x:c>
      <x:c r="B9" s="28" t="str">
        <x:v>абрикос</x:v>
      </x:c>
      <x:c r="C9" s="28" t="str">
        <x:v>Десерты и выпечка</x:v>
      </x:c>
      <x:c r="D9" s="28" t="str">
        <x:v>абрикос</x:v>
      </x:c>
      <x:c r="E9" s="28" t="str">
        <x:v>apricot</x:v>
      </x:c>
      <x:c r="F9" s="28" t="str">
        <x:v>Косточковые фрукты</x:v>
      </x:c>
      <x:c r="G9" s="28" t="str">
        <x:v>блю д’овернь</x:v>
      </x:c>
      <x:c r="H9" s="28" t="str">
        <x:v>Bleu d'Auvergne</x:v>
      </x:c>
      <x:c r="I9" s="28" t="str">
        <x:v>Сыры и молочные продукты</x:v>
      </x:c>
      <x:c r="J9" s="28" t="str">
        <x:v>цветочный, фруктовый, медовый, сливочно-лактонный, миндальный</x:v>
      </x:c>
      <x:c r="K9" s="28" t="str">
        <x:v>сливочный, молочный, ферментированный, иногда ореховый или пикантный</x:v>
      </x:c>
      <x:c r="L9" s="28" t="str">
        <x:v>γ- и δ-лактоны, линалоол, гераниол, бензальдегид, β-ионон, дамасценон, фруктовые эфиры</x:v>
      </x:c>
      <x:c r="M9" s="28" t="str">
        <x:v>лактоны, диацетил, жирные кислоты, сернистые и аминокислотные продукты ферментации</x:v>
      </x:c>
      <x:c r="N9" s="28" t="str">
        <x:v>прямое семейное перекрытие не является главным механизмом</x:v>
      </x:c>
      <x:c r="O9" s="28" t="str">
        <x:v>надёжный единичный общий маркер не подтверждён; механизм не сводится к одной молекуле</x:v>
      </x:c>
      <x:c r="P9" s="28" t="str">
        <x:v>комплементарность ароматических семейств, вкусовой контраст и матричный эффект</x:v>
      </x:c>
      <x:c r="Q9" s="28" t="str">
        <x:v>Фруктовая кислота и сладость освежают жирную молочную матрицу; соль и умами сыра усиливают воспринимаемую фруктовость.</x:v>
      </x:c>
      <x:c r="R9" s="28" t="str">
        <x:v>обычно слабый; кислотность повышает слюноотделение; партнёр: нет выраженного</x:v>
      </x:c>
      <x:c r="S9" s="28" t="str">
        <x:v>водно-пектиновая мякоть; низкий жир; кожица и косточка могут добавлять терпкость и миндальный оттенок. Жир и белок партнёра удерживают гидрофобные лактоны, но высокая фруктовая кислота может нарушить молочную эмульсию.</x:v>
      </x:c>
      <x:c r="T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</x:v>
      </x:c>
      <x:c r="U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Блю д’овернь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 мякоть; низкий жир; кожица и косточка могут добавлять терпкость и миндальный оттенок. Жир и белок партнёра удерживают гидрофобные лактоны, но высокая фруктовая кислота может нарушить молочную эмульсию.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</x:v>
      </x:c>
      <x:c r="V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кислоты может свернуть молочную основу; фрукт и сыр проверяют при рабочей температуре.</x:v>
      </x:c>
      <x:c r="W9" s="28" t="str">
        <x:v>миндаль, ваниль или мёд</x:v>
      </x:c>
      <x:c r="X9" s="28" t="str">
        <x:v>тарт, крем, мороженое, выпечка, сырная подача или начинка</x:v>
      </x:c>
      <x:c r="Y9" s="28" t="str">
        <x:v>десерты; еда</x:v>
      </x:c>
      <x:c r="Z9" s="28" t="str">
        <x:v>Средняя</x:v>
      </x:c>
      <x:c r="AA9" s="28" t="str">
        <x:v>The Art &amp; Science of Foodpairing.pdf</x:v>
      </x:c>
      <x:c r="AB9" s="28" t="str">
        <x:v>The Art &amp; Science of Foodpairing.pdf: 206</x:v>
      </x:c>
      <x:c r="AC9" s="28" t="str">
        <x:v>Ingredient pairings with apricot: Bleu d'Auvergne.</x:v>
      </x:c>
      <x:c r="AD9" s="28" t="n">
        <x:v>1</x:v>
      </x:c>
      <x:c r="AE9" s="28" t="n">
        <x:v>1</x:v>
      </x:c>
      <x:c r="AF9" s="28" t="n">
        <x:f>IF(Z9="Высокая",3,IF(Z9="Средняя",2,1))+AD9*2+MIN(AE9,3)</x:f>
        <x:v>5</x:v>
      </x:c>
    </x:row>
    <x:row r="10" ht="62" customHeight="1">
      <x:c r="A10" s="28" t="str">
        <x:v>STN-0009</x:v>
      </x:c>
      <x:c r="B10" s="28" t="str">
        <x:v>абрикос</x:v>
      </x:c>
      <x:c r="C10" s="28" t="str">
        <x:v>Универсальные</x:v>
      </x:c>
      <x:c r="D10" s="28" t="str">
        <x:v>абрикос</x:v>
      </x:c>
      <x:c r="E10" s="28" t="str">
        <x:v>apricot</x:v>
      </x:c>
      <x:c r="F10" s="28" t="str">
        <x:v>Косточковые фрукты</x:v>
      </x:c>
      <x:c r="G10" s="28" t="str">
        <x:v>ваниль</x:v>
      </x:c>
      <x:c r="H10" s="28" t="str">
        <x:v>ваниль | Ваниль</x:v>
      </x:c>
      <x:c r="I10" s="28" t="str">
        <x:v>Специи и острые компоненты</x:v>
      </x:c>
      <x:c r="J10" s="28" t="str">
        <x:v>цветочный, фруктовый, медовый, сливочно-лактонный, миндальный</x:v>
      </x:c>
      <x:c r="K10" s="28" t="str">
        <x:v>сладкий, сливочный и древесный</x:v>
      </x:c>
      <x:c r="L10" s="28" t="str">
        <x:v>γ- и δ-лактоны, линалоол, гераниол, бензальдегид, β-ионон, дамасценон, фруктовые эфиры</x:v>
      </x:c>
      <x:c r="M10" s="28" t="str">
        <x:v>ванилин, п-гидроксибензальдегид</x:v>
      </x:c>
      <x:c r="N10" s="28" t="str">
        <x:v>прямое семейное перекрытие не является главным механизмом</x:v>
      </x:c>
      <x:c r="O10" s="28" t="str">
        <x:v>бензальдегид</x:v>
      </x:c>
      <x:c r="P10" s="28" t="str">
        <x:v>прямое или классовое перекрытие характерных одорантов + вкусовой баланс</x:v>
      </x:c>
      <x:c r="Q10" s="28" t="str">
        <x:v>Сладость и кислота фрукта смягчают остроту и горечь специи, а пряный компонент удлиняет ароматическое послевкусие.</x:v>
      </x:c>
      <x:c r="R10" s="28" t="str">
        <x:v>обычно слабый; кислотность повышает слюноотделение; партнёр: капсаицин, пиперин, гингеролы и камфорные терпены создают жжение, тепло или охлаждение</x:v>
      </x:c>
      <x:c r="S10" s="28" t="str">
        <x:v>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</x:v>
      </x:c>
      <x:c r="T1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1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Ваниль относится к группе «Специи и острые компоненты» и даёт профиль «сладкий, сливочный и древесный»; типичные соединения или классы: ванилин, п-гидроксибензальдегид. В рабочих профилях пересекаются: бензальдегид.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1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W10" s="28" t="str">
        <x:v>мёд, цитрус или миндаль</x:v>
      </x:c>
      <x:c r="X10" s="28" t="str">
        <x:v>напиток, соус, десерт или горячее блюдо после пробной дегустации</x:v>
      </x:c>
      <x:c r="Y10" s="28" t="str">
        <x:v>напитки; еда; десерты; соусы/маринады</x:v>
      </x:c>
      <x:c r="Z10" s="28" t="str">
        <x:v>Высокая</x:v>
      </x:c>
      <x:c r="AA10" s="28" t="str">
        <x:v>Таблица сочетания(1).pdf | Тезариус вкусов (Ники Сегнит)(1).pdf</x:v>
      </x:c>
      <x:c r="AB10" s="28" t="str">
        <x:v>Таблица сочетания(1).pdf: 1 | Таблица сочетания(1).pdf: 21 | Тезариус вкусов (Ники Сегнит)(1).pdf: 741 | Тезариус вкусов (Ники Сегнит)(1).pdf: 914</x:v>
      </x:c>
      <x:c r="AC10" s="28" t="str">
        <x:v>Пара указана в строке «Абрикос» → колонка «Другое». Пара указана в строке «Ваниль»: «абрикос» находится в колонке «Фрукты». Абрикос и ваниль. Большинство абрикосов при</x:v>
      </x:c>
      <x:c r="AD10" s="28" t="n">
        <x:v>2</x:v>
      </x:c>
      <x:c r="AE10" s="28" t="n">
        <x:v>4</x:v>
      </x:c>
      <x:c r="AF10" s="28" t="n">
        <x:f>IF(Z10="Высокая",3,IF(Z10="Средняя",2,1))+AD10*2+MIN(AE10,3)</x:f>
        <x:v>10</x:v>
      </x:c>
    </x:row>
    <x:row r="11" ht="62" customHeight="1">
      <x:c r="A11" s="28" t="str">
        <x:v>STN-0010</x:v>
      </x:c>
      <x:c r="B11" s="28" t="str">
        <x:v>абрикос</x:v>
      </x:c>
      <x:c r="C11" s="28" t="str">
        <x:v>Еда и соусы</x:v>
      </x:c>
      <x:c r="D11" s="28" t="str">
        <x:v>абрикос</x:v>
      </x:c>
      <x:c r="E11" s="28" t="str">
        <x:v>apricot</x:v>
      </x:c>
      <x:c r="F11" s="28" t="str">
        <x:v>Косточковые фрукты</x:v>
      </x:c>
      <x:c r="G11" s="28" t="str">
        <x:v>вареная ветчина</x:v>
      </x:c>
      <x:c r="H11" s="28" t="str">
        <x:v>boiled ham</x:v>
      </x:c>
      <x:c r="I11" s="28" t="str">
        <x:v>Мясо и птица</x:v>
      </x:c>
      <x:c r="J11" s="28" t="str">
        <x:v>цветочный, фруктовый, медовый, сливочно-лактонный, миндальный</x:v>
      </x:c>
      <x:c r="K11" s="28" t="str">
        <x:v>жареный, мясной, сернистый, жирный</x:v>
      </x:c>
      <x:c r="L11" s="28" t="str">
        <x:v>γ- и δ-лактоны, линалоол, гераниол, бензальдегид, β-ионон, дамасценон, фруктовые эфиры</x:v>
      </x:c>
      <x:c r="M11" s="28" t="str">
        <x:v>пиразины, тиазолы, альдегиды жиров, сернистые соединения</x:v>
      </x:c>
      <x:c r="N11" s="28" t="str">
        <x:v>прямое семейное перекрытие не является главным механизмом</x:v>
      </x:c>
      <x:c r="O11" s="28" t="str">
        <x:v>надёжный единичный общий маркер не подтверждён; механизм не сводится к одной молекуле</x:v>
      </x:c>
      <x:c r="P11" s="28" t="str">
        <x:v>комплементарность ароматических семейств, вкусовой контраст и матричный эффект</x:v>
      </x:c>
      <x:c r="Q11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11" s="28" t="str">
        <x:v>обычно слабый; кислотность повышает слюноотделение; партнёр: нет выраженного</x:v>
      </x:c>
      <x:c r="S11" s="28" t="str">
        <x:v>водно-пектиновая мякоть; низкий жир; кожица и косточка могут добавлять терпкость и миндальный оттенок. Партнёр: жир удерживает терпеновые масла; кислота снижает ощущение жирности.</x:v>
      </x:c>
      <x:c r="T1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U1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Вареная ветчина относится к группе «Мясо и птица» и даёт профиль «жареный, мясной, сернистый, жирный»; типичные соединения или классы: пиразины, тиазолы, альдегиды жиров,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удерживает терпеновые масла; кислота снижает ощущение жирности.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V1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W11" s="28" t="str">
        <x:v>розмарин, горчица или хересный уксус</x:v>
      </x:c>
      <x:c r="X11" s="28" t="str">
        <x:v>соус, глазировка, чатни, маринад, гарнир или основное блюдо</x:v>
      </x:c>
      <x:c r="Y11" s="28" t="str">
        <x:v>еда; соусы/маринады</x:v>
      </x:c>
      <x:c r="Z11" s="28" t="str">
        <x:v>Средняя</x:v>
      </x:c>
      <x:c r="AA11" s="28" t="str">
        <x:v>The Art &amp; Science of Foodpairing.pdf</x:v>
      </x:c>
      <x:c r="AB11" s="28" t="str">
        <x:v>The Art &amp; Science of Foodpairing.pdf: 206</x:v>
      </x:c>
      <x:c r="AC11" s="28" t="str">
        <x:v>Ingredient pairings with apricot: boiled ham.</x:v>
      </x:c>
      <x:c r="AD11" s="28" t="n">
        <x:v>1</x:v>
      </x:c>
      <x:c r="AE11" s="28" t="n">
        <x:v>1</x:v>
      </x:c>
      <x:c r="AF11" s="28" t="n">
        <x:f>IF(Z11="Высокая",3,IF(Z11="Средняя",2,1))+AD11*2+MIN(AE11,3)</x:f>
        <x:v>5</x:v>
      </x:c>
    </x:row>
    <x:row r="12" ht="62" customHeight="1">
      <x:c r="A12" s="28" t="str">
        <x:v>STN-0011</x:v>
      </x:c>
      <x:c r="B12" s="28" t="str">
        <x:v>абрикос</x:v>
      </x:c>
      <x:c r="C12" s="28" t="str">
        <x:v>Универсальные</x:v>
      </x:c>
      <x:c r="D12" s="28" t="str">
        <x:v>абрикос</x:v>
      </x:c>
      <x:c r="E12" s="28" t="str">
        <x:v>apricot</x:v>
      </x:c>
      <x:c r="F12" s="28" t="str">
        <x:v>Косточковые фрукты</x:v>
      </x:c>
      <x:c r="G12" s="28" t="str">
        <x:v>вишня</x:v>
      </x:c>
      <x:c r="H12" s="28" t="str">
        <x:v>Вишня | вишня</x:v>
      </x:c>
      <x:c r="I12" s="28" t="str">
        <x:v>Косточковые фрукты</x:v>
      </x:c>
      <x:c r="J12" s="28" t="str">
        <x:v>цветочный, фруктовый, медовый, сливочно-лактонный, миндальный</x:v>
      </x:c>
      <x:c r="K12" s="28" t="str">
        <x:v>цветочный, фруктовый, миндальный и сливочно-лактонный</x:v>
      </x:c>
      <x:c r="L12" s="28" t="str">
        <x:v>γ- и δ-лактоны, линалоол, гераниол, бензальдегид, β-ионон, дамасценон, фруктовые эфиры</x:v>
      </x:c>
      <x:c r="M12" s="28" t="str">
        <x:v>лактоны, бензальдегид, эфиры, линалоол</x:v>
      </x:c>
      <x:c r="N12" s="28" t="str">
        <x:v>цветочный, фруктовый, лактонный, миндальный</x:v>
      </x:c>
      <x:c r="O12" s="28" t="str">
        <x:v>бензальдегид, линалоол, эфиры</x:v>
      </x:c>
      <x:c r="P12" s="28" t="str">
        <x:v>прямое или классовое перекрытие характерных одорантов + вкусовой баланс</x:v>
      </x:c>
      <x:c r="Q12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умеренная кислотность. Баланс корректируется сахаром, кислотой, солью и горечью.</x:v>
      </x:c>
      <x:c r="R12" s="28" t="str">
        <x:v>обычно слабый; кислотность повышает слюноотделение; партнёр: слабый</x:v>
      </x:c>
      <x:c r="S12" s="28" t="str">
        <x:v>водно-пектиновая мякоть; низкий жир; кожица и косточка могут добавлять терпкость и миндальный оттенок. Партнёр: пектиновая; кожица и косточка могут давать терпкость и миндальные ноты.</x:v>
      </x:c>
      <x:c r="T1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U1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линалоол, эфиры. Общие ароматические направления: цветочный, фруктовый, лактонный, миндальный.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умеренная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пектиновая; кожица и косточка могут давать терпкость и миндальные ноты.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V1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12" s="28" t="str">
        <x:v>мёд, цитрус или нейтральная жировая основа</x:v>
      </x:c>
      <x:c r="X12" s="28" t="str">
        <x:v>напиток, соус, десерт или горячее блюдо после пробной дегустации</x:v>
      </x:c>
      <x:c r="Y12" s="28" t="str">
        <x:v>напитки; еда; десерты; соусы/маринады</x:v>
      </x:c>
      <x:c r="Z12" s="28" t="str">
        <x:v>Гипотеза / практическая</x:v>
      </x:c>
      <x:c r="AA12" s="28" t="str">
        <x:v>Таблица сочетания(1).pdf</x:v>
      </x:c>
      <x:c r="AB12" s="28" t="str">
        <x:v>Таблица сочетания(1).pdf: Таблица сочетаний: 1, 4 | Таблица сочетания(1).pdf: 1 | Таблица сочетания(1).pdf: 4</x:v>
      </x:c>
      <x:c r="AC12" s="28" t="str">
        <x:v>Абрикос: вишня | Вишня: абрикос Пара указана в строке «Абрикос» → колонка «Фрукты». Пара указана в строке «Вишня»: «абрикос» находится в колонке «Фрукты».</x:v>
      </x:c>
      <x:c r="AD12" s="28" t="n">
        <x:v>1</x:v>
      </x:c>
      <x:c r="AE12" s="28" t="n">
        <x:v>3</x:v>
      </x:c>
      <x:c r="AF12" s="28" t="n">
        <x:f>IF(Z12="Высокая",3,IF(Z12="Средняя",2,1))+AD12*2+MIN(AE12,3)</x:f>
        <x:v>6</x:v>
      </x:c>
    </x:row>
    <x:row r="13" ht="62" customHeight="1">
      <x:c r="A13" s="28" t="str">
        <x:v>STN-0012</x:v>
      </x:c>
      <x:c r="B13" s="28" t="str">
        <x:v>абрикос</x:v>
      </x:c>
      <x:c r="C13" s="28" t="str">
        <x:v>Десерты и выпечка</x:v>
      </x:c>
      <x:c r="D13" s="28" t="str">
        <x:v>абрикос</x:v>
      </x:c>
      <x:c r="E13" s="28" t="str">
        <x:v>apricot</x:v>
      </x:c>
      <x:c r="F13" s="28" t="str">
        <x:v>Косточковые фрукты</x:v>
      </x:c>
      <x:c r="G13" s="28" t="str">
        <x:v>голубика</x:v>
      </x:c>
      <x:c r="H13" s="28" t="str">
        <x:v>Blueberry | Голубика</x:v>
      </x:c>
      <x:c r="I13" s="28" t="str">
        <x:v>Ягоды</x:v>
      </x:c>
      <x:c r="J13" s="28" t="str">
        <x:v>цветочный, фруктовый, медовый, сливочно-лактонный, миндальный</x:v>
      </x:c>
      <x:c r="K13" s="28" t="str">
        <x:v>красно-фруктовый, цветочный, зелёный и иногда сернистый</x:v>
      </x:c>
      <x:c r="L13" s="28" t="str">
        <x:v>γ- и δ-лактоны, линалоол, гераниол, бензальдегид, β-ионон, дамасценон, фруктовые эфиры</x:v>
      </x:c>
      <x:c r="M13" s="28" t="str">
        <x:v>фуранеол, эфиры, иононы, зелёные альдегиды</x:v>
      </x:c>
      <x:c r="N13" s="28" t="str">
        <x:v>цветочный, фруктовый</x:v>
      </x:c>
      <x:c r="O13" s="28" t="str">
        <x:v>ионон, эфиры</x:v>
      </x:c>
      <x:c r="P13" s="28" t="str">
        <x:v>прямое или классовое перекрытие характерных одорантов + вкусовой баланс</x:v>
      </x:c>
      <x:c r="Q13" s="28" t="str">
        <x:v>Близкие фруктовые эфиры создают непрерывность, а различия в кислотности, терпкости и сладости формируют контраст.</x:v>
      </x:c>
      <x:c r="R13" s="28" t="str">
        <x:v>обычно слабый; кислотность повышает слюноотделение; партнёр: обычно слабый; кислота усиливает свежесть</x:v>
      </x:c>
      <x:c r="S13" s="28" t="str">
        <x:v>водно-пектиновая мякоть; низкий жир; кожица и косточка могут добавлять терпкость и миндальный оттенок. Партнёр: водная пектиновая; антоцианы влияют на цвет, но не являются главными одорантами.</x:v>
      </x:c>
      <x:c r="T1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1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ионон,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водная пектиновая; антоцианы влияют на цвет, но не являются главными одорантами.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1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13" s="28" t="str">
        <x:v>ваниль, мята или миндаль</x:v>
      </x:c>
      <x:c r="X13" s="28" t="str">
        <x:v>сорбет, салат, джем, кордиал, лимонад, коктейль или фруктовый соус</x:v>
      </x:c>
      <x:c r="Y13" s="28" t="str">
        <x:v>напитки; десерты; соусы/маринады</x:v>
      </x:c>
      <x:c r="Z13" s="28" t="str">
        <x:v>Высокая</x:v>
      </x:c>
      <x:c r="AA13" s="28" t="str">
        <x:v>The Art &amp; Science of Foodpairing.pdf | Таблица сочетания(1).pdf</x:v>
      </x:c>
      <x:c r="AB13" s="28" t="str">
        <x:v>The Art &amp; Science of Foodpairing.pdf: The Art &amp; Science of Foodpairing: 205; Таблица сочетаний: 3 | Таблица сочетания(1).pdf: 3 | The Art &amp; Science of Foodpairing.pdf: 204 | The Art &amp; Science of Foodpairing.pdf: 205</x:v>
      </x:c>
      <x:c r="AC13" s="28" t="str">
        <x:v>Голубика: абрикос | Ingredient pairings with Blueberry: apricot Пара указана в строке «Голубика»: «абрикос» находится в колонке «Фрукты». Ингредиент «apricot brandy» указан на странице профиля/сетки сочетаний «Blueberry».</x:v>
      </x:c>
      <x:c r="AD13" s="28" t="n">
        <x:v>2</x:v>
      </x:c>
      <x:c r="AE13" s="28" t="n">
        <x:v>4</x:v>
      </x:c>
      <x:c r="AF13" s="28" t="n">
        <x:f>IF(Z13="Высокая",3,IF(Z13="Средняя",2,1))+AD13*2+MIN(AE13,3)</x:f>
        <x:v>10</x:v>
      </x:c>
    </x:row>
    <x:row r="14" ht="62" customHeight="1">
      <x:c r="A14" s="28" t="str">
        <x:v>STN-0013</x:v>
      </x:c>
      <x:c r="B14" s="28" t="str">
        <x:v>абрикос</x:v>
      </x:c>
      <x:c r="C14" s="28" t="str">
        <x:v>Десерты и выпечка</x:v>
      </x:c>
      <x:c r="D14" s="28" t="str">
        <x:v>абрикос</x:v>
      </x:c>
      <x:c r="E14" s="28" t="str">
        <x:v>apricot</x:v>
      </x:c>
      <x:c r="F14" s="28" t="str">
        <x:v>Косточковые фрукты</x:v>
      </x:c>
      <x:c r="G14" s="28" t="str">
        <x:v>грецкий орех</x:v>
      </x:c>
      <x:c r="H14" s="28" t="str">
        <x:v>Грецкий орех</x:v>
      </x:c>
      <x:c r="I14" s="28" t="str">
        <x:v>Орехи и семена</x:v>
      </x:c>
      <x:c r="J14" s="28" t="str">
        <x:v>цветочный, фруктовый, медовый, сливочно-лактонный, миндальный</x:v>
      </x:c>
      <x:c r="K14" s="28" t="str">
        <x:v>ореховый, жареный, маслянистый и иногда миндальный</x:v>
      </x:c>
      <x:c r="L14" s="28" t="str">
        <x:v>γ- и δ-лактоны, линалоол, гераниол, бензальдегид, β-ионон, дамасценон, фруктовые эфиры</x:v>
      </x:c>
      <x:c r="M14" s="28" t="str">
        <x:v>пиразины, бензальдегид, филбертон, жирные альдегиды</x:v>
      </x:c>
      <x:c r="N14" s="28" t="str">
        <x:v>миндальный</x:v>
      </x:c>
      <x:c r="O14" s="28" t="str">
        <x:v>бензальдегид</x:v>
      </x:c>
      <x:c r="P14" s="28" t="str">
        <x:v>прямое или классовое перекрытие характерных одорантов + вкусовой баланс</x:v>
      </x:c>
      <x:c r="Q14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14" s="28" t="str">
        <x:v>обычно слабый; кислотность повышает слюноотделение; партнёр: обычно отсутствует</x:v>
      </x:c>
      <x:c r="S14" s="28" t="str">
        <x:v>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</x:v>
      </x:c>
      <x:c r="T1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1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Грецкий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1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W14" s="28" t="str">
        <x:v>ваниль, шоколад или корица</x:v>
      </x:c>
      <x:c r="X14" s="28" t="str">
        <x:v>тарт, крем, мороженое, выпечка, сырная подача или начинка</x:v>
      </x:c>
      <x:c r="Y14" s="28" t="str">
        <x:v>десерты; еда</x:v>
      </x:c>
      <x:c r="Z14" s="28" t="str">
        <x:v>Гипотеза / практическая</x:v>
      </x:c>
      <x:c r="AA14" s="28" t="str">
        <x:v>Таблица сочетания(1).pdf</x:v>
      </x:c>
      <x:c r="AB14" s="28" t="str">
        <x:v>Таблица сочетания(1).pdf: 21</x:v>
      </x:c>
      <x:c r="AC14" s="28" t="str">
        <x:v>Пара указана в строке «Грецкий орех»: «абрикос» находится в колонке «Фрукты».</x:v>
      </x:c>
      <x:c r="AD14" s="28" t="n">
        <x:v>1</x:v>
      </x:c>
      <x:c r="AE14" s="28" t="n">
        <x:v>1</x:v>
      </x:c>
      <x:c r="AF14" s="28" t="n">
        <x:f>IF(Z14="Высокая",3,IF(Z14="Средняя",2,1))+AD14*2+MIN(AE14,3)</x:f>
        <x:v>4</x:v>
      </x:c>
    </x:row>
    <x:row r="15" ht="62" customHeight="1">
      <x:c r="A15" s="28" t="str">
        <x:v>STN-0014</x:v>
      </x:c>
      <x:c r="B15" s="28" t="str">
        <x:v>абрикос</x:v>
      </x:c>
      <x:c r="C15" s="28" t="str">
        <x:v>Универсальные</x:v>
      </x:c>
      <x:c r="D15" s="28" t="str">
        <x:v>абрикос</x:v>
      </x:c>
      <x:c r="E15" s="28" t="str">
        <x:v>apricot</x:v>
      </x:c>
      <x:c r="F15" s="28" t="str">
        <x:v>Косточковые фрукты</x:v>
      </x:c>
      <x:c r="G15" s="28" t="str">
        <x:v>грибы</x:v>
      </x:c>
      <x:c r="H15" s="28" t="str">
        <x:v>Грибы | грибы</x:v>
      </x:c>
      <x:c r="I15" s="28" t="str">
        <x:v>Овощи и грибы</x:v>
      </x:c>
      <x:c r="J15" s="28" t="str">
        <x:v>цветочный, фруктовый, медовый, сливочно-лактонный, миндальный</x:v>
      </x:c>
      <x:c r="K15" s="28" t="str">
        <x:v>зелёный, землистый, сернистый</x:v>
      </x:c>
      <x:c r="L15" s="28" t="str">
        <x:v>γ- и δ-лактоны, линалоол, гераниол, бензальдегид, β-ионон, дамасценон, фруктовые эфиры</x:v>
      </x:c>
      <x:c r="M15" s="28" t="str">
        <x:v>C6-альдегиды, пиразины, сернистые соединения</x:v>
      </x:c>
      <x:c r="N15" s="28" t="str">
        <x:v>прямое семейное перекрытие не является главным механизмом</x:v>
      </x:c>
      <x:c r="O15" s="28" t="str">
        <x:v>надёжный единичный общий маркер не подтверждён; механизм не сводится к одной молекуле</x:v>
      </x:c>
      <x:c r="P15" s="28" t="str">
        <x:v>комплементарность ароматических семейств, вкусовой контраст и матричный эффект</x:v>
      </x:c>
      <x:c r="Q15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растительный, иногда умами. Баланс корректируется сахаром, кислотой, солью и горечью.</x:v>
      </x:c>
      <x:c r="R15" s="28" t="str">
        <x:v>обычно слабый; кислотность повышает слюноотделение; партнёр: обычно отсутствует; зависит от конкретного продукта</x:v>
      </x:c>
      <x:c r="S15" s="28" t="str">
        <x:v>водно-пектиновая мякоть; низкий жир; кожица и косточка могут добавлять терпкость и миндальный оттенок. Партнёр: высокая доля воды; нагрев меняет зелёный профиль.</x:v>
      </x:c>
      <x:c r="T1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1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Грибы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растительный, иногда умами.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высокая доля воды; нагрев меняет зелёный профиль.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1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15" s="28" t="str">
        <x:v>мёд, цитрус или нейтральная жировая основа</x:v>
      </x:c>
      <x:c r="X15" s="28" t="str">
        <x:v>напиток, соус, десерт или горячее блюдо после пробной дегустации</x:v>
      </x:c>
      <x:c r="Y15" s="28" t="str">
        <x:v>напитки; еда; десерты; соусы/маринады</x:v>
      </x:c>
      <x:c r="Z15" s="28" t="str">
        <x:v>Средняя</x:v>
      </x:c>
      <x:c r="AA15" s="28" t="str">
        <x:v>Тезариус вкусов (Ники Сегнит)(1).pdf</x:v>
      </x:c>
      <x:c r="AB15" s="28" t="str">
        <x:v>Тезариус вкусов (Ники Сегнит)(1).pdf: 192 | Тезариус вкусов (Ники Сегнит)(1).pdf: 742</x:v>
      </x:c>
      <x:c r="AC15" s="28" t="str">
        <x:v>Грибы и абрикос. Пара «грибы плюс абрикос» хо- Абрикос и грибы. См. Грибы и абрикос</x:v>
      </x:c>
      <x:c r="AD15" s="28" t="n">
        <x:v>1</x:v>
      </x:c>
      <x:c r="AE15" s="28" t="n">
        <x:v>2</x:v>
      </x:c>
      <x:c r="AF15" s="28" t="n">
        <x:f>IF(Z15="Высокая",3,IF(Z15="Средняя",2,1))+AD15*2+MIN(AE15,3)</x:f>
        <x:v>6</x:v>
      </x:c>
    </x:row>
    <x:row r="16" ht="62" customHeight="1">
      <x:c r="A16" s="28" t="str">
        <x:v>STN-0015</x:v>
      </x:c>
      <x:c r="B16" s="28" t="str">
        <x:v>абрикос</x:v>
      </x:c>
      <x:c r="C16" s="28" t="str">
        <x:v>Десерты и выпечка</x:v>
      </x:c>
      <x:c r="D16" s="28" t="str">
        <x:v>абрикос</x:v>
      </x:c>
      <x:c r="E16" s="28" t="str">
        <x:v>apricot</x:v>
      </x:c>
      <x:c r="F16" s="28" t="str">
        <x:v>Косточковые фрукты</x:v>
      </x:c>
      <x:c r="G16" s="28" t="str">
        <x:v>джем из купуасу</x:v>
      </x:c>
      <x:c r="H16" s="28" t="str">
        <x:v>cupuaçu jam</x:v>
      </x:c>
      <x:c r="I16" s="28" t="str">
        <x:v>Фрукты</x:v>
      </x:c>
      <x:c r="J16" s="28" t="str">
        <x:v>цветочный, фруктовый, медовый, сливочно-лактонный, миндальный</x:v>
      </x:c>
      <x:c r="K16" s="28" t="str">
        <x:v>фруктовый, цветочный, зелёный или тропический</x:v>
      </x:c>
      <x:c r="L16" s="28" t="str">
        <x:v>γ- и δ-лактоны, линалоол, гераниол, бензальдегид, β-ионон, дамасценон, фруктовые эфиры</x:v>
      </x:c>
      <x:c r="M16" s="28" t="str">
        <x:v>фруктовые эфиры, терпены, альдегиды и лактоны</x:v>
      </x:c>
      <x:c r="N16" s="28" t="str">
        <x:v>цветочный, фруктовый</x:v>
      </x:c>
      <x:c r="O16" s="28" t="str">
        <x:v>фруктовые эфиры</x:v>
      </x:c>
      <x:c r="P16" s="28" t="str">
        <x:v>прямое или классовое перекрытие характерных одорантов + вкусовой баланс</x:v>
      </x:c>
      <x:c r="Q16" s="28" t="str">
        <x:v>Близкие фруктовые эфиры создают непрерывность, а различия в кислотности, терпкости и сладости формируют контраст.</x:v>
      </x:c>
      <x:c r="R16" s="28" t="str">
        <x:v>обычно слабый; кислотность повышает слюноотделение; партнёр: обычно слабый</x:v>
      </x:c>
      <x:c r="S16" s="28" t="str">
        <x:v>водно-пектиновая мякоть; низкий жир; кожица и косточка могут добавлять терпкость и миндальный оттенок. Партнёр: преимущественно водно-пектиновая матрица.</x:v>
      </x:c>
      <x:c r="T1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U1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Джем из купуасу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преимущественно водно-пектиновая матрица.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V1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16" s="28" t="str">
        <x:v>цитрус, мята или ваниль</x:v>
      </x:c>
      <x:c r="X16" s="28" t="str">
        <x:v>сорбет, салат, джем, кордиал, лимонад, коктейль или фруктовый соус</x:v>
      </x:c>
      <x:c r="Y16" s="28" t="str">
        <x:v>напитки; десерты; соусы/маринады</x:v>
      </x:c>
      <x:c r="Z16" s="28" t="str">
        <x:v>Средняя</x:v>
      </x:c>
      <x:c r="AA16" s="28" t="str">
        <x:v>The Art &amp; Science of Foodpairing.pdf</x:v>
      </x:c>
      <x:c r="AB16" s="28" t="str">
        <x:v>The Art &amp; Science of Foodpairing.pdf: 206</x:v>
      </x:c>
      <x:c r="AC16" s="28" t="str">
        <x:v>Ingredient pairings with apricot: cupuaçu jam.</x:v>
      </x:c>
      <x:c r="AD16" s="28" t="n">
        <x:v>1</x:v>
      </x:c>
      <x:c r="AE16" s="28" t="n">
        <x:v>1</x:v>
      </x:c>
      <x:c r="AF16" s="28" t="n">
        <x:f>IF(Z16="Высокая",3,IF(Z16="Средняя",2,1))+AD16*2+MIN(AE16,3)</x:f>
        <x:v>5</x:v>
      </x:c>
    </x:row>
    <x:row r="17" ht="62" customHeight="1">
      <x:c r="A17" s="28" t="str">
        <x:v>STN-0016</x:v>
      </x:c>
      <x:c r="B17" s="28" t="str">
        <x:v>абрикос</x:v>
      </x:c>
      <x:c r="C17" s="28" t="str">
        <x:v>Еда и соусы</x:v>
      </x:c>
      <x:c r="D17" s="28" t="str">
        <x:v>абрикос</x:v>
      </x:c>
      <x:c r="E17" s="28" t="str">
        <x:v>apricot</x:v>
      </x:c>
      <x:c r="F17" s="28" t="str">
        <x:v>Косточковые фрукты</x:v>
      </x:c>
      <x:c r="G17" s="28" t="str">
        <x:v>доенджан</x:v>
      </x:c>
      <x:c r="H17" s="28" t="str">
        <x:v>Doenjang</x:v>
      </x:c>
      <x:c r="I17" s="28" t="str">
        <x:v>Ферментированные продукты, соусы и уксусы</x:v>
      </x:c>
      <x:c r="J17" s="28" t="str">
        <x:v>цветочный, фруктовый, медовый, сливочно-лактонный, миндальный</x:v>
      </x:c>
      <x:c r="K17" s="28" t="str">
        <x:v>умами, ферментированный, солёный, кислый и иногда жареный</x:v>
      </x:c>
      <x:c r="L17" s="28" t="str">
        <x:v>γ- и δ-лактоны, линалоол, гераниол, бензальдегид, β-ионон, дамасценон, фруктовые эфиры</x:v>
      </x:c>
      <x:c r="M17" s="28" t="str">
        <x:v>органические кислоты, эфиры, пиразины, сернистые соединения</x:v>
      </x:c>
      <x:c r="N17" s="28" t="str">
        <x:v>прямое семейное перекрытие не является главным механизмом</x:v>
      </x:c>
      <x:c r="O17" s="28" t="str">
        <x:v>эфиры</x:v>
      </x:c>
      <x:c r="P17" s="28" t="str">
        <x:v>прямое или классовое перекрытие характерных одорантов + вкусовой баланс</x:v>
      </x:c>
      <x:c r="Q17" s="28" t="str">
        <x:v>Кислота, соль и умами усиливают контраст с фруктовой сладостью; сочетание работает в малой дозировке как приправа.</x:v>
      </x:c>
      <x:c r="R17" s="28" t="str">
        <x:v>обычно слабый; кислотность повышает слюноотделение; партнёр: уксусная кислота даёт резкое покалывание</x:v>
      </x:c>
      <x:c r="S17" s="28" t="str">
        <x:v>водно-пектиновая мякоть; низкий жир; кожица и косточка могут добавлять терпкость и миндальный оттенок. Партнёр: часто водная и солёная; концентраты требуют малых доз.</x:v>
      </x:c>
      <x:c r="T1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U1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Доенджан относится к группе «Ферментированные продукты, соусы и уксусы» и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В рабочих профилях пересекаются: эфиры. Кислота, соль и умами усиливают контраст с фруктовой сладостью; сочетание работает в малой дозировке как приправа. Матрица пары: водно-пектиновая мякоть; низкий жир; кожица и косточка могут добавлять терпкость и миндальный оттенок. Партнёр: часто водная и солёная; концентраты требуют малых доз.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V1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Соль и кислота быстро становятся доминирующими; используйте как акцент.</x:v>
      </x:c>
      <x:c r="W17" s="28" t="str">
        <x:v>мёд, имбирь или соевый соус</x:v>
      </x:c>
      <x:c r="X17" s="28" t="str">
        <x:v>соус, глазировка, чатни, маринад, гарнир или основное блюдо</x:v>
      </x:c>
      <x:c r="Y17" s="28" t="str">
        <x:v>еда; соусы/маринады</x:v>
      </x:c>
      <x:c r="Z17" s="28" t="str">
        <x:v>Средняя</x:v>
      </x:c>
      <x:c r="AA17" s="28" t="str">
        <x:v>The Art &amp; Science of Foodpairing.pdf</x:v>
      </x:c>
      <x:c r="AB17" s="28" t="str">
        <x:v>The Art &amp; Science of Foodpairing.pdf: 246 | The Art &amp; Science of Foodpairing.pdf: 247</x:v>
      </x:c>
      <x:c r="AC17" s="28" t="str">
        <x:v>Ингредиент «apricot» указан на странице профиля/сетки сочетаний «Doenjang». Ингредиент «candied apricot» указан на странице профиля/сетки сочетаний «Doenjang».</x:v>
      </x:c>
      <x:c r="AD17" s="28" t="n">
        <x:v>1</x:v>
      </x:c>
      <x:c r="AE17" s="28" t="n">
        <x:v>3</x:v>
      </x:c>
      <x:c r="AF17" s="28" t="n">
        <x:f>IF(Z17="Высокая",3,IF(Z17="Средняя",2,1))+AD17*2+MIN(AE17,3)</x:f>
        <x:v>7</x:v>
      </x:c>
    </x:row>
    <x:row r="18" ht="62" customHeight="1">
      <x:c r="A18" s="28" t="str">
        <x:v>STN-0017</x:v>
      </x:c>
      <x:c r="B18" s="28" t="str">
        <x:v>абрикос</x:v>
      </x:c>
      <x:c r="C18" s="28" t="str">
        <x:v>Десерты и выпечка</x:v>
      </x:c>
      <x:c r="D18" s="28" t="str">
        <x:v>абрикос</x:v>
      </x:c>
      <x:c r="E18" s="28" t="str">
        <x:v>apricot</x:v>
      </x:c>
      <x:c r="F18" s="28" t="str">
        <x:v>Косточковые фрукты</x:v>
      </x:c>
      <x:c r="G18" s="28" t="str">
        <x:v>жареный каштан</x:v>
      </x:c>
      <x:c r="H18" s="28" t="str">
        <x:v>roasted chestnut</x:v>
      </x:c>
      <x:c r="I18" s="28" t="str">
        <x:v>Орехи и семена</x:v>
      </x:c>
      <x:c r="J18" s="28" t="str">
        <x:v>цветочный, фруктовый, медовый, сливочно-лактонный, миндальный</x:v>
      </x:c>
      <x:c r="K18" s="28" t="str">
        <x:v>ореховый, жареный, древесный, иногда миндальный</x:v>
      </x:c>
      <x:c r="L18" s="28" t="str">
        <x:v>γ- и δ-лактоны, линалоол, гераниол, бензальдегид, β-ионон, дамасценон, фруктовые эфиры</x:v>
      </x:c>
      <x:c r="M18" s="28" t="str">
        <x:v>бензальдегид, пиразины, фураны, лактоны и липидные альдегиды</x:v>
      </x:c>
      <x:c r="N18" s="28" t="str">
        <x:v>миндальный</x:v>
      </x:c>
      <x:c r="O18" s="28" t="str">
        <x:v>бензальдегид</x:v>
      </x:c>
      <x:c r="P18" s="28" t="str">
        <x:v>прямое или классовое перекрытие характерных одорантов + вкусовой баланс</x:v>
      </x:c>
      <x:c r="Q18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18" s="28" t="str">
        <x:v>обычно слабый; кислотность повышает слюноотделение; партнёр: нет выраженного</x:v>
      </x:c>
      <x:c r="S18" s="28" t="str">
        <x:v>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</x:v>
      </x:c>
      <x:c r="T1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U1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Жареный каштан относится к группе «Орехи и семена» и даёт профиль «ореховый, жареный, древесный, иногда миндальный»; типичные соединения или классы: бензальдегид, пиразины, фураны, лактоны и липидные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V1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W18" s="28" t="str">
        <x:v>ваниль, шоколад или корица</x:v>
      </x:c>
      <x:c r="X18" s="28" t="str">
        <x:v>тарт, крем, мороженое, выпечка, сырная подача или начинка</x:v>
      </x:c>
      <x:c r="Y18" s="28" t="str">
        <x:v>десерты; еда</x:v>
      </x:c>
      <x:c r="Z18" s="28" t="str">
        <x:v>Средняя</x:v>
      </x:c>
      <x:c r="AA18" s="28" t="str">
        <x:v>The Art &amp; Science of Foodpairing.pdf</x:v>
      </x:c>
      <x:c r="AB18" s="28" t="str">
        <x:v>The Art &amp; Science of Foodpairing.pdf: 206</x:v>
      </x:c>
      <x:c r="AC18" s="28" t="str">
        <x:v>Ingredient pairings with apricot: roasted chestnut.</x:v>
      </x:c>
      <x:c r="AD18" s="28" t="n">
        <x:v>1</x:v>
      </x:c>
      <x:c r="AE18" s="28" t="n">
        <x:v>1</x:v>
      </x:c>
      <x:c r="AF18" s="28" t="n">
        <x:f>IF(Z18="Высокая",3,IF(Z18="Средняя",2,1))+AD18*2+MIN(AE18,3)</x:f>
        <x:v>5</x:v>
      </x:c>
    </x:row>
    <x:row r="19" ht="62" customHeight="1">
      <x:c r="A19" s="28" t="str">
        <x:v>STN-0018</x:v>
      </x:c>
      <x:c r="B19" s="28" t="str">
        <x:v>абрикос</x:v>
      </x:c>
      <x:c r="C19" s="28" t="str">
        <x:v>Десерты и выпечка</x:v>
      </x:c>
      <x:c r="D19" s="28" t="str">
        <x:v>абрикос</x:v>
      </x:c>
      <x:c r="E19" s="28" t="str">
        <x:v>apricot</x:v>
      </x:c>
      <x:c r="F19" s="28" t="str">
        <x:v>Косточковые фрукты</x:v>
      </x:c>
      <x:c r="G19" s="28" t="str">
        <x:v>жареный фундук</x:v>
      </x:c>
      <x:c r="H19" s="28" t="str">
        <x:v>roasted hazelnut</x:v>
      </x:c>
      <x:c r="I19" s="28" t="str">
        <x:v>Орехи и семена</x:v>
      </x:c>
      <x:c r="J19" s="28" t="str">
        <x:v>цветочный, фруктовый, медовый, сливочно-лактонный, миндальный</x:v>
      </x:c>
      <x:c r="K19" s="28" t="str">
        <x:v>жареный, миндальный, ореховый</x:v>
      </x:c>
      <x:c r="L19" s="28" t="str">
        <x:v>γ- и δ-лактоны, линалоол, гераниол, бензальдегид, β-ионон, дамасценон, фруктовые эфиры</x:v>
      </x:c>
      <x:c r="M19" s="28" t="str">
        <x:v>бензальдегид, пиразины, фураны</x:v>
      </x:c>
      <x:c r="N19" s="28" t="str">
        <x:v>миндальный</x:v>
      </x:c>
      <x:c r="O19" s="28" t="str">
        <x:v>бензальдегид</x:v>
      </x:c>
      <x:c r="P19" s="28" t="str">
        <x:v>прямое или классовое перекрытие характерных одорантов + вкусовой баланс</x:v>
      </x:c>
      <x:c r="Q19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19" s="28" t="str">
        <x:v>обычно слабый; кислотность повышает слюноотделение; партнёр: обычно отсутствует; зависит от конкретного продукта</x:v>
      </x:c>
      <x:c r="S19" s="28" t="str">
        <x:v>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</x:v>
      </x:c>
      <x:c r="T1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1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Жареный фундук относится к группе «Орехи и семена» и даёт профиль «жареный, миндальный, ореховый»; типичные соединения или классы: бензальдегид, пиразины, фураны.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1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W19" s="28" t="str">
        <x:v>ваниль, шоколад или корица</x:v>
      </x:c>
      <x:c r="X19" s="28" t="str">
        <x:v>тарт, крем, мороженое, выпечка, сырная подача или начинка</x:v>
      </x:c>
      <x:c r="Y19" s="28" t="str">
        <x:v>десерты; еда</x:v>
      </x:c>
      <x:c r="Z19" s="28" t="str">
        <x:v>Средняя</x:v>
      </x:c>
      <x:c r="AA19" s="28" t="str">
        <x:v>The Art &amp; Science of Foodpairing.pdf</x:v>
      </x:c>
      <x:c r="AB19" s="28" t="str">
        <x:v>The Art &amp; Science of Foodpairing.pdf: 206</x:v>
      </x:c>
      <x:c r="AC19" s="28" t="str">
        <x:v>Ingredient pairings with apricot: roasted hazelnut.</x:v>
      </x:c>
      <x:c r="AD19" s="28" t="n">
        <x:v>1</x:v>
      </x:c>
      <x:c r="AE19" s="28" t="n">
        <x:v>1</x:v>
      </x:c>
      <x:c r="AF19" s="28" t="n">
        <x:f>IF(Z19="Высокая",3,IF(Z19="Средняя",2,1))+AD19*2+MIN(AE19,3)</x:f>
        <x:v>5</x:v>
      </x:c>
    </x:row>
    <x:row r="20" ht="62" customHeight="1">
      <x:c r="A20" s="28" t="str">
        <x:v>STN-0019</x:v>
      </x:c>
      <x:c r="B20" s="28" t="str">
        <x:v>абрикос</x:v>
      </x:c>
      <x:c r="C20" s="28" t="str">
        <x:v>Еда и соусы</x:v>
      </x:c>
      <x:c r="D20" s="28" t="str">
        <x:v>абрикос</x:v>
      </x:c>
      <x:c r="E20" s="28" t="str">
        <x:v>apricot</x:v>
      </x:c>
      <x:c r="F20" s="28" t="str">
        <x:v>Косточковые фрукты</x:v>
      </x:c>
      <x:c r="G20" s="28" t="str">
        <x:v>запеченный морской язык</x:v>
      </x:c>
      <x:c r="H20" s="28" t="str">
        <x:v>Baked Dover sole</x:v>
      </x:c>
      <x:c r="I20" s="28" t="str">
        <x:v>Рыба и морепродукты</x:v>
      </x:c>
      <x:c r="J20" s="28" t="str">
        <x:v>цветочный, фруктовый, медовый, сливочно-лактонный, миндальный</x:v>
      </x:c>
      <x:c r="K20" s="28" t="str">
        <x:v>морской, солёный, умами, иногда йодистый и жареный</x:v>
      </x:c>
      <x:c r="L20" s="28" t="str">
        <x:v>γ- и δ-лактоны, линалоол, гераниол, бензальдегид, β-ионон, дамасценон, фруктовые эфиры</x:v>
      </x:c>
      <x:c r="M20" s="28" t="str">
        <x:v>амины, бромфенолы, альдегиды жирных кислот, сернистые соединения</x:v>
      </x:c>
      <x:c r="N20" s="28" t="str">
        <x:v>прямое семейное перекрытие не является главным механизмом</x:v>
      </x:c>
      <x:c r="O20" s="28" t="str">
        <x:v>надёжный единичный общий маркер не подтверждён; механизм не сводится к одной молекуле</x:v>
      </x:c>
      <x:c r="P20" s="28" t="str">
        <x:v>комплементарность ароматических семейств, вкусовой контраст и матричный эффект</x:v>
      </x:c>
      <x:c r="Q20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20" s="28" t="str">
        <x:v>обычно слабый; кислотность повышает слюноотделение; партнёр: нет выраженного</x:v>
      </x:c>
      <x:c r="S20" s="28" t="str">
        <x:v>водно-пектиновая мякоть; низкий жир; кожица и косточка могут добавлять терпкость и миндальный оттенок. Партнёр: водно-белковая матрица; жирная рыба лучше удерживает лактоны.</x:v>
      </x:c>
      <x:c r="T2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U2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Запеченный морской язык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 мякоть; низкий жир; кожица и косточка могут добавлять терпкость и миндальный оттенок. Партнёр: водно-белковая матрица; жирная рыба лучше удерживает лактоны.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V2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сладость и длительный контакт с кислотой могут замаскировать морской вкус и изменить белковую текстуру.</x:v>
      </x:c>
      <x:c r="W20" s="28" t="str">
        <x:v>цитрус, укроп или оливковое масло</x:v>
      </x:c>
      <x:c r="X20" s="28" t="str">
        <x:v>соус, глазировка, чатни, маринад, гарнир или основное блюдо</x:v>
      </x:c>
      <x:c r="Y20" s="28" t="str">
        <x:v>еда; соусы/маринады</x:v>
      </x:c>
      <x:c r="Z20" s="28" t="str">
        <x:v>Средняя</x:v>
      </x:c>
      <x:c r="AA20" s="28" t="str">
        <x:v>The Art &amp; Science of Foodpairing.pdf</x:v>
      </x:c>
      <x:c r="AB20" s="28" t="str">
        <x:v>The Art &amp; Science of Foodpairing.pdf: 104</x:v>
      </x:c>
      <x:c r="AC20" s="28" t="str">
        <x:v>Ингредиент «candied apricot» указан на странице профиля/сетки сочетаний «Baked Dover sole».</x:v>
      </x:c>
      <x:c r="AD20" s="28" t="n">
        <x:v>1</x:v>
      </x:c>
      <x:c r="AE20" s="28" t="n">
        <x:v>1</x:v>
      </x:c>
      <x:c r="AF20" s="28" t="n">
        <x:f>IF(Z20="Высокая",3,IF(Z20="Средняя",2,1))+AD20*2+MIN(AE20,3)</x:f>
        <x:v>5</x:v>
      </x:c>
    </x:row>
    <x:row r="21" ht="62" customHeight="1">
      <x:c r="A21" s="28" t="str">
        <x:v>STN-0020</x:v>
      </x:c>
      <x:c r="B21" s="28" t="str">
        <x:v>абрикос</x:v>
      </x:c>
      <x:c r="C21" s="28" t="str">
        <x:v>Универсальные</x:v>
      </x:c>
      <x:c r="D21" s="28" t="str">
        <x:v>абрикос</x:v>
      </x:c>
      <x:c r="E21" s="28" t="str">
        <x:v>apricot</x:v>
      </x:c>
      <x:c r="F21" s="28" t="str">
        <x:v>Косточковые фрукты</x:v>
      </x:c>
      <x:c r="G21" s="28" t="str">
        <x:v>зира</x:v>
      </x:c>
      <x:c r="H21" s="28" t="str">
        <x:v>Зира | зира | Cumin</x:v>
      </x:c>
      <x:c r="I21" s="28" t="str">
        <x:v>Специи и острые компоненты</x:v>
      </x:c>
      <x:c r="J21" s="28" t="str">
        <x:v>цветочный, фруктовый, медовый, сливочно-лактонный, миндальный</x:v>
      </x:c>
      <x:c r="K21" s="28" t="str">
        <x:v>пряный, древесный, тёплый, цитрусовый или анисовый</x:v>
      </x:c>
      <x:c r="L21" s="28" t="str">
        <x:v>γ- и δ-лактоны, линалоол, гераниол, бензальдегид, β-ионон, дамасценон, фруктовые эфиры</x:v>
      </x:c>
      <x:c r="M21" s="28" t="str">
        <x:v>эвгенол, коричный альдегид, анетол, терпинилацетат</x:v>
      </x:c>
      <x:c r="N21" s="28" t="str">
        <x:v>прямое семейное перекрытие не является главным механизмом</x:v>
      </x:c>
      <x:c r="O21" s="28" t="str">
        <x:v>надёжный единичный общий маркер не подтверждён; механизм не сводится к одной молекуле</x:v>
      </x:c>
      <x:c r="P21" s="28" t="str">
        <x:v>комплементарность ароматических семейств, вкусовой контраст и матричный эффект</x:v>
      </x:c>
      <x:c r="Q21" s="28" t="str">
        <x:v>Сладость и кислота фрукта смягчают остроту и горечь специи, а пряный компонент удлиняет ароматическое послевкусие.</x:v>
      </x:c>
      <x:c r="R21" s="28" t="str">
        <x:v>обычно слабый; кислотность повышает слюноотделение; партнёр: капсаицин, пиперин, гингеролы и камфорные терпены создают жжение, тепло или охлаждение</x:v>
      </x:c>
      <x:c r="S21" s="28" t="str">
        <x:v>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</x:v>
      </x:c>
      <x:c r="T2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2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Зира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2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W21" s="28" t="str">
        <x:v>мёд, цитрус или миндаль</x:v>
      </x:c>
      <x:c r="X21" s="28" t="str">
        <x:v>напиток, соус, десерт или горячее блюдо после пробной дегустации</x:v>
      </x:c>
      <x:c r="Y21" s="28" t="str">
        <x:v>напитки; еда; десерты; соусы/маринады</x:v>
      </x:c>
      <x:c r="Z21" s="28" t="str">
        <x:v>Высокая</x:v>
      </x:c>
      <x:c r="AA21" s="28" t="str">
        <x:v>The Art &amp; Science of Foodpairing.pdf | Тезариус вкусов (Ники Сегнит)(1).pdf</x:v>
      </x:c>
      <x:c r="AB21" s="28" t="str">
        <x:v>Тезариус вкусов (Ники Сегнит)(1).pdf: 214 | Тезариус вкусов (Ники Сегнит)(1).pdf: 742 | The Art &amp; Science of Foodpairing.pdf: 228</x:v>
      </x:c>
      <x:c r="AC21" s="28" t="str">
        <x:v>Зира и абрикос. При приготовлении еды в таджи- Абрикос и зира. См. Зира и абрикос Ингредиент «apricot» указан на странице профиля/сетки сочетаний «Cumin».</x:v>
      </x:c>
      <x:c r="AD21" s="28" t="n">
        <x:v>2</x:v>
      </x:c>
      <x:c r="AE21" s="28" t="n">
        <x:v>3</x:v>
      </x:c>
      <x:c r="AF21" s="28" t="n">
        <x:f>IF(Z21="Высокая",3,IF(Z21="Средняя",2,1))+AD21*2+MIN(AE21,3)</x:f>
        <x:v>10</x:v>
      </x:c>
    </x:row>
    <x:row r="22" ht="62" customHeight="1">
      <x:c r="A22" s="28" t="str">
        <x:v>STN-0021</x:v>
      </x:c>
      <x:c r="B22" s="28" t="str">
        <x:v>абрикос</x:v>
      </x:c>
      <x:c r="C22" s="28" t="str">
        <x:v>Еда и соусы</x:v>
      </x:c>
      <x:c r="D22" s="28" t="str">
        <x:v>абрикос</x:v>
      </x:c>
      <x:c r="E22" s="28" t="str">
        <x:v>apricot</x:v>
      </x:c>
      <x:c r="F22" s="28" t="str">
        <x:v>Косточковые фрукты</x:v>
      </x:c>
      <x:c r="G22" s="28" t="str">
        <x:v>икра</x:v>
      </x:c>
      <x:c r="H22" s="28" t="str">
        <x:v>caviar</x:v>
      </x:c>
      <x:c r="I22" s="28" t="str">
        <x:v>Рыба и морепродукты</x:v>
      </x:c>
      <x:c r="J22" s="28" t="str">
        <x:v>цветочный, фруктовый, медовый, сливочно-лактонный, миндальный</x:v>
      </x:c>
      <x:c r="K22" s="28" t="str">
        <x:v>морской, йодистый, зелёный, жирный</x:v>
      </x:c>
      <x:c r="L22" s="28" t="str">
        <x:v>γ- и δ-лактоны, линалоол, гераниол, бензальдегид, β-ионон, дамасценон, фруктовые эфиры</x:v>
      </x:c>
      <x:c r="M22" s="28" t="str">
        <x:v>альдегиды окисления липидов, бромфенолы, диметилсульфид, умами-соединения</x:v>
      </x:c>
      <x:c r="N22" s="28" t="str">
        <x:v>прямое семейное перекрытие не является главным механизмом</x:v>
      </x:c>
      <x:c r="O22" s="28" t="str">
        <x:v>надёжный единичный общий маркер не подтверждён; механизм не сводится к одной молекуле</x:v>
      </x:c>
      <x:c r="P22" s="28" t="str">
        <x:v>комплементарность ароматических семейств, вкусовой контраст и матричный эффект</x:v>
      </x:c>
      <x:c r="Q22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22" s="28" t="str">
        <x:v>обычно слабый; кислотность повышает слюноотделение; партнёр: нет выраженного</x:v>
      </x:c>
      <x:c r="S22" s="28" t="str">
        <x:v>водно-пектиновая мякоть; низкий жир; кожица и косточка могут добавлять терпкость и миндальный оттенок. Партнёр: кислота может денатурировать поверхностные белки; жир рыбы удерживает терпены.</x:v>
      </x:c>
      <x:c r="T2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U2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Икра относится к группе «Рыба и морепродукты» и даёт профиль «морской, йодистый, зелёный, жирный»; типичные соединения или классы: альдегиды окисления липидов, бромфенолы, диметилсульфид, умами-соединения.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 мякоть; низкий жир; кожица и косточка могут добавлять терпкость и миндальный оттенок. Партнёр: кислота может денатурировать поверхностные белки; жир рыбы удерживает терпены.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V2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сладость и длительный контакт с кислотой могут замаскировать морской вкус и изменить белковую текстуру.</x:v>
      </x:c>
      <x:c r="W22" s="28" t="str">
        <x:v>цитрус, укроп или оливковое масло</x:v>
      </x:c>
      <x:c r="X22" s="28" t="str">
        <x:v>соус, глазировка, чатни, маринад, гарнир или основное блюдо</x:v>
      </x:c>
      <x:c r="Y22" s="28" t="str">
        <x:v>еда; соусы/маринады</x:v>
      </x:c>
      <x:c r="Z22" s="28" t="str">
        <x:v>Средняя</x:v>
      </x:c>
      <x:c r="AA22" s="28" t="str">
        <x:v>The Art &amp; Science of Foodpairing.pdf</x:v>
      </x:c>
      <x:c r="AB22" s="28" t="str">
        <x:v>The Art &amp; Science of Foodpairing.pdf: 206</x:v>
      </x:c>
      <x:c r="AC22" s="28" t="str">
        <x:v>Ingredient pairings with apricot: caviar.</x:v>
      </x:c>
      <x:c r="AD22" s="28" t="n">
        <x:v>1</x:v>
      </x:c>
      <x:c r="AE22" s="28" t="n">
        <x:v>1</x:v>
      </x:c>
      <x:c r="AF22" s="28" t="n">
        <x:f>IF(Z22="Высокая",3,IF(Z22="Средняя",2,1))+AD22*2+MIN(AE22,3)</x:f>
        <x:v>5</x:v>
      </x:c>
    </x:row>
    <x:row r="23" ht="62" customHeight="1">
      <x:c r="A23" s="28" t="str">
        <x:v>STN-0022</x:v>
      </x:c>
      <x:c r="B23" s="28" t="str">
        <x:v>абрикос</x:v>
      </x:c>
      <x:c r="C23" s="28" t="str">
        <x:v>Универсальные</x:v>
      </x:c>
      <x:c r="D23" s="28" t="str">
        <x:v>абрикос</x:v>
      </x:c>
      <x:c r="E23" s="28" t="str">
        <x:v>apricot</x:v>
      </x:c>
      <x:c r="F23" s="28" t="str">
        <x:v>Косточковые фрукты</x:v>
      </x:c>
      <x:c r="G23" s="28" t="str">
        <x:v>имбирь</x:v>
      </x:c>
      <x:c r="H23" s="28" t="str">
        <x:v>имбирь | Имбирь</x:v>
      </x:c>
      <x:c r="I23" s="28" t="str">
        <x:v>Специи и острые компоненты</x:v>
      </x:c>
      <x:c r="J23" s="28" t="str">
        <x:v>цветочный, фруктовый, медовый, сливочно-лактонный, миндальный</x:v>
      </x:c>
      <x:c r="K23" s="28" t="str">
        <x:v>цитрусово-пряный, древесный и свежий</x:v>
      </x:c>
      <x:c r="L23" s="28" t="str">
        <x:v>γ- и δ-лактоны, линалоол, гераниол, бензальдегид, β-ионон, дамасценон, фруктовые эфиры</x:v>
      </x:c>
      <x:c r="M23" s="28" t="str">
        <x:v>зингиберен, цитраль, гингеролы, шогаолы</x:v>
      </x:c>
      <x:c r="N23" s="28" t="str">
        <x:v>прямое семейное перекрытие не является главным механизмом</x:v>
      </x:c>
      <x:c r="O23" s="28" t="str">
        <x:v>надёжный единичный общий маркер не подтверждён; механизм не сводится к одной молекуле</x:v>
      </x:c>
      <x:c r="P23" s="28" t="str">
        <x:v>комплементарность ароматических семейств, вкусовой контраст и матричный эффект</x:v>
      </x:c>
      <x:c r="Q23" s="28" t="str">
        <x:v>Сладость и кислота фрукта смягчают остроту и горечь специи, а пряный компонент удлиняет ароматическое послевкусие.</x:v>
      </x:c>
      <x:c r="R23" s="28" t="str">
        <x:v>обычно слабый; кислотность повышает слюноотделение; партнёр: гингеролы и шогаолы создают тепло и жжение</x:v>
      </x:c>
      <x:c r="S23" s="28" t="str">
        <x:v>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</x:v>
      </x:c>
      <x:c r="T2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2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2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W23" s="28" t="str">
        <x:v>мёд, цитрус или миндаль</x:v>
      </x:c>
      <x:c r="X23" s="28" t="str">
        <x:v>напиток, соус, десерт или горячее блюдо после пробной дегустации</x:v>
      </x:c>
      <x:c r="Y23" s="28" t="str">
        <x:v>напитки; еда; десерты; соусы/маринады</x:v>
      </x:c>
      <x:c r="Z23" s="28" t="str">
        <x:v>Высокая</x:v>
      </x:c>
      <x:c r="AA23" s="28" t="str">
        <x:v>Таблица сочетания(1).pdf | Тезариус вкусов (Ники Сегнит)(1).pdf</x:v>
      </x:c>
      <x:c r="AB23" s="28" t="str">
        <x:v>Таблица сочетания(1).pdf: 1 | Таблица сочетания(1).pdf: 8 | Тезариус вкусов (Ники Сегнит)(1).pdf: 742 | Тезариус вкусов (Ники Сегнит)(1).pdf: 812</x:v>
      </x:c>
      <x:c r="AC23" s="28" t="str">
        <x:v>Пара указана в строке «Абрикос» → колонка «Травы и специи». Пара указана в строке «Имбирь»: «абрикос» находится в колонке «Фрукты». Абрикос и имбирь. Сладкий абрикос и острый им-</x:v>
      </x:c>
      <x:c r="AD23" s="28" t="n">
        <x:v>2</x:v>
      </x:c>
      <x:c r="AE23" s="28" t="n">
        <x:v>4</x:v>
      </x:c>
      <x:c r="AF23" s="28" t="n">
        <x:f>IF(Z23="Высокая",3,IF(Z23="Средняя",2,1))+AD23*2+MIN(AE23,3)</x:f>
        <x:v>10</x:v>
      </x:c>
    </x:row>
    <x:row r="24" ht="62" customHeight="1">
      <x:c r="A24" s="28" t="str">
        <x:v>STN-0023</x:v>
      </x:c>
      <x:c r="B24" s="28" t="str">
        <x:v>абрикос</x:v>
      </x:c>
      <x:c r="C24" s="28" t="str">
        <x:v>Еда и соусы</x:v>
      </x:c>
      <x:c r="D24" s="28" t="str">
        <x:v>абрикос</x:v>
      </x:c>
      <x:c r="E24" s="28" t="str">
        <x:v>apricot</x:v>
      </x:c>
      <x:c r="F24" s="28" t="str">
        <x:v>Косточковые фрукты</x:v>
      </x:c>
      <x:c r="G24" s="28" t="str">
        <x:v>испанский чоризо</x:v>
      </x:c>
      <x:c r="H24" s="28" t="str">
        <x:v>Spanish chorizo</x:v>
      </x:c>
      <x:c r="I24" s="28" t="str">
        <x:v>Мясо и птица</x:v>
      </x:c>
      <x:c r="J24" s="28" t="str">
        <x:v>цветочный, фруктовый, медовый, сливочно-лактонный, миндальный</x:v>
      </x:c>
      <x:c r="K24" s="28" t="str">
        <x:v>жареный, мясной, жирный, иногда копчёный и пряный</x:v>
      </x:c>
      <x:c r="L24" s="28" t="str">
        <x:v>γ- и δ-лактоны, линалоол, гераниол, бензальдегид, β-ионон, дамасценон, фруктовые эфиры</x:v>
      </x:c>
      <x:c r="M24" s="28" t="str">
        <x:v>пиразины, фураны, сернистые соединения, продукты Майяра, жирные альдегиды</x:v>
      </x:c>
      <x:c r="N24" s="28" t="str">
        <x:v>прямое семейное перекрытие не является главным механизмом</x:v>
      </x:c>
      <x:c r="O24" s="28" t="str">
        <x:v>надёжный единичный общий маркер не подтверждён; механизм не сводится к одной молекуле</x:v>
      </x:c>
      <x:c r="P24" s="28" t="str">
        <x:v>комплементарность ароматических семейств, вкусовой контраст и матричный эффект</x:v>
      </x:c>
      <x:c r="Q24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24" s="28" t="str">
        <x:v>обычно слабый; кислотность повышает слюноотделение; партнёр: тепловой/пряный зависит от обработки</x:v>
      </x:c>
      <x:c r="S24" s="28" t="str">
        <x:v>водно-пектиновая мякоть; низкий жир; кожица и косточка могут добавлять терпкость и миндальный оттенок. Партнёр: жир удерживает фруктовые лактоны; белок смягчает кислотность.</x:v>
      </x:c>
      <x:c r="T2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U2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Испанский чоризо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удерживает фруктовые лактоны; белок смягчает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V2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W24" s="28" t="str">
        <x:v>розмарин, горчица или хересный уксус</x:v>
      </x:c>
      <x:c r="X24" s="28" t="str">
        <x:v>соус, глазировка, чатни, маринад, гарнир или основное блюдо</x:v>
      </x:c>
      <x:c r="Y24" s="28" t="str">
        <x:v>еда; соусы/маринады</x:v>
      </x:c>
      <x:c r="Z24" s="28" t="str">
        <x:v>Средняя</x:v>
      </x:c>
      <x:c r="AA24" s="28" t="str">
        <x:v>The Art &amp; Science of Foodpairing.pdf</x:v>
      </x:c>
      <x:c r="AB24" s="28" t="str">
        <x:v>The Art &amp; Science of Foodpairing.pdf: 289</x:v>
      </x:c>
      <x:c r="AC24" s="28" t="str">
        <x:v>Ингредиент «apricot» указан на странице профиля/сетки сочетаний «Spanish chorizo».</x:v>
      </x:c>
      <x:c r="AD24" s="28" t="n">
        <x:v>1</x:v>
      </x:c>
      <x:c r="AE24" s="28" t="n">
        <x:v>1</x:v>
      </x:c>
      <x:c r="AF24" s="28" t="n">
        <x:f>IF(Z24="Высокая",3,IF(Z24="Средняя",2,1))+AD24*2+MIN(AE24,3)</x:f>
        <x:v>5</x:v>
      </x:c>
    </x:row>
    <x:row r="25" ht="62" customHeight="1">
      <x:c r="A25" s="28" t="str">
        <x:v>STN-0024</x:v>
      </x:c>
      <x:c r="B25" s="28" t="str">
        <x:v>абрикос</x:v>
      </x:c>
      <x:c r="C25" s="28" t="str">
        <x:v>Универсальные</x:v>
      </x:c>
      <x:c r="D25" s="28" t="str">
        <x:v>абрикос</x:v>
      </x:c>
      <x:c r="E25" s="28" t="str">
        <x:v>apricot</x:v>
      </x:c>
      <x:c r="F25" s="28" t="str">
        <x:v>Косточковые фрукты</x:v>
      </x:c>
      <x:c r="G25" s="28" t="str">
        <x:v>карамель</x:v>
      </x:c>
      <x:c r="H25" s="28" t="str">
        <x:v>карамель</x:v>
      </x:c>
      <x:c r="I25" s="28" t="str">
        <x:v>Сахара, мёд и кондитерские основы</x:v>
      </x:c>
      <x:c r="J25" s="28" t="str">
        <x:v>цветочный, фруктовый, медовый, сливочно-лактонный, миндальный</x:v>
      </x:c>
      <x:c r="K25" s="28" t="str">
        <x:v>жжёный сахар, сливочный и жареный</x:v>
      </x:c>
      <x:c r="L25" s="28" t="str">
        <x:v>γ- и δ-лактоны, линалоол, гераниол, бензальдегид, β-ионон, дамасценон, фруктовые эфиры</x:v>
      </x:c>
      <x:c r="M25" s="28" t="str">
        <x:v>мальтол, фурфурол, диацетил</x:v>
      </x:c>
      <x:c r="N25" s="28" t="str">
        <x:v>прямое семейное перекрытие не является главным механизмом</x:v>
      </x:c>
      <x:c r="O25" s="28" t="str">
        <x:v>надёжный единичный общий маркер не подтверждён; механизм не сводится к одной молекуле</x:v>
      </x:c>
      <x:c r="P25" s="28" t="str">
        <x:v>комплементарность ароматических семейств, вкусовой контраст и матричный эффект</x:v>
      </x:c>
      <x:c r="Q25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</x:v>
      </x:c>
      <x:c r="R25" s="28" t="str">
        <x:v>обычно слабый; кислотность повышает слюноотделение; партнёр: отсутствует</x:v>
      </x:c>
      <x:c r="S25" s="28" t="str">
        <x:v>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</x:v>
      </x:c>
      <x:c r="T2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U2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V2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25" s="28" t="str">
        <x:v>мёд, цитрус или нейтральная жировая основа</x:v>
      </x:c>
      <x:c r="X25" s="28" t="str">
        <x:v>напиток, соус, десерт или горячее блюдо после пробной дегустации</x:v>
      </x:c>
      <x:c r="Y25" s="28" t="str">
        <x:v>напитки; еда; десерты; соусы/маринады</x:v>
      </x:c>
      <x:c r="Z25" s="28" t="str">
        <x:v>Гипотеза / практическая</x:v>
      </x:c>
      <x:c r="AA25" s="28" t="str">
        <x:v>Таблица сочетания(1).pdf</x:v>
      </x:c>
      <x:c r="AB25" s="28" t="str">
        <x:v>Таблица сочетания(1).pdf: 1</x:v>
      </x:c>
      <x:c r="AC25" s="28" t="str">
        <x:v>Пара указана в строке «Абрикос» → колонка «Другое».</x:v>
      </x:c>
      <x:c r="AD25" s="28" t="n">
        <x:v>1</x:v>
      </x:c>
      <x:c r="AE25" s="28" t="n">
        <x:v>1</x:v>
      </x:c>
      <x:c r="AF25" s="28" t="n">
        <x:f>IF(Z25="Высокая",3,IF(Z25="Средняя",2,1))+AD25*2+MIN(AE25,3)</x:f>
        <x:v>4</x:v>
      </x:c>
    </x:row>
    <x:row r="26" ht="62" customHeight="1">
      <x:c r="A26" s="28" t="str">
        <x:v>STN-0025</x:v>
      </x:c>
      <x:c r="B26" s="28" t="str">
        <x:v>абрикос</x:v>
      </x:c>
      <x:c r="C26" s="28" t="str">
        <x:v>Универсальные</x:v>
      </x:c>
      <x:c r="D26" s="28" t="str">
        <x:v>абрикос</x:v>
      </x:c>
      <x:c r="E26" s="28" t="str">
        <x:v>apricot</x:v>
      </x:c>
      <x:c r="F26" s="28" t="str">
        <x:v>Косточковые фрукты</x:v>
      </x:c>
      <x:c r="G26" s="28" t="str">
        <x:v>кардамон</x:v>
      </x:c>
      <x:c r="H26" s="28" t="str">
        <x:v>кардамон | Кардамон</x:v>
      </x:c>
      <x:c r="I26" s="28" t="str">
        <x:v>Специи и острые компоненты</x:v>
      </x:c>
      <x:c r="J26" s="28" t="str">
        <x:v>цветочный, фруктовый, медовый, сливочно-лактонный, миндальный</x:v>
      </x:c>
      <x:c r="K26" s="28" t="str">
        <x:v>цитрусовый, камфорный и цветочный</x:v>
      </x:c>
      <x:c r="L26" s="28" t="str">
        <x:v>γ- и δ-лактоны, линалоол, гераниол, бензальдегид, β-ионон, дамасценон, фруктовые эфиры</x:v>
      </x:c>
      <x:c r="M26" s="28" t="str">
        <x:v>1,8-цинеол, α-терпинилацетат, линалоол</x:v>
      </x:c>
      <x:c r="N26" s="28" t="str">
        <x:v>цветочный</x:v>
      </x:c>
      <x:c r="O26" s="28" t="str">
        <x:v>линалоол</x:v>
      </x:c>
      <x:c r="P26" s="28" t="str">
        <x:v>прямое или классовое перекрытие характерных одорантов + вкусовой баланс</x:v>
      </x:c>
      <x:c r="Q26" s="28" t="str">
        <x:v>Сладость и кислота фрукта смягчают остроту и горечь специи, а пряный компонент удлиняет ароматическое послевкусие.</x:v>
      </x:c>
      <x:c r="R26" s="28" t="str">
        <x:v>обычно слабый; кислотность повышает слюноотделение; партнёр: капсаицин, пиперин, гингеролы и камфорные терпены создают жжение, тепло или охлаждение</x:v>
      </x:c>
      <x:c r="S26" s="28" t="str">
        <x:v>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</x:v>
      </x:c>
      <x:c r="T2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2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Кардамон относится к группе «Специи и острые компоненты» и даёт профиль «цитрусовый, камфорный и цветочный»; типичные соединения или классы: 1,8-цинеол, α-терпинилацетат, линалоол. В рабочих профилях пересекаются: линалоол.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2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W26" s="28" t="str">
        <x:v>мёд, цитрус или миндаль</x:v>
      </x:c>
      <x:c r="X26" s="28" t="str">
        <x:v>напиток, соус, десерт или горячее блюдо после пробной дегустации</x:v>
      </x:c>
      <x:c r="Y26" s="28" t="str">
        <x:v>напитки; еда; десерты; соусы/маринады</x:v>
      </x:c>
      <x:c r="Z26" s="28" t="str">
        <x:v>Высокая</x:v>
      </x:c>
      <x:c r="AA26" s="28" t="str">
        <x:v>Таблица сочетания(1).pdf | Тезариус вкусов (Ники Сегнит)(1).pdf</x:v>
      </x:c>
      <x:c r="AB26" s="28" t="str">
        <x:v>Таблица сочетания(1).pdf: 1 | Тезариус вкусов (Ники Сегнит)(1).pdf: 743 | Тезариус вкусов (Ники Сегнит)(1).pdf: 825</x:v>
      </x:c>
      <x:c r="AC26" s="28" t="str">
        <x:v>Пара указана в строке «Абрикос» → колонка «Травы и специи». Абрикос и кардамон. См. Кардамон и абрикос Кардамон и абрикос. Кардамон и абрикос образу-</x:v>
      </x:c>
      <x:c r="AD26" s="28" t="n">
        <x:v>2</x:v>
      </x:c>
      <x:c r="AE26" s="28" t="n">
        <x:v>3</x:v>
      </x:c>
      <x:c r="AF26" s="28" t="n">
        <x:f>IF(Z26="Высокая",3,IF(Z26="Средняя",2,1))+AD26*2+MIN(AE26,3)</x:f>
        <x:v>10</x:v>
      </x:c>
    </x:row>
    <x:row r="27" ht="62" customHeight="1">
      <x:c r="A27" s="28" t="str">
        <x:v>STN-0026</x:v>
      </x:c>
      <x:c r="B27" s="28" t="str">
        <x:v>абрикос</x:v>
      </x:c>
      <x:c r="C27" s="28" t="str">
        <x:v>Десерты и выпечка</x:v>
      </x:c>
      <x:c r="D27" s="28" t="str">
        <x:v>абрикос</x:v>
      </x:c>
      <x:c r="E27" s="28" t="str">
        <x:v>apricot</x:v>
      </x:c>
      <x:c r="F27" s="28" t="str">
        <x:v>Косточковые фрукты</x:v>
      </x:c>
      <x:c r="G27" s="28" t="str">
        <x:v>картофель фри</x:v>
      </x:c>
      <x:c r="H27" s="28" t="str">
        <x:v>French fries</x:v>
      </x:c>
      <x:c r="I27" s="28" t="str">
        <x:v>Злаки и выпечка</x:v>
      </x:c>
      <x:c r="J27" s="28" t="str">
        <x:v>цветочный, фруктовый, медовый, сливочно-лактонный, миндальный</x:v>
      </x:c>
      <x:c r="K27" s="28" t="str">
        <x:v>жареный, зерновой, солодовый</x:v>
      </x:c>
      <x:c r="L27" s="28" t="str">
        <x:v>γ- и δ-лактоны, линалоол, гераниол, бензальдегид, β-ионон, дамасценон, фруктовые эфиры</x:v>
      </x:c>
      <x:c r="M27" s="28" t="str">
        <x:v>мальтол, пиразины, фураны</x:v>
      </x:c>
      <x:c r="N27" s="28" t="str">
        <x:v>прямое семейное перекрытие не является главным механизмом</x:v>
      </x:c>
      <x:c r="O27" s="28" t="str">
        <x:v>надёжный единичный общий маркер не подтверждён; механизм не сводится к одной молекуле</x:v>
      </x:c>
      <x:c r="P27" s="28" t="str">
        <x:v>комплементарность ароматических семейств, вкусовой контраст и матричный эффект</x:v>
      </x:c>
      <x:c r="Q27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крахмалистый, сладковатый. Баланс корректируется сахаром, кислотой, солью и горечью.</x:v>
      </x:c>
      <x:c r="R27" s="28" t="str">
        <x:v>обычно слабый; кислотность повышает слюноотделение; партнёр: обычно отсутствует; зависит от конкретного продукта</x:v>
      </x:c>
      <x:c r="S27" s="28" t="str">
        <x:v>водно-пектиновая мякоть; низкий жир; кожица и косточка могут добавлять терпкость и миндальный оттенок. Партнёр: крахмал и сухая пористая матрица.</x:v>
      </x:c>
      <x:c r="T2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2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Картофель фри относится к группе «Злаки и выпечка» и даёт профиль «жареный, зерновой, солодовый»; типичные соединения или классы: мальтол, пиразины, фураны.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крахмалистый, сладковатый.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крахмал и сухая пористая матрица.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2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27" s="28" t="str">
        <x:v>сливочное масло, ваниль или орех</x:v>
      </x:c>
      <x:c r="X27" s="28" t="str">
        <x:v>тарт, крем, мороженое, выпечка, сырная подача или начинка</x:v>
      </x:c>
      <x:c r="Y27" s="28" t="str">
        <x:v>десерты; еда</x:v>
      </x:c>
      <x:c r="Z27" s="28" t="str">
        <x:v>Средняя</x:v>
      </x:c>
      <x:c r="AA27" s="28" t="str">
        <x:v>The Art &amp; Science of Foodpairing.pdf</x:v>
      </x:c>
      <x:c r="AB27" s="28" t="str">
        <x:v>The Art &amp; Science of Foodpairing.pdf: 196</x:v>
      </x:c>
      <x:c r="AC27" s="28" t="str">
        <x:v>Ингредиент «apricot» указан на странице профиля/сетки сочетаний «French fries».</x:v>
      </x:c>
      <x:c r="AD27" s="28" t="n">
        <x:v>1</x:v>
      </x:c>
      <x:c r="AE27" s="28" t="n">
        <x:v>1</x:v>
      </x:c>
      <x:c r="AF27" s="28" t="n">
        <x:f>IF(Z27="Высокая",3,IF(Z27="Средняя",2,1))+AD27*2+MIN(AE27,3)</x:f>
        <x:v>5</x:v>
      </x:c>
    </x:row>
    <x:row r="28" ht="62" customHeight="1">
      <x:c r="A28" s="28" t="str">
        <x:v>STN-0027</x:v>
      </x:c>
      <x:c r="B28" s="28" t="str">
        <x:v>абрикос</x:v>
      </x:c>
      <x:c r="C28" s="28" t="str">
        <x:v>Напитки</x:v>
      </x:c>
      <x:c r="D28" s="28" t="str">
        <x:v>абрикос</x:v>
      </x:c>
      <x:c r="E28" s="28" t="str">
        <x:v>apricot</x:v>
      </x:c>
      <x:c r="F28" s="28" t="str">
        <x:v>Косточковые фрукты</x:v>
      </x:c>
      <x:c r="G28" s="28" t="str">
        <x:v>китайская сенча</x:v>
      </x:c>
      <x:c r="H28" s="28" t="str">
        <x:v>Chinese sencha green tea</x:v>
      </x:c>
      <x:c r="I28" s="28" t="str">
        <x:v>Чай и кофе</x:v>
      </x:c>
      <x:c r="J28" s="28" t="str">
        <x:v>цветочный, фруктовый, медовый, сливочно-лактонный, миндальный</x:v>
      </x:c>
      <x:c r="K28" s="28" t="str">
        <x:v>жареный, травяной, цветочный или терпкий</x:v>
      </x:c>
      <x:c r="L28" s="28" t="str">
        <x:v>γ- и δ-лактоны, линалоол, гераниол, бензальдегид, β-ионон, дамасценон, фруктовые эфиры</x:v>
      </x:c>
      <x:c r="M28" s="28" t="str">
        <x:v>пиридины, пиразины, фенолы, линалоол, гераниол, теафлавины</x:v>
      </x:c>
      <x:c r="N28" s="28" t="str">
        <x:v>цветочный</x:v>
      </x:c>
      <x:c r="O28" s="28" t="str">
        <x:v>линалоол, гераниол</x:v>
      </x:c>
      <x:c r="P28" s="28" t="str">
        <x:v>прямое или классовое перекрытие характерных одорантов + вкусовой баланс</x:v>
      </x:c>
      <x:c r="Q28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иногда сладость. Баланс корректируется сахаром, кислотой, солью и горечью.</x:v>
      </x:c>
      <x:c r="R28" s="28" t="str">
        <x:v>обычно слабый; кислотность повышает слюноотделение; партнёр: кофеин даёт горечь, не тройничный эффект</x:v>
      </x:c>
      <x:c r="S28" s="28" t="str">
        <x:v>водно-пектиновая мякоть; низкий жир; кожица и косточка могут добавлять терпкость и миндальный оттенок. Партнёр: водная экстракция; температура сильно меняет летучесть.</x:v>
      </x:c>
      <x:c r="T2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U2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Китайская сенча относится к группе «Чай и кофе» и даёт профиль «жареный, травяной, цветочный или терпкий»; типичные соединения или классы: пиридины, пиразины, фенолы, линалоол, гераниол, теафлавины.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иногда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экстракция; температура сильно меняет летучесть.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V2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28" s="28" t="str">
        <x:v>мёд, цитрус или нейтральная жировая основа</x:v>
      </x:c>
      <x:c r="X28" s="28" t="str">
        <x:v>коктейль, кордиал, настой, спритц, чайный или кофейный напиток</x:v>
      </x:c>
      <x:c r="Y28" s="28" t="str">
        <x:v>напитки</x:v>
      </x:c>
      <x:c r="Z28" s="28" t="str">
        <x:v>Средняя</x:v>
      </x:c>
      <x:c r="AA28" s="28" t="str">
        <x:v>The Art &amp; Science of Foodpairing.pdf</x:v>
      </x:c>
      <x:c r="AB28" s="28" t="str">
        <x:v>The Art &amp; Science of Foodpairing.pdf: 364</x:v>
      </x:c>
      <x:c r="AC28" s="28" t="str">
        <x:v>Ингредиент «apricot» указан на странице профиля/сетки сочетаний «Chinese sencha green tea».</x:v>
      </x:c>
      <x:c r="AD28" s="28" t="n">
        <x:v>1</x:v>
      </x:c>
      <x:c r="AE28" s="28" t="n">
        <x:v>2</x:v>
      </x:c>
      <x:c r="AF28" s="28" t="n">
        <x:f>IF(Z28="Высокая",3,IF(Z28="Средняя",2,1))+AD28*2+MIN(AE28,3)</x:f>
        <x:v>6</x:v>
      </x:c>
    </x:row>
    <x:row r="29" ht="62" customHeight="1">
      <x:c r="A29" s="28" t="str">
        <x:v>STN-0028</x:v>
      </x:c>
      <x:c r="B29" s="28" t="str">
        <x:v>абрикос</x:v>
      </x:c>
      <x:c r="C29" s="28" t="str">
        <x:v>Универсальные</x:v>
      </x:c>
      <x:c r="D29" s="28" t="str">
        <x:v>абрикос</x:v>
      </x:c>
      <x:c r="E29" s="28" t="str">
        <x:v>apricot</x:v>
      </x:c>
      <x:c r="F29" s="28" t="str">
        <x:v>Косточковые фрукты</x:v>
      </x:c>
      <x:c r="G29" s="28" t="str">
        <x:v>кленовый сироп</x:v>
      </x:c>
      <x:c r="H29" s="28" t="str">
        <x:v>Кленовый сироп</x:v>
      </x:c>
      <x:c r="I29" s="28" t="str">
        <x:v>Сахара, мёд и кондитерские основы</x:v>
      </x:c>
      <x:c r="J29" s="28" t="str">
        <x:v>цветочный, фруктовый, медовый, сливочно-лактонный, миндальный</x:v>
      </x:c>
      <x:c r="K29" s="28" t="str">
        <x:v>медовый, карамельный, ванильный и жареный</x:v>
      </x:c>
      <x:c r="L29" s="28" t="str">
        <x:v>γ- и δ-лактоны, линалоол, гераниол, бензальдегид, β-ионон, дамасценон, фруктовые эфиры</x:v>
      </x:c>
      <x:c r="M29" s="28" t="str">
        <x:v>мальтол, фуранеол, фурфурол, ванилин</x:v>
      </x:c>
      <x:c r="N29" s="28" t="str">
        <x:v>медовый</x:v>
      </x:c>
      <x:c r="O29" s="28" t="str">
        <x:v>надёжный единичный общий маркер не подтверждён; механизм не сводится к одной молекуле</x:v>
      </x:c>
      <x:c r="P29" s="28" t="str">
        <x:v>комплементарность ароматических семейств, вкусовой контраст и матричный эффект</x:v>
      </x:c>
      <x:c r="Q29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</x:v>
      </x:c>
      <x:c r="R29" s="28" t="str">
        <x:v>обычно слабый; кислотность повышает слюноотделение; партнёр: отсутствует</x:v>
      </x:c>
      <x:c r="S29" s="28" t="str">
        <x:v>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</x:v>
      </x:c>
      <x:c r="T2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U2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По доступным материалам нельзя уверенно свести совместимость к одной общей молекуле. Общие ароматические направления: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V2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29" s="28" t="str">
        <x:v>мёд, цитрус или нейтральная жировая основа</x:v>
      </x:c>
      <x:c r="X29" s="28" t="str">
        <x:v>напиток, соус, десерт или горячее блюдо после пробной дегустации</x:v>
      </x:c>
      <x:c r="Y29" s="28" t="str">
        <x:v>напитки; еда; десерты; соусы/маринады</x:v>
      </x:c>
      <x:c r="Z29" s="28" t="str">
        <x:v>Гипотеза / практическая</x:v>
      </x:c>
      <x:c r="AA29" s="28" t="str">
        <x:v>Таблица сочетания(1).pdf</x:v>
      </x:c>
      <x:c r="AB29" s="28" t="str">
        <x:v>Таблица сочетания(1).pdf: 13</x:v>
      </x:c>
      <x:c r="AC29" s="28" t="str">
        <x:v>Пара указана в строке «Кленовый сироп»: «абрикос» находится в колонке «Фрукты».</x:v>
      </x:c>
      <x:c r="AD29" s="28" t="n">
        <x:v>1</x:v>
      </x:c>
      <x:c r="AE29" s="28" t="n">
        <x:v>1</x:v>
      </x:c>
      <x:c r="AF29" s="28" t="n">
        <x:f>IF(Z29="Высокая",3,IF(Z29="Средняя",2,1))+AD29*2+MIN(AE29,3)</x:f>
        <x:v>4</x:v>
      </x:c>
    </x:row>
    <x:row r="30" ht="62" customHeight="1">
      <x:c r="A30" s="28" t="str">
        <x:v>STN-0029</x:v>
      </x:c>
      <x:c r="B30" s="28" t="str">
        <x:v>абрикос</x:v>
      </x:c>
      <x:c r="C30" s="28" t="str">
        <x:v>Десерты и выпечка</x:v>
      </x:c>
      <x:c r="D30" s="28" t="str">
        <x:v>абрикос</x:v>
      </x:c>
      <x:c r="E30" s="28" t="str">
        <x:v>apricot</x:v>
      </x:c>
      <x:c r="F30" s="28" t="str">
        <x:v>Косточковые фрукты</x:v>
      </x:c>
      <x:c r="G30" s="28" t="str">
        <x:v>клубника</x:v>
      </x:c>
      <x:c r="H30" s="28" t="str">
        <x:v>клубника</x:v>
      </x:c>
      <x:c r="I30" s="28" t="str">
        <x:v>Ягоды</x:v>
      </x:c>
      <x:c r="J30" s="28" t="str">
        <x:v>цветочный, фруктовый, медовый, сливочно-лактонный, миндальный</x:v>
      </x:c>
      <x:c r="K30" s="28" t="str">
        <x:v>красно-фруктовый, цветочный, зелёный и иногда сернистый</x:v>
      </x:c>
      <x:c r="L30" s="28" t="str">
        <x:v>γ- и δ-лактоны, линалоол, гераниол, бензальдегид, β-ионон, дамасценон, фруктовые эфиры</x:v>
      </x:c>
      <x:c r="M30" s="28" t="str">
        <x:v>фуранеол, эфиры, иононы, зелёные альдегиды</x:v>
      </x:c>
      <x:c r="N30" s="28" t="str">
        <x:v>цветочный, фруктовый</x:v>
      </x:c>
      <x:c r="O30" s="28" t="str">
        <x:v>ионон, эфиры</x:v>
      </x:c>
      <x:c r="P30" s="28" t="str">
        <x:v>прямое или классовое перекрытие характерных одорантов + вкусовой баланс</x:v>
      </x:c>
      <x:c r="Q30" s="28" t="str">
        <x:v>Близкие фруктовые эфиры создают непрерывность, а различия в кислотности, терпкости и сладости формируют контраст.</x:v>
      </x:c>
      <x:c r="R30" s="28" t="str">
        <x:v>обычно слабый; кислотность повышает слюноотделение; партнёр: обычно слабый; кислота усиливает свежесть</x:v>
      </x:c>
      <x:c r="S30" s="28" t="str">
        <x:v>водно-пектиновая мякоть; низкий жир; кожица и косточка могут добавлять терпкость и миндальный оттенок. Партнёр: водная пектиновая; антоцианы влияют на цвет, но не являются главными одорантами.</x:v>
      </x:c>
      <x:c r="T3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3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ионон,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водная пектиновая; антоцианы влияют на цвет, но не являются главными одорантами.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3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30" s="28" t="str">
        <x:v>ваниль, мята или миндаль</x:v>
      </x:c>
      <x:c r="X30" s="28" t="str">
        <x:v>сорбет, салат, джем, кордиал, лимонад, коктейль или фруктовый соус</x:v>
      </x:c>
      <x:c r="Y30" s="28" t="str">
        <x:v>напитки; десерты; соусы/маринады</x:v>
      </x:c>
      <x:c r="Z30" s="28" t="str">
        <x:v>Гипотеза / практическая</x:v>
      </x:c>
      <x:c r="AA30" s="28" t="str">
        <x:v>Таблица сочетания(1).pdf</x:v>
      </x:c>
      <x:c r="AB30" s="28" t="str">
        <x:v>Таблица сочетания(1).pdf: Таблица сочетаний: 2</x:v>
      </x:c>
      <x:c r="AC30" s="28" t="str">
        <x:v>Абрикос: клубника</x:v>
      </x:c>
      <x:c r="AD30" s="28" t="n">
        <x:v>1</x:v>
      </x:c>
      <x:c r="AE30" s="28" t="n">
        <x:v>1</x:v>
      </x:c>
      <x:c r="AF30" s="28" t="n">
        <x:f>IF(Z30="Высокая",3,IF(Z30="Средняя",2,1))+AD30*2+MIN(AE30,3)</x:f>
        <x:v>4</x:v>
      </x:c>
    </x:row>
    <x:row r="31" ht="62" customHeight="1">
      <x:c r="A31" s="28" t="str">
        <x:v>STN-0030</x:v>
      </x:c>
      <x:c r="B31" s="28" t="str">
        <x:v>абрикос</x:v>
      </x:c>
      <x:c r="C31" s="28" t="str">
        <x:v>Десерты и выпечка</x:v>
      </x:c>
      <x:c r="D31" s="28" t="str">
        <x:v>абрикос</x:v>
      </x:c>
      <x:c r="E31" s="28" t="str">
        <x:v>apricot</x:v>
      </x:c>
      <x:c r="F31" s="28" t="str">
        <x:v>Косточковые фрукты</x:v>
      </x:c>
      <x:c r="G31" s="28" t="str">
        <x:v>козий сыр</x:v>
      </x:c>
      <x:c r="H31" s="28" t="str">
        <x:v>Козий сыр | козий сыр | Goats' cheese</x:v>
      </x:c>
      <x:c r="I31" s="28" t="str">
        <x:v>Сыры и молочные продукты</x:v>
      </x:c>
      <x:c r="J31" s="28" t="str">
        <x:v>цветочный, фруктовый, медовый, сливочно-лактонный, миндальный</x:v>
      </x:c>
      <x:c r="K31" s="28" t="str">
        <x:v>молочный, травянистый и пикантный</x:v>
      </x:c>
      <x:c r="L31" s="28" t="str">
        <x:v>γ- и δ-лактоны, линалоол, гераниол, бензальдегид, β-ионон, дамасценон, фруктовые эфиры</x:v>
      </x:c>
      <x:c r="M31" s="28" t="str">
        <x:v>капроновая и каприловая кислоты, метилкетоны</x:v>
      </x:c>
      <x:c r="N31" s="28" t="str">
        <x:v>прямое семейное перекрытие не является главным механизмом</x:v>
      </x:c>
      <x:c r="O31" s="28" t="str">
        <x:v>надёжный единичный общий маркер не подтверждён; механизм не сводится к одной молекуле</x:v>
      </x:c>
      <x:c r="P31" s="28" t="str">
        <x:v>комплементарность ароматических семейств, вкусовой контраст и матричный эффект</x:v>
      </x:c>
      <x:c r="Q31" s="28" t="str">
        <x:v>Фруктовая кислота и сладость освежают жирную молочную матрицу; соль и умами сыра усиливают воспринимаемую фруктовость.</x:v>
      </x:c>
      <x:c r="R31" s="28" t="str">
        <x:v>обычно слабый; кислотность повышает слюноотделение; партнёр: у выдержанных сыров возможна острота аммиака и кислот</x:v>
      </x:c>
      <x:c r="S31" s="28" t="str">
        <x:v>водно-пектиновая мякоть; низкий жир; кожица и косточка могут добавлять терпкость и миндальный оттенок. Жир и белок партнёра удерживают гидрофобные лактоны, но высокая фруктовая кислота может нарушить молочную эмульсию.</x:v>
      </x:c>
      <x:c r="T3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U3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Козий сыр относится к группе «Сыры и молочные продукты» и даёт профиль «молочный, травянистый и пикантный»; типичные соединения или классы: капроновая и каприловая кислоты, метилкетоны.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 мякоть; низкий жир; кожица и косточка могут добавлять терпкость и миндальный оттенок. Жир и белок партнёра удерживают гидрофобные лактоны, но высокая фруктовая кислота может нарушить молочную эмульсию.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V3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кислоты может свернуть молочную основу; фрукт и сыр проверяют при рабочей температуре.</x:v>
      </x:c>
      <x:c r="W31" s="28" t="str">
        <x:v>миндаль, ваниль или мёд</x:v>
      </x:c>
      <x:c r="X31" s="28" t="str">
        <x:v>тарт, крем, мороженое, выпечка, сырная подача или начинка</x:v>
      </x:c>
      <x:c r="Y31" s="28" t="str">
        <x:v>десерты; еда</x:v>
      </x:c>
      <x:c r="Z31" s="28" t="str">
        <x:v>Высокая</x:v>
      </x:c>
      <x:c r="AA31" s="28" t="str">
        <x:v>The Art &amp; Science of Foodpairing.pdf | Тезариус вкусов (Ники Сегнит)(1).pdf</x:v>
      </x:c>
      <x:c r="AB31" s="28" t="str">
        <x:v>Тезариус вкусов (Ники Сегнит)(1).pdf: 136 | Тезариус вкусов (Ники Сегнит)(1).pdf: 743 | The Art &amp; Science of Foodpairing.pdf: 200</x:v>
      </x:c>
      <x:c r="AC31" s="28" t="str">
        <x:v>Козий сыр и абрикос. Отличный вариант для Абрикос и козий сыр. См. Козий сыр и абрикос Ингредиент «apricot» указан на странице профиля/сетки сочетаний «Goats' cheese».</x:v>
      </x:c>
      <x:c r="AD31" s="28" t="n">
        <x:v>2</x:v>
      </x:c>
      <x:c r="AE31" s="28" t="n">
        <x:v>3</x:v>
      </x:c>
      <x:c r="AF31" s="28" t="n">
        <x:f>IF(Z31="Высокая",3,IF(Z31="Средняя",2,1))+AD31*2+MIN(AE31,3)</x:f>
        <x:v>10</x:v>
      </x:c>
    </x:row>
    <x:row r="32" ht="62" customHeight="1">
      <x:c r="A32" s="28" t="str">
        <x:v>STN-0031</x:v>
      </x:c>
      <x:c r="B32" s="28" t="str">
        <x:v>абрикос</x:v>
      </x:c>
      <x:c r="C32" s="28" t="str">
        <x:v>Универсальные</x:v>
      </x:c>
      <x:c r="D32" s="28" t="str">
        <x:v>абрикос</x:v>
      </x:c>
      <x:c r="E32" s="28" t="str">
        <x:v>apricot</x:v>
      </x:c>
      <x:c r="F32" s="28" t="str">
        <x:v>Косточковые фрукты</x:v>
      </x:c>
      <x:c r="G32" s="28" t="str">
        <x:v>корица</x:v>
      </x:c>
      <x:c r="H32" s="28" t="str">
        <x:v>Корица | корица</x:v>
      </x:c>
      <x:c r="I32" s="28" t="str">
        <x:v>Специи и острые компоненты</x:v>
      </x:c>
      <x:c r="J32" s="28" t="str">
        <x:v>цветочный, фруктовый, медовый, сливочно-лактонный, миндальный</x:v>
      </x:c>
      <x:c r="K32" s="28" t="str">
        <x:v>тёплый, древесный и сладко-пряный</x:v>
      </x:c>
      <x:c r="L32" s="28" t="str">
        <x:v>γ- и δ-лактоны, линалоол, гераниол, бензальдегид, β-ионон, дамасценон, фруктовые эфиры</x:v>
      </x:c>
      <x:c r="M32" s="28" t="str">
        <x:v>коричный альдегид, эвгенол</x:v>
      </x:c>
      <x:c r="N32" s="28" t="str">
        <x:v>прямое семейное перекрытие не является главным механизмом</x:v>
      </x:c>
      <x:c r="O32" s="28" t="str">
        <x:v>надёжный единичный общий маркер не подтверждён; механизм не сводится к одной молекуле</x:v>
      </x:c>
      <x:c r="P32" s="28" t="str">
        <x:v>комплементарность ароматических семейств, вкусовой контраст и матричный эффект</x:v>
      </x:c>
      <x:c r="Q32" s="28" t="str">
        <x:v>Сладость и кислота фрукта смягчают остроту и горечь специи, а пряный компонент удлиняет ароматическое послевкусие.</x:v>
      </x:c>
      <x:c r="R32" s="28" t="str">
        <x:v>обычно слабый; кислотность повышает слюноотделение; партнёр: капсаицин, пиперин, гингеролы и камфорные терпены создают жжение, тепло или охлаждение</x:v>
      </x:c>
      <x:c r="S32" s="28" t="str">
        <x:v>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</x:v>
      </x:c>
      <x:c r="T3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3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3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W32" s="28" t="str">
        <x:v>мёд, цитрус или миндаль</x:v>
      </x:c>
      <x:c r="X32" s="28" t="str">
        <x:v>напиток, соус, десерт или горячее блюдо после пробной дегустации</x:v>
      </x:c>
      <x:c r="Y32" s="28" t="str">
        <x:v>напитки; еда; десерты; соусы/маринады</x:v>
      </x:c>
      <x:c r="Z32" s="28" t="str">
        <x:v>Средняя</x:v>
      </x:c>
      <x:c r="AA32" s="28" t="str">
        <x:v>Тезариус вкусов (Ники Сегнит)(1).pdf</x:v>
      </x:c>
      <x:c r="AB32" s="28" t="str">
        <x:v>Тезариус вкусов (Ники Сегнит)(1).pdf: 572 | Тезариус вкусов (Ники Сегнит)(1).pdf: 743</x:v>
      </x:c>
      <x:c r="AC32" s="28" t="str">
        <x:v>Корица и абрикос. В старину в Англии корицу Абрикос и корица. См. Корица и абрикос</x:v>
      </x:c>
      <x:c r="AD32" s="28" t="n">
        <x:v>1</x:v>
      </x:c>
      <x:c r="AE32" s="28" t="n">
        <x:v>2</x:v>
      </x:c>
      <x:c r="AF32" s="28" t="n">
        <x:f>IF(Z32="Высокая",3,IF(Z32="Средняя",2,1))+AD32*2+MIN(AE32,3)</x:f>
        <x:v>6</x:v>
      </x:c>
    </x:row>
    <x:row r="33" ht="62" customHeight="1">
      <x:c r="A33" s="28" t="str">
        <x:v>STN-0032</x:v>
      </x:c>
      <x:c r="B33" s="28" t="str">
        <x:v>абрикос</x:v>
      </x:c>
      <x:c r="C33" s="28" t="str">
        <x:v>Универсальные</x:v>
      </x:c>
      <x:c r="D33" s="28" t="str">
        <x:v>абрикос</x:v>
      </x:c>
      <x:c r="E33" s="28" t="str">
        <x:v>apricot</x:v>
      </x:c>
      <x:c r="F33" s="28" t="str">
        <x:v>Косточковые фрукты</x:v>
      </x:c>
      <x:c r="G33" s="28" t="str">
        <x:v>кофе</x:v>
      </x:c>
      <x:c r="H33" s="28" t="str">
        <x:v>Кофе</x:v>
      </x:c>
      <x:c r="I33" s="28" t="str">
        <x:v>Чай, кофе и какао</x:v>
      </x:c>
      <x:c r="J33" s="28" t="str">
        <x:v>цветочный, фруктовый, медовый, сливочно-лактонный, миндальный</x:v>
      </x:c>
      <x:c r="K33" s="28" t="str">
        <x:v>жареный, шоколадный и дымный</x:v>
      </x:c>
      <x:c r="L33" s="28" t="str">
        <x:v>γ- и δ-лактоны, линалоол, гераниол, бензальдегид, β-ионон, дамасценон, фруктовые эфиры</x:v>
      </x:c>
      <x:c r="M33" s="28" t="str">
        <x:v>пиразины, фураны, гуаякол</x:v>
      </x:c>
      <x:c r="N33" s="28" t="str">
        <x:v>прямое семейное перекрытие не является главным механизмом</x:v>
      </x:c>
      <x:c r="O33" s="28" t="str">
        <x:v>надёжный единичный общий маркер не подтверждён; механизм не сводится к одной молекуле</x:v>
      </x:c>
      <x:c r="P33" s="28" t="str">
        <x:v>комплементарность ароматических семейств, вкусовой контраст и матричный эффект</x:v>
      </x:c>
      <x:c r="Q33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жареная сладость. Баланс корректируется сахаром, кислотой, солью и горечью.</x:v>
      </x:c>
      <x:c r="R33" s="28" t="str">
        <x:v>обычно слабый; кислотность повышает слюноотделение; партнёр: кофеин и терпкость создают сухость, но прямой тройничный эффект умерен</x:v>
      </x:c>
      <x:c r="S33" s="28" t="str">
        <x:v>водно-пектиновая мякоть; низкий жир; кожица и косточка могут добавлять терпкость и миндальный оттенок. Партнёр: водные настои извлекают полифенолы; жир и сахар смягчают горечь.</x:v>
      </x:c>
      <x:c r="T3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U3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Кофе относится к группе «Чай, кофе и какао» и даёт профиль «жареный, шоколадный и дымный»; типичные соединения или классы: пиразины, фураны, гуаякол.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жареная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водные настои извлекают полифенолы; жир и сахар смягчают горечь.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V3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33" s="28" t="str">
        <x:v>мёд, цитрус или нейтральная жировая основа</x:v>
      </x:c>
      <x:c r="X33" s="28" t="str">
        <x:v>напиток, соус, десерт или горячее блюдо после пробной дегустации</x:v>
      </x:c>
      <x:c r="Y33" s="28" t="str">
        <x:v>напитки; еда; десерты; соусы/маринады</x:v>
      </x:c>
      <x:c r="Z33" s="28" t="str">
        <x:v>Гипотеза / практическая</x:v>
      </x:c>
      <x:c r="AA33" s="28" t="str">
        <x:v>Таблица сочетания(1).pdf</x:v>
      </x:c>
      <x:c r="AB33" s="28" t="str">
        <x:v>Таблица сочетания(1).pdf: 6</x:v>
      </x:c>
      <x:c r="AC33" s="28" t="str">
        <x:v>Пара указана в строке «Кофе»: «абрикос» находится в колонке «Фрукты».</x:v>
      </x:c>
      <x:c r="AD33" s="28" t="n">
        <x:v>1</x:v>
      </x:c>
      <x:c r="AE33" s="28" t="n">
        <x:v>1</x:v>
      </x:c>
      <x:c r="AF33" s="28" t="n">
        <x:f>IF(Z33="Высокая",3,IF(Z33="Средняя",2,1))+AD33*2+MIN(AE33,3)</x:f>
        <x:v>4</x:v>
      </x:c>
    </x:row>
    <x:row r="34" ht="62" customHeight="1">
      <x:c r="A34" s="28" t="str">
        <x:v>STN-0033</x:v>
      </x:c>
      <x:c r="B34" s="28" t="str">
        <x:v>абрикос</x:v>
      </x:c>
      <x:c r="C34" s="28" t="str">
        <x:v>Универсальные</x:v>
      </x:c>
      <x:c r="D34" s="28" t="str">
        <x:v>абрикос</x:v>
      </x:c>
      <x:c r="E34" s="28" t="str">
        <x:v>apricot</x:v>
      </x:c>
      <x:c r="F34" s="28" t="str">
        <x:v>Косточковые фрукты</x:v>
      </x:c>
      <x:c r="G34" s="28" t="str">
        <x:v>красный сладкий перец</x:v>
      </x:c>
      <x:c r="H34" s="28" t="str">
        <x:v>Red Bell Pepper | Red bell pepper</x:v>
      </x:c>
      <x:c r="I34" s="28" t="str">
        <x:v>Специи</x:v>
      </x:c>
      <x:c r="J34" s="28" t="str">
        <x:v>цветочный, фруктовый, медовый, сливочно-лактонный, миндальный</x:v>
      </x:c>
      <x:c r="K34" s="28" t="str">
        <x:v>древесный, пряный, тёплый</x:v>
      </x:c>
      <x:c r="L34" s="28" t="str">
        <x:v>γ- и δ-лактоны, линалоол, гераниол, бензальдегид, β-ионон, дамасценон, фруктовые эфиры</x:v>
      </x:c>
      <x:c r="M34" s="28" t="str">
        <x:v>коричный альдегид, терпены, эвгенол</x:v>
      </x:c>
      <x:c r="N34" s="28" t="str">
        <x:v>прямое семейное перекрытие не является главным механизмом</x:v>
      </x:c>
      <x:c r="O34" s="28" t="str">
        <x:v>надёжный единичный общий маркер не подтверждён; механизм не сводится к одной молекуле</x:v>
      </x:c>
      <x:c r="P34" s="28" t="str">
        <x:v>комплементарность ароматических семейств, вкусовой контраст и матричный эффект</x:v>
      </x:c>
      <x:c r="Q34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пряный, иногда горький. Баланс корректируется сахаром, кислотой, солью и горечью.</x:v>
      </x:c>
      <x:c r="R34" s="28" t="str">
        <x:v>обычно слабый; кислотность повышает слюноотделение; партнёр: обычно отсутствует; зависит от конкретного продукта</x:v>
      </x:c>
      <x:c r="S34" s="28" t="str">
        <x:v>водно-пектиновая мякоть; низкий жир; кожица и косточка могут добавлять терпкость и миндальный оттенок. Партнёр: эфирные масла хорошо извлекаются спиртом и жиром.</x:v>
      </x:c>
      <x:c r="T3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3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Красный сладкий перец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пряный, иногда горький.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хорошо извлекаются спиртом и жиром.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3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34" s="28" t="str">
        <x:v>мёд, цитрус или нейтральная жировая основа</x:v>
      </x:c>
      <x:c r="X34" s="28" t="str">
        <x:v>напиток, соус, десерт или горячее блюдо после пробной дегустации</x:v>
      </x:c>
      <x:c r="Y34" s="28" t="str">
        <x:v>напитки; еда; десерты; соусы/маринады</x:v>
      </x:c>
      <x:c r="Z34" s="28" t="str">
        <x:v>Средняя</x:v>
      </x:c>
      <x:c r="AA34" s="28" t="str">
        <x:v>The Art &amp; Science of Foodpairing.pdf</x:v>
      </x:c>
      <x:c r="AB34" s="28" t="str">
        <x:v>The Art &amp; Science of Foodpairing.pdf: 106 | The Art &amp; Science of Foodpairing.pdf: 108</x:v>
      </x:c>
      <x:c r="AC34" s="28" t="str">
        <x:v>Ингредиент «apricot» указан на странице профиля/сетки сочетаний «Red Bell Pepper». Ингредиент «candied apricot» указан на странице профиля/сетки сочетаний «Red bell pepper».</x:v>
      </x:c>
      <x:c r="AD34" s="28" t="n">
        <x:v>1</x:v>
      </x:c>
      <x:c r="AE34" s="28" t="n">
        <x:v>2</x:v>
      </x:c>
      <x:c r="AF34" s="28" t="n">
        <x:f>IF(Z34="Высокая",3,IF(Z34="Средняя",2,1))+AD34*2+MIN(AE34,3)</x:f>
        <x:v>6</x:v>
      </x:c>
    </x:row>
    <x:row r="35" ht="62" customHeight="1">
      <x:c r="A35" s="28" t="str">
        <x:v>STN-0034</x:v>
      </x:c>
      <x:c r="B35" s="28" t="str">
        <x:v>абрикос</x:v>
      </x:c>
      <x:c r="C35" s="28" t="str">
        <x:v>Еда и соусы</x:v>
      </x:c>
      <x:c r="D35" s="28" t="str">
        <x:v>абрикос</x:v>
      </x:c>
      <x:c r="E35" s="28" t="str">
        <x:v>apricot</x:v>
      </x:c>
      <x:c r="F35" s="28" t="str">
        <x:v>Косточковые фрукты</x:v>
      </x:c>
      <x:c r="G35" s="28" t="str">
        <x:v>куриный бульон</x:v>
      </x:c>
      <x:c r="H35" s="28" t="str">
        <x:v>chicken broth</x:v>
      </x:c>
      <x:c r="I35" s="28" t="str">
        <x:v>Мясо и птица</x:v>
      </x:c>
      <x:c r="J35" s="28" t="str">
        <x:v>цветочный, фруктовый, медовый, сливочно-лактонный, миндальный</x:v>
      </x:c>
      <x:c r="K35" s="28" t="str">
        <x:v>жареный, мясной, жирный, иногда копчёный и пряный</x:v>
      </x:c>
      <x:c r="L35" s="28" t="str">
        <x:v>γ- и δ-лактоны, линалоол, гераниол, бензальдегид, β-ионон, дамасценон, фруктовые эфиры</x:v>
      </x:c>
      <x:c r="M35" s="28" t="str">
        <x:v>пиразины, фураны, сернистые соединения, продукты Майяра, жирные альдегиды</x:v>
      </x:c>
      <x:c r="N35" s="28" t="str">
        <x:v>прямое семейное перекрытие не является главным механизмом</x:v>
      </x:c>
      <x:c r="O35" s="28" t="str">
        <x:v>надёжный единичный общий маркер не подтверждён; механизм не сводится к одной молекуле</x:v>
      </x:c>
      <x:c r="P35" s="28" t="str">
        <x:v>комплементарность ароматических семейств, вкусовой контраст и матричный эффект</x:v>
      </x:c>
      <x:c r="Q35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35" s="28" t="str">
        <x:v>обычно слабый; кислотность повышает слюноотделение; партнёр: тепловой/пряный зависит от обработки</x:v>
      </x:c>
      <x:c r="S35" s="28" t="str">
        <x:v>водно-пектиновая мякоть; низкий жир; кожица и косточка могут добавлять терпкость и миндальный оттенок. Партнёр: жир удерживает фруктовые лактоны; белок смягчает кислотность.</x:v>
      </x:c>
      <x:c r="T3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U3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Куриный бульон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удерживает фруктовые лактоны; белок смягчает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V3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W35" s="28" t="str">
        <x:v>розмарин, горчица или хересный уксус</x:v>
      </x:c>
      <x:c r="X35" s="28" t="str">
        <x:v>соус, глазировка, чатни, маринад, гарнир или основное блюдо</x:v>
      </x:c>
      <x:c r="Y35" s="28" t="str">
        <x:v>еда; соусы/маринады</x:v>
      </x:c>
      <x:c r="Z35" s="28" t="str">
        <x:v>Средняя</x:v>
      </x:c>
      <x:c r="AA35" s="28" t="str">
        <x:v>The Art &amp; Science of Foodpairing.pdf</x:v>
      </x:c>
      <x:c r="AB35" s="28" t="str">
        <x:v>The Art &amp; Science of Foodpairing.pdf: 206</x:v>
      </x:c>
      <x:c r="AC35" s="28" t="str">
        <x:v>Ingredient pairings with apricot: chicken broth.</x:v>
      </x:c>
      <x:c r="AD35" s="28" t="n">
        <x:v>1</x:v>
      </x:c>
      <x:c r="AE35" s="28" t="n">
        <x:v>1</x:v>
      </x:c>
      <x:c r="AF35" s="28" t="n">
        <x:f>IF(Z35="Высокая",3,IF(Z35="Средняя",2,1))+AD35*2+MIN(AE35,3)</x:f>
        <x:v>5</x:v>
      </x:c>
    </x:row>
    <x:row r="36" ht="62" customHeight="1">
      <x:c r="A36" s="28" t="str">
        <x:v>STN-0035</x:v>
      </x:c>
      <x:c r="B36" s="28" t="str">
        <x:v>абрикос</x:v>
      </x:c>
      <x:c r="C36" s="28" t="str">
        <x:v>Универсальные</x:v>
      </x:c>
      <x:c r="D36" s="28" t="str">
        <x:v>абрикос</x:v>
      </x:c>
      <x:c r="E36" s="28" t="str">
        <x:v>apricot</x:v>
      </x:c>
      <x:c r="F36" s="28" t="str">
        <x:v>Косточковые фрукты</x:v>
      </x:c>
      <x:c r="G36" s="28" t="str">
        <x:v>лаванда</x:v>
      </x:c>
      <x:c r="H36" s="28" t="str">
        <x:v>Лаванда</x:v>
      </x:c>
      <x:c r="I36" s="28" t="str">
        <x:v>Травы и цветы</x:v>
      </x:c>
      <x:c r="J36" s="28" t="str">
        <x:v>цветочный, фруктовый, медовый, сливочно-лактонный, миндальный</x:v>
      </x:c>
      <x:c r="K36" s="28" t="str">
        <x:v>зелёный, цветочный, травянистый и эфирно-масличный</x:v>
      </x:c>
      <x:c r="L36" s="28" t="str">
        <x:v>γ- и δ-лактоны, линалоол, гераниол, бензальдегид, β-ионон, дамасценон, фруктовые эфиры</x:v>
      </x:c>
      <x:c r="M36" s="28" t="str">
        <x:v>линалоол, гераниол, эвгенол, 1,8-цинеол</x:v>
      </x:c>
      <x:c r="N36" s="28" t="str">
        <x:v>цветочный</x:v>
      </x:c>
      <x:c r="O36" s="28" t="str">
        <x:v>линалоол, гераниол</x:v>
      </x:c>
      <x:c r="P36" s="28" t="str">
        <x:v>прямое или классовое перекрытие характерных одорантов + вкусовой баланс</x:v>
      </x:c>
      <x:c r="Q36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36" s="28" t="str">
        <x:v>обычно слабый; кислотность повышает слюноотделение; партнёр: у мяты возможен холодящий эффект ментола; у некоторых трав — камфорность</x:v>
      </x:c>
      <x:c r="S36" s="28" t="str">
        <x:v>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</x:v>
      </x:c>
      <x:c r="T3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3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Лаванда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3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36" s="28" t="str">
        <x:v>мёд, цитрус или нейтральная жировая основа</x:v>
      </x:c>
      <x:c r="X36" s="28" t="str">
        <x:v>напиток, соус, десерт или горячее блюдо после пробной дегустации</x:v>
      </x:c>
      <x:c r="Y36" s="28" t="str">
        <x:v>напитки; еда; десерты; соусы/маринады</x:v>
      </x:c>
      <x:c r="Z36" s="28" t="str">
        <x:v>Гипотеза / практическая</x:v>
      </x:c>
      <x:c r="AA36" s="28" t="str">
        <x:v>Таблица сочетания(1).pdf</x:v>
      </x:c>
      <x:c r="AB36" s="28" t="str">
        <x:v>Таблица сочетания(1).pdf: 11</x:v>
      </x:c>
      <x:c r="AC36" s="28" t="str">
        <x:v>Пара указана в строке «Лаванда»: «абрикос» находится в колонке «Фрукты».</x:v>
      </x:c>
      <x:c r="AD36" s="28" t="n">
        <x:v>1</x:v>
      </x:c>
      <x:c r="AE36" s="28" t="n">
        <x:v>1</x:v>
      </x:c>
      <x:c r="AF36" s="28" t="n">
        <x:f>IF(Z36="Высокая",3,IF(Z36="Средняя",2,1))+AD36*2+MIN(AE36,3)</x:f>
        <x:v>4</x:v>
      </x:c>
    </x:row>
    <x:row r="37" ht="62" customHeight="1">
      <x:c r="A37" s="28" t="str">
        <x:v>STN-0036</x:v>
      </x:c>
      <x:c r="B37" s="28" t="str">
        <x:v>абрикос</x:v>
      </x:c>
      <x:c r="C37" s="28" t="str">
        <x:v>Десерты и выпечка</x:v>
      </x:c>
      <x:c r="D37" s="28" t="str">
        <x:v>абрикос</x:v>
      </x:c>
      <x:c r="E37" s="28" t="str">
        <x:v>apricot</x:v>
      </x:c>
      <x:c r="F37" s="28" t="str">
        <x:v>Косточковые фрукты</x:v>
      </x:c>
      <x:c r="G37" s="28" t="str">
        <x:v>лайм</x:v>
      </x:c>
      <x:c r="H37" s="28" t="str">
        <x:v>Лайм</x:v>
      </x:c>
      <x:c r="I37" s="28" t="str">
        <x:v>Цитрусовые</x:v>
      </x:c>
      <x:c r="J37" s="28" t="str">
        <x:v>цветочный, фруктовый, медовый, сливочно-лактонный, миндальный</x:v>
      </x:c>
      <x:c r="K37" s="28" t="str">
        <x:v>зелёный цитрусовый и терпкий</x:v>
      </x:c>
      <x:c r="L37" s="28" t="str">
        <x:v>γ- и δ-лактоны, линалоол, гераниол, бензальдегид, β-ионон, дамасценон, фруктовые эфиры</x:v>
      </x:c>
      <x:c r="M37" s="28" t="str">
        <x:v>лимонен, цитраль, γ-терпинен</x:v>
      </x:c>
      <x:c r="N37" s="28" t="str">
        <x:v>прямое семейное перекрытие не является главным механизмом</x:v>
      </x:c>
      <x:c r="O37" s="28" t="str">
        <x:v>надёжный единичный общий маркер не подтверждён; механизм не сводится к одной молекуле</x:v>
      </x:c>
      <x:c r="P37" s="28" t="str">
        <x:v>комплементарность ароматических семейств, вкусовой контраст и матричный эффект</x:v>
      </x:c>
      <x:c r="Q37" s="28" t="str">
        <x:v>Близкие фруктовые эфиры создают непрерывность, а различия в кислотности, терпкости и сладости формируют контраст.</x:v>
      </x:c>
      <x:c r="R37" s="28" t="str">
        <x:v>обычно слабый; кислотность повышает слюноотделение; партнёр: кислота даёт покалывание и ощущение свежести</x:v>
      </x:c>
      <x:c r="S37" s="28" t="str">
        <x:v>водно-пектиновая мякоть; низкий жир; кожица и косточка могут добавлять терпкость и миндальный оттенок. Партнёр: сок водный и кислый, цедра содержит гидрофобные эфирные масла.</x:v>
      </x:c>
      <x:c r="T3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3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Лайм относится к группе «Цитрусовые» и даёт профиль «зелёный цитрусовый и терпкий»; типичные соединения или классы: лимонен, цитраль, γ-терпинен.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сок водный и кислый, цедра содержит гидрофобные эфирные масла.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3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37" s="28" t="str">
        <x:v>ваниль, мёд или розмарин</x:v>
      </x:c>
      <x:c r="X37" s="28" t="str">
        <x:v>сорбет, салат, джем, кордиал, лимонад, коктейль или фруктовый соус</x:v>
      </x:c>
      <x:c r="Y37" s="28" t="str">
        <x:v>напитки; десерты; соусы/маринады</x:v>
      </x:c>
      <x:c r="Z37" s="28" t="str">
        <x:v>Гипотеза / практическая</x:v>
      </x:c>
      <x:c r="AA37" s="28" t="str">
        <x:v>Таблица сочетания(1).pdf</x:v>
      </x:c>
      <x:c r="AB37" s="28" t="str">
        <x:v>Таблица сочетания(1).pdf: Таблица сочетания(1).pdf: 11 | Таблица сочетания(1).pdf: 11</x:v>
      </x:c>
      <x:c r="AC37" s="28" t="str">
        <x:v>Пара указана в таблице: «Лайм» → колонка «Фрукты». Пара указана в строке «Лайм»: «абрикос» находится в колонке «Фрукты».</x:v>
      </x:c>
      <x:c r="AD37" s="28" t="n">
        <x:v>1</x:v>
      </x:c>
      <x:c r="AE37" s="28" t="n">
        <x:v>2</x:v>
      </x:c>
      <x:c r="AF37" s="28" t="n">
        <x:f>IF(Z37="Высокая",3,IF(Z37="Средняя",2,1))+AD37*2+MIN(AE37,3)</x:f>
        <x:v>5</x:v>
      </x:c>
    </x:row>
    <x:row r="38" ht="62" customHeight="1">
      <x:c r="A38" s="28" t="str">
        <x:v>STN-0037</x:v>
      </x:c>
      <x:c r="B38" s="28" t="str">
        <x:v>абрикос</x:v>
      </x:c>
      <x:c r="C38" s="28" t="str">
        <x:v>Универсальные</x:v>
      </x:c>
      <x:c r="D38" s="28" t="str">
        <x:v>абрикос</x:v>
      </x:c>
      <x:c r="E38" s="28" t="str">
        <x:v>apricot</x:v>
      </x:c>
      <x:c r="F38" s="28" t="str">
        <x:v>Косточковые фрукты</x:v>
      </x:c>
      <x:c r="G38" s="28" t="str">
        <x:v>лемонграсс</x:v>
      </x:c>
      <x:c r="H38" s="28" t="str">
        <x:v>Lemongrass</x:v>
      </x:c>
      <x:c r="I38" s="28" t="str">
        <x:v>Травы и цветы</x:v>
      </x:c>
      <x:c r="J38" s="28" t="str">
        <x:v>цветочный, фруктовый, медовый, сливочно-лактонный, миндальный</x:v>
      </x:c>
      <x:c r="K38" s="28" t="str">
        <x:v>зелёный, цветочный, травянистый и эфирно-масличный</x:v>
      </x:c>
      <x:c r="L38" s="28" t="str">
        <x:v>γ- и δ-лактоны, линалоол, гераниол, бензальдегид, β-ионон, дамасценон, фруктовые эфиры</x:v>
      </x:c>
      <x:c r="M38" s="28" t="str">
        <x:v>линалоол, гераниол, эвгенол, 1,8-цинеол</x:v>
      </x:c>
      <x:c r="N38" s="28" t="str">
        <x:v>цветочный</x:v>
      </x:c>
      <x:c r="O38" s="28" t="str">
        <x:v>линалоол, гераниол</x:v>
      </x:c>
      <x:c r="P38" s="28" t="str">
        <x:v>прямое или классовое перекрытие характерных одорантов + вкусовой баланс</x:v>
      </x:c>
      <x:c r="Q38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38" s="28" t="str">
        <x:v>обычно слабый; кислотность повышает слюноотделение; партнёр: у мяты возможен холодящий эффект ментола; у некоторых трав — камфорность</x:v>
      </x:c>
      <x:c r="S38" s="28" t="str">
        <x:v>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</x:v>
      </x:c>
      <x:c r="T3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3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Лемонграсс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3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38" s="28" t="str">
        <x:v>мёд, цитрус или нейтральная жировая основа</x:v>
      </x:c>
      <x:c r="X38" s="28" t="str">
        <x:v>напиток, соус, десерт или горячее блюдо после пробной дегустации</x:v>
      </x:c>
      <x:c r="Y38" s="28" t="str">
        <x:v>напитки; еда; десерты; соусы/маринады</x:v>
      </x:c>
      <x:c r="Z38" s="28" t="str">
        <x:v>Средняя</x:v>
      </x:c>
      <x:c r="AA38" s="28" t="str">
        <x:v>The Art &amp; Science of Foodpairing.pdf</x:v>
      </x:c>
      <x:c r="AB38" s="28" t="str">
        <x:v>The Art &amp; Science of Foodpairing.pdf: 146</x:v>
      </x:c>
      <x:c r="AC38" s="28" t="str">
        <x:v>Ингредиент «apricot» указан на странице профиля/сетки сочетаний «Lemongrass».</x:v>
      </x:c>
      <x:c r="AD38" s="28" t="n">
        <x:v>1</x:v>
      </x:c>
      <x:c r="AE38" s="28" t="n">
        <x:v>1</x:v>
      </x:c>
      <x:c r="AF38" s="28" t="n">
        <x:f>IF(Z38="Высокая",3,IF(Z38="Средняя",2,1))+AD38*2+MIN(AE38,3)</x:f>
        <x:v>5</x:v>
      </x:c>
    </x:row>
    <x:row r="39" ht="62" customHeight="1">
      <x:c r="A39" s="28" t="str">
        <x:v>STN-0038</x:v>
      </x:c>
      <x:c r="B39" s="28" t="str">
        <x:v>абрикос</x:v>
      </x:c>
      <x:c r="C39" s="28" t="str">
        <x:v>Десерты и выпечка</x:v>
      </x:c>
      <x:c r="D39" s="28" t="str">
        <x:v>абрикос</x:v>
      </x:c>
      <x:c r="E39" s="28" t="str">
        <x:v>apricot</x:v>
      </x:c>
      <x:c r="F39" s="28" t="str">
        <x:v>Косточковые фрукты</x:v>
      </x:c>
      <x:c r="G39" s="28" t="str">
        <x:v>лимон</x:v>
      </x:c>
      <x:c r="H39" s="28" t="str">
        <x:v>Лимон</x:v>
      </x:c>
      <x:c r="I39" s="28" t="str">
        <x:v>Цитрусовые</x:v>
      </x:c>
      <x:c r="J39" s="28" t="str">
        <x:v>цветочный, фруктовый, медовый, сливочно-лактонный, миндальный</x:v>
      </x:c>
      <x:c r="K39" s="28" t="str">
        <x:v>яркий цитрусовый и свежий</x:v>
      </x:c>
      <x:c r="L39" s="28" t="str">
        <x:v>γ- и δ-лактоны, линалоол, гераниол, бензальдегид, β-ионон, дамасценон, фруктовые эфиры</x:v>
      </x:c>
      <x:c r="M39" s="28" t="str">
        <x:v>лимонен, цитраль, β-пинен</x:v>
      </x:c>
      <x:c r="N39" s="28" t="str">
        <x:v>прямое семейное перекрытие не является главным механизмом</x:v>
      </x:c>
      <x:c r="O39" s="28" t="str">
        <x:v>надёжный единичный общий маркер не подтверждён; механизм не сводится к одной молекуле</x:v>
      </x:c>
      <x:c r="P39" s="28" t="str">
        <x:v>комплементарность ароматических семейств, вкусовой контраст и матричный эффект</x:v>
      </x:c>
      <x:c r="Q39" s="28" t="str">
        <x:v>Близкие фруктовые эфиры создают непрерывность, а различия в кислотности, терпкости и сладости формируют контраст.</x:v>
      </x:c>
      <x:c r="R39" s="28" t="str">
        <x:v>обычно слабый; кислотность повышает слюноотделение; партнёр: кислота даёт покалывание и ощущение свежести</x:v>
      </x:c>
      <x:c r="S39" s="28" t="str">
        <x:v>водно-пектиновая мякоть; низкий жир; кожица и косточка могут добавлять терпкость и миндальный оттенок. Партнёр: сок водный и кислый, цедра содержит гидрофобные эфирные масла.</x:v>
      </x:c>
      <x:c r="T3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3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сок водный и кислый, цедра содержит гидрофобные эфирные масла.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3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39" s="28" t="str">
        <x:v>ваниль, мёд или розмарин</x:v>
      </x:c>
      <x:c r="X39" s="28" t="str">
        <x:v>сорбет, салат, джем, кордиал, лимонад, коктейль или фруктовый соус</x:v>
      </x:c>
      <x:c r="Y39" s="28" t="str">
        <x:v>напитки; десерты; соусы/маринады</x:v>
      </x:c>
      <x:c r="Z39" s="28" t="str">
        <x:v>Гипотеза / практическая</x:v>
      </x:c>
      <x:c r="AA39" s="28" t="str">
        <x:v>Таблица сочетания(1).pdf</x:v>
      </x:c>
      <x:c r="AB39" s="28" t="str">
        <x:v>Таблица сочетания(1).pdf: Таблица сочетания(1).pdf: 11 | Таблица сочетания(1).pdf: 11</x:v>
      </x:c>
      <x:c r="AC39" s="28" t="str">
        <x:v>Пара указана в таблице: «Лимон» → колонка «Фрукты». Пара указана в строке «Лимон»: «абрикос» находится в колонке «Фрукты».</x:v>
      </x:c>
      <x:c r="AD39" s="28" t="n">
        <x:v>1</x:v>
      </x:c>
      <x:c r="AE39" s="28" t="n">
        <x:v>2</x:v>
      </x:c>
      <x:c r="AF39" s="28" t="n">
        <x:f>IF(Z39="Высокая",3,IF(Z39="Средняя",2,1))+AD39*2+MIN(AE39,3)</x:f>
        <x:v>5</x:v>
      </x:c>
    </x:row>
    <x:row r="40" ht="62" customHeight="1">
      <x:c r="A40" s="28" t="str">
        <x:v>STN-0039</x:v>
      </x:c>
      <x:c r="B40" s="28" t="str">
        <x:v>абрикос</x:v>
      </x:c>
      <x:c r="C40" s="28" t="str">
        <x:v>Десерты и выпечка</x:v>
      </x:c>
      <x:c r="D40" s="28" t="str">
        <x:v>абрикос</x:v>
      </x:c>
      <x:c r="E40" s="28" t="str">
        <x:v>apricot</x:v>
      </x:c>
      <x:c r="F40" s="28" t="str">
        <x:v>Косточковые фрукты</x:v>
      </x:c>
      <x:c r="G40" s="28" t="str">
        <x:v>малина</x:v>
      </x:c>
      <x:c r="H40" s="28" t="str">
        <x:v>Малина | малина</x:v>
      </x:c>
      <x:c r="I40" s="28" t="str">
        <x:v>Ягоды</x:v>
      </x:c>
      <x:c r="J40" s="28" t="str">
        <x:v>цветочный, фруктовый, медовый, сливочно-лактонный, миндальный</x:v>
      </x:c>
      <x:c r="K40" s="28" t="str">
        <x:v>красно-фруктовый, цветочный, зелёный и иногда сернистый</x:v>
      </x:c>
      <x:c r="L40" s="28" t="str">
        <x:v>γ- и δ-лактоны, линалоол, гераниол, бензальдегид, β-ионон, дамасценон, фруктовые эфиры</x:v>
      </x:c>
      <x:c r="M40" s="28" t="str">
        <x:v>фуранеол, эфиры, иононы, зелёные альдегиды</x:v>
      </x:c>
      <x:c r="N40" s="28" t="str">
        <x:v>цветочный, фруктовый</x:v>
      </x:c>
      <x:c r="O40" s="28" t="str">
        <x:v>ионон, эфиры</x:v>
      </x:c>
      <x:c r="P40" s="28" t="str">
        <x:v>прямое или классовое перекрытие характерных одорантов + вкусовой баланс</x:v>
      </x:c>
      <x:c r="Q40" s="28" t="str">
        <x:v>Близкие фруктовые эфиры создают непрерывность, а различия в кислотности, терпкости и сладости формируют контраст.</x:v>
      </x:c>
      <x:c r="R40" s="28" t="str">
        <x:v>обычно слабый; кислотность повышает слюноотделение; партнёр: обычно слабый; кислота усиливает свежесть</x:v>
      </x:c>
      <x:c r="S40" s="28" t="str">
        <x:v>водно-пектиновая мякоть; низкий жир; кожица и косточка могут добавлять терпкость и миндальный оттенок. Партнёр: водная пектиновая; антоцианы влияют на цвет, но не являются главными одорантами.</x:v>
      </x:c>
      <x:c r="T4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4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ионон,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водная пектиновая; антоцианы влияют на цвет, но не являются главными одорантами.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4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40" s="28" t="str">
        <x:v>ваниль, мята или миндаль</x:v>
      </x:c>
      <x:c r="X40" s="28" t="str">
        <x:v>сорбет, салат, джем, кордиал, лимонад, коктейль или фруктовый соус</x:v>
      </x:c>
      <x:c r="Y40" s="28" t="str">
        <x:v>напитки; десерты; соусы/маринады</x:v>
      </x:c>
      <x:c r="Z40" s="28" t="str">
        <x:v>Высокая</x:v>
      </x:c>
      <x:c r="AA40" s="28" t="str">
        <x:v>Таблица сочетания(1).pdf | Тезариус вкусов (Ники Сегнит)(1).pdf</x:v>
      </x:c>
      <x:c r="AB40" s="28" t="str">
        <x:v>Таблица сочетания(1).pdf: Тезариус вкусов: 743, 884; Таблица сочетаний: 2, 19 | Таблица сочетания(1).pdf: 19 | Тезариус вкусов (Ники Сегнит)(1).pdf: 743 | Тезариус вкусов (Ники Сегнит)(1).pdf: 884</x:v>
      </x:c>
      <x:c r="AC40" s="28" t="str">
        <x:v>Абрикос и малина. См. Малина и абрикос | Малина и абрикос. Оба представителя обширно- го семейства розоцветных славятся своими тонкими «парфюмерными» вкусами, которые колеблются меж- ду сладким и кислым. Абрикос является костянкой – это мясистый плод с косточкой внутри. Малина же представляет собой совокупность таких плодов, при | Абрикос: малина | Малина: абрикос Пара указана в строке «Малина»: «абрикос» находится в колонке «Фрукты». Абрикос и малина. См. Малина и абрикос</x:v>
      </x:c>
      <x:c r="AD40" s="28" t="n">
        <x:v>2</x:v>
      </x:c>
      <x:c r="AE40" s="28" t="n">
        <x:v>4</x:v>
      </x:c>
      <x:c r="AF40" s="28" t="n">
        <x:f>IF(Z40="Высокая",3,IF(Z40="Средняя",2,1))+AD40*2+MIN(AE40,3)</x:f>
        <x:v>10</x:v>
      </x:c>
    </x:row>
    <x:row r="41" ht="62" customHeight="1">
      <x:c r="A41" s="28" t="str">
        <x:v>STN-0040</x:v>
      </x:c>
      <x:c r="B41" s="28" t="str">
        <x:v>абрикос</x:v>
      </x:c>
      <x:c r="C41" s="28" t="str">
        <x:v>Универсальные</x:v>
      </x:c>
      <x:c r="D41" s="28" t="str">
        <x:v>абрикос</x:v>
      </x:c>
      <x:c r="E41" s="28" t="str">
        <x:v>apricot</x:v>
      </x:c>
      <x:c r="F41" s="28" t="str">
        <x:v>Косточковые фрукты</x:v>
      </x:c>
      <x:c r="G41" s="28" t="str">
        <x:v>манго</x:v>
      </x:c>
      <x:c r="H41" s="28" t="str">
        <x:v>манго | Mango</x:v>
      </x:c>
      <x:c r="I41" s="28" t="str">
        <x:v>Тропические фрукты</x:v>
      </x:c>
      <x:c r="J41" s="28" t="str">
        <x:v>цветочный, фруктовый, медовый, сливочно-лактонный, миндальный</x:v>
      </x:c>
      <x:c r="K41" s="28" t="str">
        <x:v>тропический, смолистый, цитрусовый, цветочный, сливочный; сильно зависит от сорта</x:v>
      </x:c>
      <x:c r="L41" s="28" t="str">
        <x:v>γ- и δ-лактоны, линалоол, гераниол, бензальдегид, β-ионон, дамасценон, фруктовые эфиры</x:v>
      </x:c>
      <x:c r="M41" s="28" t="str">
        <x:v>δ-3-карен, лимонен, мирцен, линалоол, γ- и δ-лактоны, фруктовые эфиры</x:v>
      </x:c>
      <x:c r="N41" s="28" t="str">
        <x:v>цветочный</x:v>
      </x:c>
      <x:c r="O41" s="28" t="str">
        <x:v>линалоол, фруктовые эфиры</x:v>
      </x:c>
      <x:c r="P41" s="28" t="str">
        <x:v>прямое или классовое перекрытие характерных одорантов + вкусовой баланс</x:v>
      </x:c>
      <x:c r="Q41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умеренная кислотность, иногда смолистая горечь кожицы. Баланс корректируется сахаром, кислотой, солью и горечью.</x:v>
      </x:c>
      <x:c r="R41" s="28" t="str">
        <x:v>обычно слабый; кислотность повышает слюноотделение; партнёр: кислотное покалывание зависит от плода; специальные эффекты указаны в паспорте</x:v>
      </x:c>
      <x:c r="S41" s="28" t="str">
        <x:v>водно-пектиновая мякоть; низкий жир; кожица и косточка могут добавлять терпкость и миндальный оттенок. Партнёр: мякоть вязкая и богатая каротиноидами; ароматические терпены и лактоны хорошо переходят в жир и этанол.</x:v>
      </x:c>
      <x:c r="T4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U4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Манго относится к группе «Тропические фрукты» и даёт профиль «тропический, смолистый, цитрусовый, цветочный, сливочный; сильно зависит от сорта»; типичные соединения или классы: δ-3-карен, лимонен, мирцен, линалоол, γ- и δ-лактоны, фруктовые эфиры. В рабочих профилях пересекаются: линалоол, фруктовые эфиры.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умеренная кислотность, иногда смолистая горечь кожицы.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мякоть вязкая и богатая каротиноидами; ароматические терпены и лактоны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V4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41" s="28" t="str">
        <x:v>мёд, цитрус или нейтральная жировая основа</x:v>
      </x:c>
      <x:c r="X41" s="28" t="str">
        <x:v>напиток, соус, десерт или горячее блюдо после пробной дегустации</x:v>
      </x:c>
      <x:c r="Y41" s="28" t="str">
        <x:v>напитки; еда; десерты; соусы/маринады</x:v>
      </x:c>
      <x:c r="Z41" s="28" t="str">
        <x:v>Высокая</x:v>
      </x:c>
      <x:c r="AA41" s="28" t="str">
        <x:v>The Art &amp; Science of Foodpairing.pdf | Тезариус вкусов (Ники Сегнит)(1).pdf</x:v>
      </x:c>
      <x:c r="AB41" s="28" t="str">
        <x:v>Тезариус вкусов (Ники Сегнит)(1).pdf: Тезаурус вкусов: 743 | Тезариус вкусов (Ники Сегнит)(1).pdf: 743 | The Art &amp; Science of Foodpairing.pdf: 313</x:v>
      </x:c>
      <x:c r="AC41" s="28" t="str">
        <x:v>Тезаурус вкусов: Абрикос и манго. См. Абрикос и манго. См. Манго и абрикос Ингредиент «apricot brandy» указан на странице профиля/сетки сочетаний «Mango».</x:v>
      </x:c>
      <x:c r="AD41" s="28" t="n">
        <x:v>2</x:v>
      </x:c>
      <x:c r="AE41" s="28" t="n">
        <x:v>3</x:v>
      </x:c>
      <x:c r="AF41" s="28" t="n">
        <x:f>IF(Z41="Высокая",3,IF(Z41="Средняя",2,1))+AD41*2+MIN(AE41,3)</x:f>
        <x:v>10</x:v>
      </x:c>
    </x:row>
    <x:row r="42" ht="62" customHeight="1">
      <x:c r="A42" s="28" t="str">
        <x:v>STN-0041</x:v>
      </x:c>
      <x:c r="B42" s="28" t="str">
        <x:v>абрикос</x:v>
      </x:c>
      <x:c r="C42" s="28" t="str">
        <x:v>Универсальные</x:v>
      </x:c>
      <x:c r="D42" s="28" t="str">
        <x:v>абрикос</x:v>
      </x:c>
      <x:c r="E42" s="28" t="str">
        <x:v>apricot</x:v>
      </x:c>
      <x:c r="F42" s="28" t="str">
        <x:v>Косточковые фрукты</x:v>
      </x:c>
      <x:c r="G42" s="28" t="str">
        <x:v>мед</x:v>
      </x:c>
      <x:c r="H42" s="28" t="str">
        <x:v>мёд</x:v>
      </x:c>
      <x:c r="I42" s="28" t="str">
        <x:v>Сахара, мёд и кондитерские основы</x:v>
      </x:c>
      <x:c r="J42" s="28" t="str">
        <x:v>цветочный, фруктовый, медовый, сливочно-лактонный, миндальный</x:v>
      </x:c>
      <x:c r="K42" s="28" t="str">
        <x:v>цветочный, восковой и карамельный</x:v>
      </x:c>
      <x:c r="L42" s="28" t="str">
        <x:v>γ- и δ-лактоны, линалоол, гераниол, бензальдегид, β-ионон, дамасценон, фруктовые эфиры</x:v>
      </x:c>
      <x:c r="M42" s="28" t="str">
        <x:v>фенилуксусная кислота, фураны, терпены, зависящие от ботанического происхождения</x:v>
      </x:c>
      <x:c r="N42" s="28" t="str">
        <x:v>цветочный</x:v>
      </x:c>
      <x:c r="O42" s="28" t="str">
        <x:v>надёжный единичный общий маркер не подтверждён; механизм не сводится к одной молекуле</x:v>
      </x:c>
      <x:c r="P42" s="28" t="str">
        <x:v>комплементарность ароматических семейств, вкусовой контраст и матричный эффект</x:v>
      </x:c>
      <x:c r="Q42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</x:v>
      </x:c>
      <x:c r="R42" s="28" t="str">
        <x:v>обычно слабый; кислотность повышает слюноотделение; партнёр: отсутствует</x:v>
      </x:c>
      <x:c r="S42" s="28" t="str">
        <x:v>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</x:v>
      </x:c>
      <x:c r="T4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U4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V4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42" s="28" t="str">
        <x:v>мёд, цитрус или нейтральная жировая основа</x:v>
      </x:c>
      <x:c r="X42" s="28" t="str">
        <x:v>напиток, соус, десерт или горячее блюдо после пробной дегустации</x:v>
      </x:c>
      <x:c r="Y42" s="28" t="str">
        <x:v>напитки; еда; десерты; соусы/маринады</x:v>
      </x:c>
      <x:c r="Z42" s="28" t="str">
        <x:v>Гипотеза / практическая</x:v>
      </x:c>
      <x:c r="AA42" s="28" t="str">
        <x:v>Таблица сочетания(1).pdf</x:v>
      </x:c>
      <x:c r="AB42" s="28" t="str">
        <x:v>Таблица сочетания(1).pdf: 1</x:v>
      </x:c>
      <x:c r="AC42" s="28" t="str">
        <x:v>Пара указана в строке «Абрикос» → колонка «Другое».</x:v>
      </x:c>
      <x:c r="AD42" s="28" t="n">
        <x:v>1</x:v>
      </x:c>
      <x:c r="AE42" s="28" t="n">
        <x:v>1</x:v>
      </x:c>
      <x:c r="AF42" s="28" t="n">
        <x:f>IF(Z42="Высокая",3,IF(Z42="Средняя",2,1))+AD42*2+MIN(AE42,3)</x:f>
        <x:v>4</x:v>
      </x:c>
    </x:row>
    <x:row r="43" ht="62" customHeight="1">
      <x:c r="A43" s="28" t="str">
        <x:v>STN-0042</x:v>
      </x:c>
      <x:c r="B43" s="28" t="str">
        <x:v>абрикос</x:v>
      </x:c>
      <x:c r="C43" s="28" t="str">
        <x:v>Десерты и выпечка</x:v>
      </x:c>
      <x:c r="D43" s="28" t="str">
        <x:v>абрикос</x:v>
      </x:c>
      <x:c r="E43" s="28" t="str">
        <x:v>apricot</x:v>
      </x:c>
      <x:c r="F43" s="28" t="str">
        <x:v>Косточковые фрукты</x:v>
      </x:c>
      <x:c r="G43" s="28" t="str">
        <x:v>миндаль</x:v>
      </x:c>
      <x:c r="H43" s="28" t="str">
        <x:v>Миндаль | миндаль | Almond</x:v>
      </x:c>
      <x:c r="I43" s="28" t="str">
        <x:v>Орехи и семена</x:v>
      </x:c>
      <x:c r="J43" s="28" t="str">
        <x:v>цветочный, фруктовый, медовый, сливочно-лактонный, миндальный</x:v>
      </x:c>
      <x:c r="K43" s="28" t="str">
        <x:v>марципановый и ореховый</x:v>
      </x:c>
      <x:c r="L43" s="28" t="str">
        <x:v>γ- и δ-лактоны, линалоол, гераниол, бензальдегид, β-ионон, дамасценон, фруктовые эфиры</x:v>
      </x:c>
      <x:c r="M43" s="28" t="str">
        <x:v>бензальдегид, пиразины после обжарки</x:v>
      </x:c>
      <x:c r="N43" s="28" t="str">
        <x:v>прямое семейное перекрытие не является главным механизмом</x:v>
      </x:c>
      <x:c r="O43" s="28" t="str">
        <x:v>бензальдегид</x:v>
      </x:c>
      <x:c r="P43" s="28" t="str">
        <x:v>прямое или классовое перекрытие характерных одорантов + вкусовой баланс</x:v>
      </x:c>
      <x:c r="Q43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43" s="28" t="str">
        <x:v>обычно слабый; кислотность повышает слюноотделение; партнёр: обычно отсутствует</x:v>
      </x:c>
      <x:c r="S43" s="28" t="str">
        <x:v>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</x:v>
      </x:c>
      <x:c r="T4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4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Миндаль относится к группе «Орехи и семена» и даёт профиль «марципановый и ореховый»; типичные соединения или классы: бензальдегид, пиразины после обжарки.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4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W43" s="28" t="str">
        <x:v>ваниль, шоколад или корица</x:v>
      </x:c>
      <x:c r="X43" s="28" t="str">
        <x:v>тарт, крем, мороженое, выпечка, сырная подача или начинка</x:v>
      </x:c>
      <x:c r="Y43" s="28" t="str">
        <x:v>десерты; еда</x:v>
      </x:c>
      <x:c r="Z43" s="28" t="str">
        <x:v>Высокая</x:v>
      </x:c>
      <x:c r="AA43" s="28" t="str">
        <x:v>The Art &amp; Science of Foodpairing.pdf | Таблица сочетания(1).pdf | Тезариус вкусов (Ники Сегнит)(1).pdf</x:v>
      </x:c>
      <x:c r="AB43" s="28" t="str">
        <x:v>Таблица сочетания(1).pdf: 1 | Тезариус вкусов (Ники Сегнит)(1).pdf: 641 | Тезариус вкусов (Ники Сегнит)(1).pdf: 743 | The Art &amp; Science of Foodpairing.pdf: 344 | The Art &amp; Science of Foodpairing.pdf: 347</x:v>
      </x:c>
      <x:c r="AC43" s="28" t="str">
        <x:v>Пара указана в строке «Миндаль»: «абрикос» находится в колонке «Фрукты». Пара указана в строке «Абрикос» → колонка «Другое». Миндаль и абрикос. Чарльз Эрроуби, главный ге-</x:v>
      </x:c>
      <x:c r="AD43" s="28" t="n">
        <x:v>3</x:v>
      </x:c>
      <x:c r="AE43" s="28" t="n">
        <x:v>6</x:v>
      </x:c>
      <x:c r="AF43" s="28" t="n">
        <x:f>IF(Z43="Высокая",3,IF(Z43="Средняя",2,1))+AD43*2+MIN(AE43,3)</x:f>
        <x:v>12</x:v>
      </x:c>
    </x:row>
    <x:row r="44" ht="62" customHeight="1">
      <x:c r="A44" s="28" t="str">
        <x:v>STN-0043</x:v>
      </x:c>
      <x:c r="B44" s="28" t="str">
        <x:v>абрикос</x:v>
      </x:c>
      <x:c r="C44" s="28" t="str">
        <x:v>Универсальные</x:v>
      </x:c>
      <x:c r="D44" s="28" t="str">
        <x:v>абрикос</x:v>
      </x:c>
      <x:c r="E44" s="28" t="str">
        <x:v>apricot</x:v>
      </x:c>
      <x:c r="F44" s="28" t="str">
        <x:v>Косточковые фрукты</x:v>
      </x:c>
      <x:c r="G44" s="28" t="str">
        <x:v>мирабель</x:v>
      </x:c>
      <x:c r="H44" s="28" t="str">
        <x:v>eau de vie de mirabelle</x:v>
      </x:c>
      <x:c r="I44" s="28" t="str">
        <x:v>Косточковые фрукты</x:v>
      </x:c>
      <x:c r="J44" s="28" t="str">
        <x:v>цветочный, фруктовый, медовый, сливочно-лактонный, миндальный</x:v>
      </x:c>
      <x:c r="K44" s="28" t="str">
        <x:v>медовый, цветочный, сливовый, винный и слегка миндальный</x:v>
      </x:c>
      <x:c r="L44" s="28" t="str">
        <x:v>γ- и δ-лактоны, линалоол, гераниол, бензальдегид, β-ионон, дамасценон, фруктовые эфиры</x:v>
      </x:c>
      <x:c r="M44" s="28" t="str">
        <x:v>фруктовые эфиры, линалоол, бензальдегид, лактоны, дамасценон</x:v>
      </x:c>
      <x:c r="N44" s="28" t="str">
        <x:v>цветочный, миндальный, медовый</x:v>
      </x:c>
      <x:c r="O44" s="28" t="str">
        <x:v>бензальдегид, линалоол, дамасценон, фруктовые эфиры</x:v>
      </x:c>
      <x:c r="P44" s="28" t="str">
        <x:v>прямое или классовое перекрытие характерных одорантов + вкусовой баланс</x:v>
      </x:c>
      <x:c r="Q44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 и умеренная кислотность. Баланс корректируется сахаром, кислотой, солью и горечью.</x:v>
      </x:c>
      <x:c r="R44" s="28" t="str">
        <x:v>обычно слабый; кислотность повышает слюноотделение; партнёр: слабый</x:v>
      </x:c>
      <x:c r="S44" s="28" t="str">
        <x:v>водно-пектиновая мякоть; низкий жир; кожица и косточка могут добавлять терпкость и миндальный оттенок. Партнёр: сочная пектиновая мякоть; особенно хорошо переносит дистилляцию и ферментацию.</x:v>
      </x:c>
      <x:c r="T4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мёд и джем; ферментация и дистилляция подчёркивают эфирный сливовый профиль.</x:v>
      </x:c>
      <x:c r="U4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Мирабель относится к группе «Косточковые фрукты» и даёт профиль «медовый, цветочный, сливовый, винный и слегка миндальный»; типичные соединения или классы: фруктовые эфиры, линалоол, бензальдегид, лактоны, дамасценон. В рабочих профилях пересекаются: бензальдегид, линалоол, дамасценон, фруктовые эфиры. Общие ароматические направления: цветочный, миндальный,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 и умеренная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 мякоть; особенно хорошо переносит дистилляцию и ферментацию.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мёд и джем; ферментация и дистилляция подчёркивают эфирный сливовый профиль.</x:v>
      </x:c>
      <x:c r="V4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44" s="28" t="str">
        <x:v>мёд, цитрус или нейтральная жировая основа</x:v>
      </x:c>
      <x:c r="X44" s="28" t="str">
        <x:v>напиток, соус, десерт или горячее блюдо после пробной дегустации</x:v>
      </x:c>
      <x:c r="Y44" s="28" t="str">
        <x:v>напитки; еда; десерты; соусы/маринады</x:v>
      </x:c>
      <x:c r="Z44" s="28" t="str">
        <x:v>Средняя</x:v>
      </x:c>
      <x:c r="AA44" s="28" t="str">
        <x:v>The Art &amp; Science of Foodpairing.pdf</x:v>
      </x:c>
      <x:c r="AB44" s="28" t="str">
        <x:v>The Art &amp; Science of Foodpairing.pdf: 206</x:v>
      </x:c>
      <x:c r="AC44" s="28" t="str">
        <x:v>Ingredient pairings with apricot: eau de vie de mirabelle.</x:v>
      </x:c>
      <x:c r="AD44" s="28" t="n">
        <x:v>1</x:v>
      </x:c>
      <x:c r="AE44" s="28" t="n">
        <x:v>1</x:v>
      </x:c>
      <x:c r="AF44" s="28" t="n">
        <x:f>IF(Z44="Высокая",3,IF(Z44="Средняя",2,1))+AD44*2+MIN(AE44,3)</x:f>
        <x:v>5</x:v>
      </x:c>
    </x:row>
    <x:row r="45" ht="62" customHeight="1">
      <x:c r="A45" s="28" t="str">
        <x:v>STN-0044</x:v>
      </x:c>
      <x:c r="B45" s="28" t="str">
        <x:v>абрикос</x:v>
      </x:c>
      <x:c r="C45" s="28" t="str">
        <x:v>Универсальные</x:v>
      </x:c>
      <x:c r="D45" s="28" t="str">
        <x:v>абрикос</x:v>
      </x:c>
      <x:c r="E45" s="28" t="str">
        <x:v>apricot</x:v>
      </x:c>
      <x:c r="F45" s="28" t="str">
        <x:v>Косточковые фрукты</x:v>
      </x:c>
      <x:c r="G45" s="28" t="str">
        <x:v>мята</x:v>
      </x:c>
      <x:c r="H45" s="28" t="str">
        <x:v>мята | Мята</x:v>
      </x:c>
      <x:c r="I45" s="28" t="str">
        <x:v>Травы и цветы</x:v>
      </x:c>
      <x:c r="J45" s="28" t="str">
        <x:v>цветочный, фруктовый, медовый, сливочно-лактонный, миндальный</x:v>
      </x:c>
      <x:c r="K45" s="28" t="str">
        <x:v>свежий мятный</x:v>
      </x:c>
      <x:c r="L45" s="28" t="str">
        <x:v>γ- и δ-лактоны, линалоол, гераниол, бензальдегид, β-ионон, дамасценон, фруктовые эфиры</x:v>
      </x:c>
      <x:c r="M45" s="28" t="str">
        <x:v>ментол, ментон</x:v>
      </x:c>
      <x:c r="N45" s="28" t="str">
        <x:v>прямое семейное перекрытие не является главным механизмом</x:v>
      </x:c>
      <x:c r="O45" s="28" t="str">
        <x:v>надёжный единичный общий маркер не подтверждён; механизм не сводится к одной молекуле</x:v>
      </x:c>
      <x:c r="P45" s="28" t="str">
        <x:v>комплементарность ароматических семейств, вкусовой контраст и матричный эффект</x:v>
      </x:c>
      <x:c r="Q45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45" s="28" t="str">
        <x:v>обычно слабый; кислотность повышает слюноотделение; партнёр: ментол активирует холодовые рецепторы</x:v>
      </x:c>
      <x:c r="S45" s="28" t="str">
        <x:v>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</x:v>
      </x:c>
      <x:c r="T4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4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4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45" s="28" t="str">
        <x:v>мёд, цитрус или нейтральная жировая основа</x:v>
      </x:c>
      <x:c r="X45" s="28" t="str">
        <x:v>напиток, соус, десерт или горячее блюдо после пробной дегустации</x:v>
      </x:c>
      <x:c r="Y45" s="28" t="str">
        <x:v>напитки; еда; десерты; соусы/маринады</x:v>
      </x:c>
      <x:c r="Z45" s="28" t="str">
        <x:v>Гипотеза / практическая</x:v>
      </x:c>
      <x:c r="AA45" s="28" t="str">
        <x:v>Таблица сочетания(1).pdf</x:v>
      </x:c>
      <x:c r="AB45" s="28" t="str">
        <x:v>Таблица сочетания(1).pdf: 1 | Таблица сочетания(1).pdf: 13</x:v>
      </x:c>
      <x:c r="AC45" s="28" t="str">
        <x:v>Пара указана в строке «Абрикос» → колонка «Травы и специи». Пара указана в строке «Мята»: «абрикос» находится в колонке «Фрукты».</x:v>
      </x:c>
      <x:c r="AD45" s="28" t="n">
        <x:v>1</x:v>
      </x:c>
      <x:c r="AE45" s="28" t="n">
        <x:v>2</x:v>
      </x:c>
      <x:c r="AF45" s="28" t="n">
        <x:f>IF(Z45="Высокая",3,IF(Z45="Средняя",2,1))+AD45*2+MIN(AE45,3)</x:f>
        <x:v>5</x:v>
      </x:c>
    </x:row>
    <x:row r="46" ht="62" customHeight="1">
      <x:c r="A46" s="28" t="str">
        <x:v>STN-0045</x:v>
      </x:c>
      <x:c r="B46" s="28" t="str">
        <x:v>абрикос</x:v>
      </x:c>
      <x:c r="C46" s="28" t="str">
        <x:v>Универсальные</x:v>
      </x:c>
      <x:c r="D46" s="28" t="str">
        <x:v>абрикос</x:v>
      </x:c>
      <x:c r="E46" s="28" t="str">
        <x:v>apricot</x:v>
      </x:c>
      <x:c r="F46" s="28" t="str">
        <x:v>Косточковые фрукты</x:v>
      </x:c>
      <x:c r="G46" s="28" t="str">
        <x:v>нектарин</x:v>
      </x:c>
      <x:c r="H46" s="28" t="str">
        <x:v>абрикос | Нектарин</x:v>
      </x:c>
      <x:c r="I46" s="28" t="str">
        <x:v>Косточковые фрукты</x:v>
      </x:c>
      <x:c r="J46" s="28" t="str">
        <x:v>цветочный, фруктовый, медовый, сливочно-лактонный, миндальный</x:v>
      </x:c>
      <x:c r="K46" s="28" t="str">
        <x:v>персиковый, фруктовый, цветочный, зелёный, сливочно-лактонный</x:v>
      </x:c>
      <x:c r="L46" s="28" t="str">
        <x:v>γ- и δ-лактоны, линалоол, гераниол, бензальдегид, β-ионон, дамасценон, фруктовые эфиры</x:v>
      </x:c>
      <x:c r="M46" s="28" t="str">
        <x:v>γ- и δ-декалактон, γ- и δ-додекалактон, фруктовые эфиры, линалоол, бензальдегид, C6-альдегиды</x:v>
      </x:c>
      <x:c r="N46" s="28" t="str">
        <x:v>цветочный, фруктовый, лактонный</x:v>
      </x:c>
      <x:c r="O46" s="28" t="str">
        <x:v>бензальдегид, линалоол, фруктовые эфиры</x:v>
      </x:c>
      <x:c r="P46" s="28" t="str">
        <x:v>прямое или классовое перекрытие характерных одорантов + вкусовой баланс</x:v>
      </x:c>
      <x:c r="Q46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сладкий, сочный, с умеренной кислотностью; профиль близок к персику, но кожица гладкая и часто более ярко-фруктовая. Баланс корректируется сахаром, кислотой, солью и горечью.</x:v>
      </x:c>
      <x:c r="R46" s="28" t="str">
        <x:v>обычно слабый; кислотность повышает слюноотделение; партнёр: слабый; кислотность усиливает свежесть</x:v>
      </x:c>
      <x:c r="S46" s="28" t="str">
        <x:v>водно-пектиновая мякоть; низкий жир; кожица и косточка могут добавлять терпкость и миндальный оттенок. Партнёр: водно-пектиновая; гидрофобные лактоны лучше проявляются в жире и этаноле.</x:v>
      </x:c>
      <x:c r="T4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U4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Нектарин относится к группе «Косточковые фрукты» и даёт профиль «персиковый, фруктовый, цветочный, зелёный, сливочно-лактонный»; типичные соединения или классы: γ- и δ-декалактон, γ- и δ-додекалактон, фруктовые эфиры, линалоол, бензальдегид, C6-альдегиды. В рабочих профилях пересекаются: бензальдегид, линалоол, фруктовые эфиры. Общие ароматические направления: цветочный, фруктовый, лактонный.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сладкий, сочный, с умеренной кислотностью; профиль близок к персику, но кожица гладкая и часто более ярко-фруктовая.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водно-пектиновая; гидрофобные лактоны лучше проявляются в жире 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V4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46" s="28" t="str">
        <x:v>мёд, цитрус или нейтральная жировая основа</x:v>
      </x:c>
      <x:c r="X46" s="28" t="str">
        <x:v>напиток, соус, десерт или горячее блюдо после пробной дегустации</x:v>
      </x:c>
      <x:c r="Y46" s="28" t="str">
        <x:v>напитки; еда; десерты; соусы/маринады</x:v>
      </x:c>
      <x:c r="Z46" s="28" t="str">
        <x:v>Гипотеза / практическая</x:v>
      </x:c>
      <x:c r="AA46" s="28" t="str">
        <x:v>Таблица сочетания(1).pdf</x:v>
      </x:c>
      <x:c r="AB46" s="28" t="str">
        <x:v>Таблица сочетания(1).pdf: 14</x:v>
      </x:c>
      <x:c r="AC46" s="28" t="str">
        <x:v>Пара указана в строке «Нектарин» → колонка «Фрукты». Пара указана в строке «Нектарин»: «абрикос» находится в колонке «Фрукты».</x:v>
      </x:c>
      <x:c r="AD46" s="28" t="n">
        <x:v>1</x:v>
      </x:c>
      <x:c r="AE46" s="28" t="n">
        <x:v>2</x:v>
      </x:c>
      <x:c r="AF46" s="28" t="n">
        <x:f>IF(Z46="Высокая",3,IF(Z46="Средняя",2,1))+AD46*2+MIN(AE46,3)</x:f>
        <x:v>5</x:v>
      </x:c>
    </x:row>
    <x:row r="47" ht="62" customHeight="1">
      <x:c r="A47" s="28" t="str">
        <x:v>STN-0046</x:v>
      </x:c>
      <x:c r="B47" s="28" t="str">
        <x:v>абрикос</x:v>
      </x:c>
      <x:c r="C47" s="28" t="str">
        <x:v>Десерты и выпечка</x:v>
      </x:c>
      <x:c r="D47" s="28" t="str">
        <x:v>абрикос</x:v>
      </x:c>
      <x:c r="E47" s="28" t="str">
        <x:v>apricot</x:v>
      </x:c>
      <x:c r="F47" s="28" t="str">
        <x:v>Косточковые фрукты</x:v>
      </x:c>
      <x:c r="G47" s="28" t="str">
        <x:v>обжаренный кунжут</x:v>
      </x:c>
      <x:c r="H47" s="28" t="str">
        <x:v>Toasted sesame seeds</x:v>
      </x:c>
      <x:c r="I47" s="28" t="str">
        <x:v>Орехи и семена</x:v>
      </x:c>
      <x:c r="J47" s="28" t="str">
        <x:v>цветочный, фруктовый, медовый, сливочно-лактонный, миндальный</x:v>
      </x:c>
      <x:c r="K47" s="28" t="str">
        <x:v>ореховый, жареный, древесный, иногда миндальный</x:v>
      </x:c>
      <x:c r="L47" s="28" t="str">
        <x:v>γ- и δ-лактоны, линалоол, гераниол, бензальдегид, β-ионон, дамасценон, фруктовые эфиры</x:v>
      </x:c>
      <x:c r="M47" s="28" t="str">
        <x:v>бензальдегид, пиразины, фураны, лактоны и липидные альдегиды</x:v>
      </x:c>
      <x:c r="N47" s="28" t="str">
        <x:v>миндальный</x:v>
      </x:c>
      <x:c r="O47" s="28" t="str">
        <x:v>бензальдегид</x:v>
      </x:c>
      <x:c r="P47" s="28" t="str">
        <x:v>прямое или классовое перекрытие характерных одорантов + вкусовой баланс</x:v>
      </x:c>
      <x:c r="Q47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47" s="28" t="str">
        <x:v>обычно слабый; кислотность повышает слюноотделение; партнёр: нет выраженного</x:v>
      </x:c>
      <x:c r="S47" s="28" t="str">
        <x:v>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</x:v>
      </x:c>
      <x:c r="T4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U4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Обжаренный кунжут относится к группе «Орехи и семена» и даёт профиль «ореховый, жареный, древесный, иногда миндальный»; типичные соединения или классы: бензальдегид, пиразины, фураны, лактоны и липидные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V4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W47" s="28" t="str">
        <x:v>ваниль, шоколад или корица</x:v>
      </x:c>
      <x:c r="X47" s="28" t="str">
        <x:v>тарт, крем, мороженое, выпечка, сырная подача или начинка</x:v>
      </x:c>
      <x:c r="Y47" s="28" t="str">
        <x:v>десерты; еда</x:v>
      </x:c>
      <x:c r="Z47" s="28" t="str">
        <x:v>Средняя</x:v>
      </x:c>
      <x:c r="AA47" s="28" t="str">
        <x:v>The Art &amp; Science of Foodpairing.pdf</x:v>
      </x:c>
      <x:c r="AB47" s="28" t="str">
        <x:v>The Art &amp; Science of Foodpairing.pdf: 309</x:v>
      </x:c>
      <x:c r="AC47" s="28" t="str">
        <x:v>Ингредиент «apricot» указан на странице профиля/сетки сочетаний «Toasted sesame seeds».</x:v>
      </x:c>
      <x:c r="AD47" s="28" t="n">
        <x:v>1</x:v>
      </x:c>
      <x:c r="AE47" s="28" t="n">
        <x:v>1</x:v>
      </x:c>
      <x:c r="AF47" s="28" t="n">
        <x:f>IF(Z47="Высокая",3,IF(Z47="Средняя",2,1))+AD47*2+MIN(AE47,3)</x:f>
        <x:v>5</x:v>
      </x:c>
    </x:row>
    <x:row r="48" ht="62" customHeight="1">
      <x:c r="A48" s="28" t="str">
        <x:v>STN-0047</x:v>
      </x:c>
      <x:c r="B48" s="28" t="str">
        <x:v>абрикос</x:v>
      </x:c>
      <x:c r="C48" s="28" t="str">
        <x:v>Универсальные</x:v>
      </x:c>
      <x:c r="D48" s="28" t="str">
        <x:v>абрикос</x:v>
      </x:c>
      <x:c r="E48" s="28" t="str">
        <x:v>apricot</x:v>
      </x:c>
      <x:c r="F48" s="28" t="str">
        <x:v>Косточковые фрукты</x:v>
      </x:c>
      <x:c r="G48" s="28" t="str">
        <x:v>оливковое масло</x:v>
      </x:c>
      <x:c r="H48" s="28" t="str">
        <x:v>Olive oil</x:v>
      </x:c>
      <x:c r="I48" s="28" t="str">
        <x:v>Молочные продукты и сыры</x:v>
      </x:c>
      <x:c r="J48" s="28" t="str">
        <x:v>цветочный, фруктовый, медовый, сливочно-лактонный, миндальный</x:v>
      </x:c>
      <x:c r="K48" s="28" t="str">
        <x:v>масляный, молочный, сливочный, сырный</x:v>
      </x:c>
      <x:c r="L48" s="28" t="str">
        <x:v>γ- и δ-лактоны, линалоол, гераниол, бензальдегид, β-ионон, дамасценон, фруктовые эфиры</x:v>
      </x:c>
      <x:c r="M48" s="28" t="str">
        <x:v>диацетил, жирные кислоты, лактоны</x:v>
      </x:c>
      <x:c r="N48" s="28" t="str">
        <x:v>прямое семейное перекрытие не является главным механизмом</x:v>
      </x:c>
      <x:c r="O48" s="28" t="str">
        <x:v>надёжный единичный общий маркер не подтверждён; механизм не сводится к одной молекуле</x:v>
      </x:c>
      <x:c r="P48" s="28" t="str">
        <x:v>комплементарность ароматических семейств, вкусовой контраст и матричный эффект</x:v>
      </x:c>
      <x:c r="Q48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жирный, кислый/солёный. Баланс корректируется сахаром, кислотой, солью и горечью.</x:v>
      </x:c>
      <x:c r="R48" s="28" t="str">
        <x:v>обычно слабый; кислотность повышает слюноотделение; партнёр: обычно отсутствует; зависит от конкретного продукта</x:v>
      </x:c>
      <x:c r="S48" s="28" t="str">
        <x:v>водно-пектиновая мякоть; низкий жир; кожица и косточка могут добавлять терпкость и миндальный оттенок. Партнёр: жировая и белковая матрица смягчает кислотность.</x:v>
      </x:c>
      <x:c r="T4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4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жирный, кислый/солёный.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жировая и белковая матрица смягчает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4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48" s="28" t="str">
        <x:v>мёд, цитрус или нейтральная жировая основа</x:v>
      </x:c>
      <x:c r="X48" s="28" t="str">
        <x:v>напиток, соус, десерт или горячее блюдо после пробной дегустации</x:v>
      </x:c>
      <x:c r="Y48" s="28" t="str">
        <x:v>напитки; еда; десерты; соусы/маринады</x:v>
      </x:c>
      <x:c r="Z48" s="28" t="str">
        <x:v>Средняя</x:v>
      </x:c>
      <x:c r="AA48" s="28" t="str">
        <x:v>The Art &amp; Science of Foodpairing.pdf</x:v>
      </x:c>
      <x:c r="AB48" s="28" t="str">
        <x:v>The Art &amp; Science of Foodpairing.pdf: 173</x:v>
      </x:c>
      <x:c r="AC48" s="28" t="str">
        <x:v>Ингредиент «apricot» указан на странице профиля/сетки сочетаний «Olive oil».</x:v>
      </x:c>
      <x:c r="AD48" s="28" t="n">
        <x:v>1</x:v>
      </x:c>
      <x:c r="AE48" s="28" t="n">
        <x:v>3</x:v>
      </x:c>
      <x:c r="AF48" s="28" t="n">
        <x:f>IF(Z48="Высокая",3,IF(Z48="Средняя",2,1))+AD48*2+MIN(AE48,3)</x:f>
        <x:v>7</x:v>
      </x:c>
    </x:row>
    <x:row r="49" ht="62" customHeight="1">
      <x:c r="A49" s="28" t="str">
        <x:v>STN-0048</x:v>
      </x:c>
      <x:c r="B49" s="28" t="str">
        <x:v>абрикос</x:v>
      </x:c>
      <x:c r="C49" s="28" t="str">
        <x:v>Еда и соусы</x:v>
      </x:c>
      <x:c r="D49" s="28" t="str">
        <x:v>абрикос</x:v>
      </x:c>
      <x:c r="E49" s="28" t="str">
        <x:v>apricot</x:v>
      </x:c>
      <x:c r="F49" s="28" t="str">
        <x:v>Косточковые фрукты</x:v>
      </x:c>
      <x:c r="G49" s="28" t="str">
        <x:v>отварная или запеченная свекла</x:v>
      </x:c>
      <x:c r="H49" s="28" t="str">
        <x:v>Boiling or roasting beetroot</x:v>
      </x:c>
      <x:c r="I49" s="28" t="str">
        <x:v>Овощи и корнеплоды</x:v>
      </x:c>
      <x:c r="J49" s="28" t="str">
        <x:v>цветочный, фруктовый, медовый, сливочно-лактонный, миндальный</x:v>
      </x:c>
      <x:c r="K49" s="28" t="str">
        <x:v>зелёный, землистый, сладковатый или сернистый</x:v>
      </x:c>
      <x:c r="L49" s="28" t="str">
        <x:v>γ- и δ-лактоны, линалоол, гераниол, бензальдегид, β-ионон, дамасценон, фруктовые эфиры</x:v>
      </x:c>
      <x:c r="M49" s="28" t="str">
        <x:v>C6-альдегиды, метоксипиразины, терпены, сернистые соединения</x:v>
      </x:c>
      <x:c r="N49" s="28" t="str">
        <x:v>прямое семейное перекрытие не является главным механизмом</x:v>
      </x:c>
      <x:c r="O49" s="28" t="str">
        <x:v>надёжный единичный общий маркер не подтверждён; механизм не сводится к одной молекуле</x:v>
      </x:c>
      <x:c r="P49" s="28" t="str">
        <x:v>комплементарность ароматических семейств, вкусовой контраст и матричный эффект</x:v>
      </x:c>
      <x:c r="Q49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сладость, горечь, умами и вода. Баланс корректируется сахаром, кислотой, солью и горечью.</x:v>
      </x:c>
      <x:c r="R49" s="28" t="str">
        <x:v>обычно слабый; кислотность повышает слюноотделение; партнёр: зависит от продукта</x:v>
      </x:c>
      <x:c r="S49" s="28" t="str">
        <x:v>водно-пектиновая мякоть; низкий жир; кожица и косточка могут добавлять терпкость и миндальный оттенок. Партнёр: водная и клетчаточная матрица; обжарка усиливает сладость и Майяр.</x:v>
      </x:c>
      <x:c r="T4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U4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Отварная или запеченная свекла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сладость, горечь, умами и вода.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и клетчаточная матрица; обжарка усиливает сладость и Майяр.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V4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49" s="28" t="str">
        <x:v>мёд, травы или уксус</x:v>
      </x:c>
      <x:c r="X49" s="28" t="str">
        <x:v>соус, глазировка, чатни, маринад, гарнир или основное блюдо</x:v>
      </x:c>
      <x:c r="Y49" s="28" t="str">
        <x:v>еда; соусы/маринады</x:v>
      </x:c>
      <x:c r="Z49" s="28" t="str">
        <x:v>Средняя</x:v>
      </x:c>
      <x:c r="AA49" s="28" t="str">
        <x:v>The Art &amp; Science of Foodpairing.pdf</x:v>
      </x:c>
      <x:c r="AB49" s="28" t="str">
        <x:v>The Art &amp; Science of Foodpairing.pdf: 223 | The Art &amp; Science of Foodpairing.pdf: 224</x:v>
      </x:c>
      <x:c r="AC49" s="28" t="str">
        <x:v>Ингредиент «apricot» указан на странице профиля/сетки сочетаний «Boiling or roasting beetroot». Ингредиент «candied apricot» указан на странице профиля/сетки сочетаний «Boiling or roasting beetroot».</x:v>
      </x:c>
      <x:c r="AD49" s="28" t="n">
        <x:v>1</x:v>
      </x:c>
      <x:c r="AE49" s="28" t="n">
        <x:v>3</x:v>
      </x:c>
      <x:c r="AF49" s="28" t="n">
        <x:f>IF(Z49="Высокая",3,IF(Z49="Средняя",2,1))+AD49*2+MIN(AE49,3)</x:f>
        <x:v>7</x:v>
      </x:c>
    </x:row>
    <x:row r="50" ht="62" customHeight="1">
      <x:c r="A50" s="28" t="str">
        <x:v>STN-0049</x:v>
      </x:c>
      <x:c r="B50" s="28" t="str">
        <x:v>абрикос</x:v>
      </x:c>
      <x:c r="C50" s="28" t="str">
        <x:v>Еда и соусы</x:v>
      </x:c>
      <x:c r="D50" s="28" t="str">
        <x:v>абрикос</x:v>
      </x:c>
      <x:c r="E50" s="28" t="str">
        <x:v>apricot</x:v>
      </x:c>
      <x:c r="F50" s="28" t="str">
        <x:v>Косточковые фрукты</x:v>
      </x:c>
      <x:c r="G50" s="28" t="str">
        <x:v>отварной картофель</x:v>
      </x:c>
      <x:c r="H50" s="28" t="str">
        <x:v>boiled potato</x:v>
      </x:c>
      <x:c r="I50" s="28" t="str">
        <x:v>Овощи и корнеплоды</x:v>
      </x:c>
      <x:c r="J50" s="28" t="str">
        <x:v>цветочный, фруктовый, медовый, сливочно-лактонный, миндальный</x:v>
      </x:c>
      <x:c r="K50" s="28" t="str">
        <x:v>зелёный, землистый, сладковатый или сернистый</x:v>
      </x:c>
      <x:c r="L50" s="28" t="str">
        <x:v>γ- и δ-лактоны, линалоол, гераниол, бензальдегид, β-ионон, дамасценон, фруктовые эфиры</x:v>
      </x:c>
      <x:c r="M50" s="28" t="str">
        <x:v>C6-альдегиды, метоксипиразины, терпены, сернистые соединения</x:v>
      </x:c>
      <x:c r="N50" s="28" t="str">
        <x:v>прямое семейное перекрытие не является главным механизмом</x:v>
      </x:c>
      <x:c r="O50" s="28" t="str">
        <x:v>надёжный единичный общий маркер не подтверждён; механизм не сводится к одной молекуле</x:v>
      </x:c>
      <x:c r="P50" s="28" t="str">
        <x:v>комплементарность ароматических семейств, вкусовой контраст и матричный эффект</x:v>
      </x:c>
      <x:c r="Q50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сладость, горечь, умами и вода. Баланс корректируется сахаром, кислотой, солью и горечью.</x:v>
      </x:c>
      <x:c r="R50" s="28" t="str">
        <x:v>обычно слабый; кислотность повышает слюноотделение; партнёр: зависит от продукта</x:v>
      </x:c>
      <x:c r="S50" s="28" t="str">
        <x:v>водно-пектиновая мякоть; низкий жир; кожица и косточка могут добавлять терпкость и миндальный оттенок. Партнёр: водная и клетчаточная матрица; обжарка усиливает сладость и Майяр.</x:v>
      </x:c>
      <x:c r="T5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U5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Отварной картофель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сладость, горечь, умами и вода.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и клетчаточная матрица; обжарка усиливает сладость и Майяр.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V5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50" s="28" t="str">
        <x:v>мёд, травы или уксус</x:v>
      </x:c>
      <x:c r="X50" s="28" t="str">
        <x:v>соус, глазировка, чатни, маринад, гарнир или основное блюдо</x:v>
      </x:c>
      <x:c r="Y50" s="28" t="str">
        <x:v>еда; соусы/маринады</x:v>
      </x:c>
      <x:c r="Z50" s="28" t="str">
        <x:v>Средняя</x:v>
      </x:c>
      <x:c r="AA50" s="28" t="str">
        <x:v>The Art &amp; Science of Foodpairing.pdf</x:v>
      </x:c>
      <x:c r="AB50" s="28" t="str">
        <x:v>The Art &amp; Science of Foodpairing.pdf: 206</x:v>
      </x:c>
      <x:c r="AC50" s="28" t="str">
        <x:v>Ingredient pairings with apricot: boiled potato.</x:v>
      </x:c>
      <x:c r="AD50" s="28" t="n">
        <x:v>1</x:v>
      </x:c>
      <x:c r="AE50" s="28" t="n">
        <x:v>1</x:v>
      </x:c>
      <x:c r="AF50" s="28" t="n">
        <x:f>IF(Z50="Высокая",3,IF(Z50="Средняя",2,1))+AD50*2+MIN(AE50,3)</x:f>
        <x:v>5</x:v>
      </x:c>
    </x:row>
    <x:row r="51" ht="62" customHeight="1">
      <x:c r="A51" s="28" t="str">
        <x:v>STN-0050</x:v>
      </x:c>
      <x:c r="B51" s="28" t="str">
        <x:v>абрикос</x:v>
      </x:c>
      <x:c r="C51" s="28" t="str">
        <x:v>Еда и соусы</x:v>
      </x:c>
      <x:c r="D51" s="28" t="str">
        <x:v>абрикос</x:v>
      </x:c>
      <x:c r="E51" s="28" t="str">
        <x:v>apricot</x:v>
      </x:c>
      <x:c r="F51" s="28" t="str">
        <x:v>Косточковые фрукты</x:v>
      </x:c>
      <x:c r="G51" s="28" t="str">
        <x:v>отварной лангустин</x:v>
      </x:c>
      <x:c r="H51" s="28" t="str">
        <x:v>boiled langoustine</x:v>
      </x:c>
      <x:c r="I51" s="28" t="str">
        <x:v>Рыба и морепродукты</x:v>
      </x:c>
      <x:c r="J51" s="28" t="str">
        <x:v>цветочный, фруктовый, медовый, сливочно-лактонный, миндальный</x:v>
      </x:c>
      <x:c r="K51" s="28" t="str">
        <x:v>морской, солёный, умами, иногда йодистый и жареный</x:v>
      </x:c>
      <x:c r="L51" s="28" t="str">
        <x:v>γ- и δ-лактоны, линалоол, гераниол, бензальдегид, β-ионон, дамасценон, фруктовые эфиры</x:v>
      </x:c>
      <x:c r="M51" s="28" t="str">
        <x:v>амины, бромфенолы, альдегиды жирных кислот, сернистые соединения</x:v>
      </x:c>
      <x:c r="N51" s="28" t="str">
        <x:v>прямое семейное перекрытие не является главным механизмом</x:v>
      </x:c>
      <x:c r="O51" s="28" t="str">
        <x:v>надёжный единичный общий маркер не подтверждён; механизм не сводится к одной молекуле</x:v>
      </x:c>
      <x:c r="P51" s="28" t="str">
        <x:v>комплементарность ароматических семейств, вкусовой контраст и матричный эффект</x:v>
      </x:c>
      <x:c r="Q51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51" s="28" t="str">
        <x:v>обычно слабый; кислотность повышает слюноотделение; партнёр: нет выраженного</x:v>
      </x:c>
      <x:c r="S51" s="28" t="str">
        <x:v>водно-пектиновая мякоть; низкий жир; кожица и косточка могут добавлять терпкость и миндальный оттенок. Партнёр: водно-белковая матрица; жирная рыба лучше удерживает лактоны.</x:v>
      </x:c>
      <x:c r="T5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U5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Отварной лангустин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 мякоть; низкий жир; кожица и косточка могут добавлять терпкость и миндальный оттенок. Партнёр: водно-белковая матрица; жирная рыба лучше удерживает лактоны.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V5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сладость и длительный контакт с кислотой могут замаскировать морской вкус и изменить белковую текстуру.</x:v>
      </x:c>
      <x:c r="W51" s="28" t="str">
        <x:v>цитрус, укроп или оливковое масло</x:v>
      </x:c>
      <x:c r="X51" s="28" t="str">
        <x:v>соус, глазировка, чатни, маринад, гарнир или основное блюдо</x:v>
      </x:c>
      <x:c r="Y51" s="28" t="str">
        <x:v>еда; соусы/маринады</x:v>
      </x:c>
      <x:c r="Z51" s="28" t="str">
        <x:v>Средняя</x:v>
      </x:c>
      <x:c r="AA51" s="28" t="str">
        <x:v>The Art &amp; Science of Foodpairing.pdf</x:v>
      </x:c>
      <x:c r="AB51" s="28" t="str">
        <x:v>The Art &amp; Science of Foodpairing.pdf: 206</x:v>
      </x:c>
      <x:c r="AC51" s="28" t="str">
        <x:v>Ingredient pairings with apricot: boiled langoustine.</x:v>
      </x:c>
      <x:c r="AD51" s="28" t="n">
        <x:v>1</x:v>
      </x:c>
      <x:c r="AE51" s="28" t="n">
        <x:v>1</x:v>
      </x:c>
      <x:c r="AF51" s="28" t="n">
        <x:f>IF(Z51="Высокая",3,IF(Z51="Средняя",2,1))+AD51*2+MIN(AE51,3)</x:f>
        <x:v>5</x:v>
      </x:c>
    </x:row>
    <x:row r="52" ht="62" customHeight="1">
      <x:c r="A52" s="28" t="str">
        <x:v>STN-0051</x:v>
      </x:c>
      <x:c r="B52" s="28" t="str">
        <x:v>абрикос</x:v>
      </x:c>
      <x:c r="C52" s="28" t="str">
        <x:v>Универсальные</x:v>
      </x:c>
      <x:c r="D52" s="28" t="str">
        <x:v>абрикос</x:v>
      </x:c>
      <x:c r="E52" s="28" t="str">
        <x:v>apricot</x:v>
      </x:c>
      <x:c r="F52" s="28" t="str">
        <x:v>Косточковые фрукты</x:v>
      </x:c>
      <x:c r="G52" s="28" t="str">
        <x:v>персик</x:v>
      </x:c>
      <x:c r="H52" s="28" t="str">
        <x:v>персик | Абрикос | абрикос | Персик | Peach</x:v>
      </x:c>
      <x:c r="I52" s="28" t="str">
        <x:v>Косточковые фрукты</x:v>
      </x:c>
      <x:c r="J52" s="28" t="str">
        <x:v>цветочный, фруктовый, медовый, сливочно-лактонный, миндальный</x:v>
      </x:c>
      <x:c r="K52" s="28" t="str">
        <x:v>сливочный, персиковый, кокосово-лактонный, цветочный, зелёный</x:v>
      </x:c>
      <x:c r="L52" s="28" t="str">
        <x:v>γ- и δ-лактоны, линалоол, гераниол, бензальдегид, β-ионон, дамасценон, фруктовые эфиры</x:v>
      </x:c>
      <x:c r="M52" s="28" t="str">
        <x:v>γ- и δ-декалактон, γ- и δ-додекалактон, линалоол, бензальдегид, гексаналь, цис-3-гексенол</x:v>
      </x:c>
      <x:c r="N52" s="28" t="str">
        <x:v>цветочный, лактонный</x:v>
      </x:c>
      <x:c r="O52" s="28" t="str">
        <x:v>бензальдегид, линалоол</x:v>
      </x:c>
      <x:c r="P52" s="28" t="str">
        <x:v>прямое или классовое перекрытие характерных одорантов + вкусовой баланс</x:v>
      </x:c>
      <x:c r="Q52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сладость, умеренная кислотность; беломякотные сорта обычно слаще и мягче по кислоте. Баланс корректируется сахаром, кислотой, солью и горечью.</x:v>
      </x:c>
      <x:c r="R52" s="28" t="str">
        <x:v>обычно слабый; кислотность повышает слюноотделение; партнёр: обычно слабый; кислота даёт свежесть</x:v>
      </x:c>
      <x:c r="S52" s="28" t="str">
        <x:v>водно-пектиновая мякоть; низкий жир; кожица и косточка могут добавлять терпкость и миндальный оттенок. Партнёр: сочная пектиновая мякоть; кожица несёт зелёные и цветочные ноты; лактоны хорошо удерживаются жиром и этанолом.</x:v>
      </x:c>
      <x:c r="T5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спелость резко увеличивает аромат; нагрев усиливает варенье, карамель и миндальные оттенки, но снижает свежую цветочность.</x:v>
      </x:c>
      <x:c r="U5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Персик относится к группе «Косточковые фрукты» и даёт профиль «сливочный, персиковый, кокосово-лактонный, цветочный, зелёный»; типичные соединения или классы: γ- и δ-декалактон, γ- и δ-додекалактон, линалоол, бензальдегид, гексаналь, цис-3-гексенол. В рабочих профилях пересекаются: бензальдегид, линалоол. Общие ароматические направления: цветочный, лактонный. 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сладость, умеренная кислотность; беломякотные сорта обычно слаще и мягче по кислоте.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 мякоть; кожица несёт зелёные и цветочные ноты; лактоны хорошо удерживаются жиром и этанолом.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спелость резко увеличивает аромат; нагрев усиливает варенье, карамель и миндальные оттенки, но снижает свежую цветочность.</x:v>
      </x:c>
      <x:c r="V5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52" s="28" t="str">
        <x:v>мёд, цитрус или нейтральная жировая основа</x:v>
      </x:c>
      <x:c r="X52" s="28" t="str">
        <x:v>напиток, соус, десерт или горячее блюдо после пробной дегустации</x:v>
      </x:c>
      <x:c r="Y52" s="28" t="str">
        <x:v>напитки; еда; десерты; соусы/маринады</x:v>
      </x:c>
      <x:c r="Z52" s="28" t="str">
        <x:v>Высокая</x:v>
      </x:c>
      <x:c r="AA52" s="28" t="str">
        <x:v>The Art &amp; Science of Foodpairing.pdf | Таблица сочетания(1).pdf | Тезариус вкусов (Ники Сегнит)(1).pdf</x:v>
      </x:c>
      <x:c r="AB52" s="28" t="str">
        <x:v>Таблица сочетания(1).pdf: 1 | Таблица сочетания(1).pdf: 15 | Тезариус вкусов (Ники Сегнит)(1).pdf: 743 | Тезариус вкусов (Ники Сегнит)(1).pdf: 747 | The Art &amp; Science of Foodpairing.pdf: 260</x:v>
      </x:c>
      <x:c r="AC52" s="28" t="str">
        <x:v>Пара указана в строке «Абрикос» → колонка «Фрукты». Пара указана в строке «Абрикос»: «персик» находится в колонке «Фрукты». Пара указана в строке «Персик» → колонка «Фрукты».</x:v>
      </x:c>
      <x:c r="AD52" s="28" t="n">
        <x:v>3</x:v>
      </x:c>
      <x:c r="AE52" s="28" t="n">
        <x:v>7</x:v>
      </x:c>
      <x:c r="AF52" s="28" t="n">
        <x:f>IF(Z52="Высокая",3,IF(Z52="Средняя",2,1))+AD52*2+MIN(AE52,3)</x:f>
        <x:v>12</x:v>
      </x:c>
    </x:row>
    <x:row r="53" ht="62" customHeight="1">
      <x:c r="A53" s="28" t="str">
        <x:v>STN-0052</x:v>
      </x:c>
      <x:c r="B53" s="28" t="str">
        <x:v>абрикос</x:v>
      </x:c>
      <x:c r="C53" s="28" t="str">
        <x:v>Универсальные</x:v>
      </x:c>
      <x:c r="D53" s="28" t="str">
        <x:v>абрикос</x:v>
      </x:c>
      <x:c r="E53" s="28" t="str">
        <x:v>apricot</x:v>
      </x:c>
      <x:c r="F53" s="28" t="str">
        <x:v>Косточковые фрукты</x:v>
      </x:c>
      <x:c r="G53" s="28" t="str">
        <x:v>плюмкот</x:v>
      </x:c>
      <x:c r="H53" s="28" t="str">
        <x:v>Apricot | plumcot</x:v>
      </x:c>
      <x:c r="I53" s="28" t="str">
        <x:v>Гибридные косточковые фрукты</x:v>
      </x:c>
      <x:c r="J53" s="28" t="str">
        <x:v>цветочный, фруктовый, медовый, сливочно-лактонный, миндальный</x:v>
      </x:c>
      <x:c r="K53" s="28" t="str">
        <x:v>сливово-персиковый, цветочный, винный и сливочно-лактонный</x:v>
      </x:c>
      <x:c r="L53" s="28" t="str">
        <x:v>γ- и δ-лактоны, линалоол, гераниол, бензальдегид, β-ионон, дамасценон, фруктовые эфиры</x:v>
      </x:c>
      <x:c r="M53" s="28" t="str">
        <x:v>лактоны, фруктовые эфиры, линалоол, бензальдегид, C6-альдегиды</x:v>
      </x:c>
      <x:c r="N53" s="28" t="str">
        <x:v>цветочный, лактонный</x:v>
      </x:c>
      <x:c r="O53" s="28" t="str">
        <x:v>бензальдегид, линалоол, фруктовые эфиры</x:v>
      </x:c>
      <x:c r="P53" s="28" t="str">
        <x:v>прямое или классовое перекрытие характерных одорантов + вкусовой баланс</x:v>
      </x:c>
      <x:c r="Q53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с выраженной фруктовой кислотностью; баланс зависит от сорта. Баланс корректируется сахаром, кислотой, солью и горечью.</x:v>
      </x:c>
      <x:c r="R53" s="28" t="str">
        <x:v>обычно слабый; кислотность повышает слюноотделение; партнёр: слабый</x:v>
      </x:c>
      <x:c r="S53" s="28" t="str">
        <x:v>водно-пектиновая мякоть; низкий жир; кожица и косточка могут добавлять терпкость и миндальный оттенок. Партнёр: сочная пектиновая; сочетает поведение сливы и абрикоса.</x:v>
      </x:c>
      <x:c r="T5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джемовые ноты; холодная обработка лучше сохраняет цветочность.</x:v>
      </x:c>
      <x:c r="U5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Плюмкот относится к группе «Гибридные косточковые фрукты» и даёт профиль «сливово-персиковый, цветочный, винный и сливочно-лактонный»; типичные соединения или классы: лактоны, фруктовые эфиры, линалоол, бензальдегид, C6-альдегиды. В рабочих профилях пересекаются: бензальдегид, линалоол, фруктовые эфиры. Общие ароматические направления: цветочный, лактонный.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с выраженной фруктовой кислотностью; баланс зависит от сорта.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пектиновая; сочетает поведение сливы и абрикоса.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джемовые ноты; холодная обработка лучше сохраняет цветочность.</x:v>
      </x:c>
      <x:c r="V5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53" s="28" t="str">
        <x:v>мёд, цитрус или нейтральная жировая основа</x:v>
      </x:c>
      <x:c r="X53" s="28" t="str">
        <x:v>напиток, соус, десерт или горячее блюдо после пробной дегустации</x:v>
      </x:c>
      <x:c r="Y53" s="28" t="str">
        <x:v>напитки; еда; десерты; соусы/маринады</x:v>
      </x:c>
      <x:c r="Z53" s="28" t="str">
        <x:v>Средняя</x:v>
      </x:c>
      <x:c r="AA53" s="28" t="str">
        <x:v>The Art &amp; Science of Foodpairing.pdf</x:v>
      </x:c>
      <x:c r="AB53" s="28" t="str">
        <x:v>The Art &amp; Science of Foodpairing.pdf: 206</x:v>
      </x:c>
      <x:c r="AC53" s="28" t="str">
        <x:v>Ингредиент «plumcot» указан на странице профиля/сетки сочетаний «Apricot». Ingredient pairings with apricot: plumcot.</x:v>
      </x:c>
      <x:c r="AD53" s="28" t="n">
        <x:v>1</x:v>
      </x:c>
      <x:c r="AE53" s="28" t="n">
        <x:v>2</x:v>
      </x:c>
      <x:c r="AF53" s="28" t="n">
        <x:f>IF(Z53="Высокая",3,IF(Z53="Средняя",2,1))+AD53*2+MIN(AE53,3)</x:f>
        <x:v>6</x:v>
      </x:c>
    </x:row>
    <x:row r="54" ht="62" customHeight="1">
      <x:c r="A54" s="28" t="str">
        <x:v>STN-0053</x:v>
      </x:c>
      <x:c r="B54" s="28" t="str">
        <x:v>абрикос</x:v>
      </x:c>
      <x:c r="C54" s="28" t="str">
        <x:v>Универсальные</x:v>
      </x:c>
      <x:c r="D54" s="28" t="str">
        <x:v>абрикос</x:v>
      </x:c>
      <x:c r="E54" s="28" t="str">
        <x:v>apricot</x:v>
      </x:c>
      <x:c r="F54" s="28" t="str">
        <x:v>Косточковые фрукты</x:v>
      </x:c>
      <x:c r="G54" s="28" t="str">
        <x:v>рапсовый мед</x:v>
      </x:c>
      <x:c r="H54" s="28" t="str">
        <x:v>rapeseed honey</x:v>
      </x:c>
      <x:c r="I54" s="28" t="str">
        <x:v>Подсластители</x:v>
      </x:c>
      <x:c r="J54" s="28" t="str">
        <x:v>цветочный, фруктовый, медовый, сливочно-лактонный, миндальный</x:v>
      </x:c>
      <x:c r="K54" s="28" t="str">
        <x:v>медовый, цветочный, карамельный</x:v>
      </x:c>
      <x:c r="L54" s="28" t="str">
        <x:v>γ- и δ-лактоны, линалоол, гераниол, бензальдегид, β-ионон, дамасценон, фруктовые эфиры</x:v>
      </x:c>
      <x:c r="M54" s="28" t="str">
        <x:v>фенилуксусные соединения, фураны, норизопреноиды</x:v>
      </x:c>
      <x:c r="N54" s="28" t="str">
        <x:v>цветочный, медовый</x:v>
      </x:c>
      <x:c r="O54" s="28" t="str">
        <x:v>надёжный единичный общий маркер не подтверждён; механизм не сводится к одной молекуле</x:v>
      </x:c>
      <x:c r="P54" s="28" t="str">
        <x:v>комплементарность ароматических семейств, вкусовой контраст и матричный эффект</x:v>
      </x:c>
      <x:c r="Q54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сладкий. Баланс корректируется сахаром, кислотой, солью и горечью.</x:v>
      </x:c>
      <x:c r="R54" s="28" t="str">
        <x:v>обычно слабый; кислотность повышает слюноотделение; партнёр: нет выраженного</x:v>
      </x:c>
      <x:c r="S54" s="28" t="str">
        <x:v>водно-пектиновая мякоть; низкий жир; кожица и косточка могут добавлять терпкость и миндальный оттенок. Партнёр: сахар повышает вязкость и снижает воспринимаемую кислотность.</x:v>
      </x:c>
      <x:c r="T5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Сладость балансирует кислоту и горечь кожуры; цветочные компоненты могут поддерживать цитрус..</x:v>
      </x:c>
      <x:c r="U5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Рапсовый мед относится к группе «Подсластители» и даёт профиль «медовый, цветочный, карамельный»; типичные соединения или классы: фенилуксусные соединения, фураны, норизопреноиды. По доступным материалам нельзя уверенно свести совместимость к одной общей молекуле. Общие ароматические направления: цветочный,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сладкий.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сахар повышает вязкость и снижает воспринимаемую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Сладость балансирует кислоту и горечь кожуры; цветочные компоненты могут поддерживать цитрус..</x:v>
      </x:c>
      <x:c r="V5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54" s="28" t="str">
        <x:v>мёд, цитрус или нейтральная жировая основа</x:v>
      </x:c>
      <x:c r="X54" s="28" t="str">
        <x:v>напиток, соус, десерт или горячее блюдо после пробной дегустации</x:v>
      </x:c>
      <x:c r="Y54" s="28" t="str">
        <x:v>напитки; еда; десерты; соусы/маринады</x:v>
      </x:c>
      <x:c r="Z54" s="28" t="str">
        <x:v>Средняя</x:v>
      </x:c>
      <x:c r="AA54" s="28" t="str">
        <x:v>The Art &amp; Science of Foodpairing.pdf</x:v>
      </x:c>
      <x:c r="AB54" s="28" t="str">
        <x:v>The Art &amp; Science of Foodpairing.pdf: 206</x:v>
      </x:c>
      <x:c r="AC54" s="28" t="str">
        <x:v>Ingredient pairings with apricot: rapeseed honey.</x:v>
      </x:c>
      <x:c r="AD54" s="28" t="n">
        <x:v>1</x:v>
      </x:c>
      <x:c r="AE54" s="28" t="n">
        <x:v>1</x:v>
      </x:c>
      <x:c r="AF54" s="28" t="n">
        <x:f>IF(Z54="Высокая",3,IF(Z54="Средняя",2,1))+AD54*2+MIN(AE54,3)</x:f>
        <x:v>5</x:v>
      </x:c>
    </x:row>
    <x:row r="55" ht="62" customHeight="1">
      <x:c r="A55" s="28" t="str">
        <x:v>STN-0054</x:v>
      </x:c>
      <x:c r="B55" s="28" t="str">
        <x:v>абрикос</x:v>
      </x:c>
      <x:c r="C55" s="28" t="str">
        <x:v>Универсальные</x:v>
      </x:c>
      <x:c r="D55" s="28" t="str">
        <x:v>абрикос</x:v>
      </x:c>
      <x:c r="E55" s="28" t="str">
        <x:v>apricot</x:v>
      </x:c>
      <x:c r="F55" s="28" t="str">
        <x:v>Косточковые фрукты</x:v>
      </x:c>
      <x:c r="G55" s="28" t="str">
        <x:v>ревень</x:v>
      </x:c>
      <x:c r="H55" s="28" t="str">
        <x:v>Ревень</x:v>
      </x:c>
      <x:c r="I55" s="28" t="str">
        <x:v>Прочее</x:v>
      </x:c>
      <x:c r="J55" s="28" t="str">
        <x:v>цветочный, фруктовый, медовый, сливочно-лактонный, миндальный</x:v>
      </x:c>
      <x:c r="K55" s="28" t="str">
        <x:v>ароматический профиль зависит от конкретного ингредиента</x:v>
      </x:c>
      <x:c r="L55" s="28" t="str">
        <x:v>γ- и δ-лактоны, линалоол, гераниол, бензальдегид, β-ионон, дамасценон, фруктовые эфиры</x:v>
      </x:c>
      <x:c r="M55" s="28" t="str">
        <x:v>летучие соединения конкретного продукта</x:v>
      </x:c>
      <x:c r="N55" s="28" t="str">
        <x:v>прямое семейное перекрытие не является главным механизмом</x:v>
      </x:c>
      <x:c r="O55" s="28" t="str">
        <x:v>надёжный единичный общий маркер не подтверждён; механизм не сводится к одной молекуле</x:v>
      </x:c>
      <x:c r="P55" s="28" t="str">
        <x:v>комплементарность ароматических семейств, вкусовой контраст и матричный эффект</x:v>
      </x:c>
      <x:c r="Q55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сочетание оценивается по балансу сладости, кислоты, соли, горечи и умами. Баланс корректируется сахаром, кислотой, солью и горечью.</x:v>
      </x:c>
      <x:c r="R55" s="28" t="str">
        <x:v>обычно слабый; кислотность повышает слюноотделение; партнёр: возможен в зависимости от состава</x:v>
      </x:c>
      <x:c r="S55" s="28" t="str">
        <x:v>водно-пектиновая мякоть; низкий жир; кожица и косточка могут добавлять терпкость и миндальный оттенок. Партнёр: важны вода, жир, белок, сахар и температура.</x:v>
      </x:c>
      <x:c r="T5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U5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Ревень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важны вода, жир, белок, сахар и температура.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V5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55" s="28" t="str">
        <x:v>мёд, цитрус или нейтральная жировая основа</x:v>
      </x:c>
      <x:c r="X55" s="28" t="str">
        <x:v>напиток, соус, десерт или горячее блюдо после пробной дегустации</x:v>
      </x:c>
      <x:c r="Y55" s="28" t="str">
        <x:v>напитки; еда; десерты; соусы/маринады</x:v>
      </x:c>
      <x:c r="Z55" s="28" t="str">
        <x:v>Гипотеза / практическая</x:v>
      </x:c>
      <x:c r="AA55" s="28" t="str">
        <x:v>Таблица сочетания(1).pdf</x:v>
      </x:c>
      <x:c r="AB55" s="28" t="str">
        <x:v>Таблица сочетания(1).pdf: 19</x:v>
      </x:c>
      <x:c r="AC55" s="28" t="str">
        <x:v>Пара указана в строке «Ревень»: «абрикос» находится в колонке «Фрукты».</x:v>
      </x:c>
      <x:c r="AD55" s="28" t="n">
        <x:v>1</x:v>
      </x:c>
      <x:c r="AE55" s="28" t="n">
        <x:v>1</x:v>
      </x:c>
      <x:c r="AF55" s="28" t="n">
        <x:f>IF(Z55="Высокая",3,IF(Z55="Средняя",2,1))+AD55*2+MIN(AE55,3)</x:f>
        <x:v>4</x:v>
      </x:c>
    </x:row>
    <x:row r="56" ht="62" customHeight="1">
      <x:c r="A56" s="28" t="str">
        <x:v>STN-0055</x:v>
      </x:c>
      <x:c r="B56" s="28" t="str">
        <x:v>абрикос</x:v>
      </x:c>
      <x:c r="C56" s="28" t="str">
        <x:v>Универсальные</x:v>
      </x:c>
      <x:c r="D56" s="28" t="str">
        <x:v>абрикос</x:v>
      </x:c>
      <x:c r="E56" s="28" t="str">
        <x:v>apricot</x:v>
      </x:c>
      <x:c r="F56" s="28" t="str">
        <x:v>Косточковые фрукты</x:v>
      </x:c>
      <x:c r="G56" s="28" t="str">
        <x:v>роза</x:v>
      </x:c>
      <x:c r="H56" s="28" t="str">
        <x:v>роза | Роза</x:v>
      </x:c>
      <x:c r="I56" s="28" t="str">
        <x:v>Травы и цветы</x:v>
      </x:c>
      <x:c r="J56" s="28" t="str">
        <x:v>цветочный, фруктовый, медовый, сливочно-лактонный, миндальный</x:v>
      </x:c>
      <x:c r="K56" s="28" t="str">
        <x:v>зелёный, цветочный, травянистый и эфирно-масличный</x:v>
      </x:c>
      <x:c r="L56" s="28" t="str">
        <x:v>γ- и δ-лактоны, линалоол, гераниол, бензальдегид, β-ионон, дамасценон, фруктовые эфиры</x:v>
      </x:c>
      <x:c r="M56" s="28" t="str">
        <x:v>линалоол, гераниол, эвгенол, 1,8-цинеол</x:v>
      </x:c>
      <x:c r="N56" s="28" t="str">
        <x:v>цветочный</x:v>
      </x:c>
      <x:c r="O56" s="28" t="str">
        <x:v>линалоол, гераниол</x:v>
      </x:c>
      <x:c r="P56" s="28" t="str">
        <x:v>прямое или классовое перекрытие характерных одорантов + вкусовой баланс</x:v>
      </x:c>
      <x:c r="Q56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56" s="28" t="str">
        <x:v>обычно слабый; кислотность повышает слюноотделение; партнёр: у мяты возможен холодящий эффект ментола; у некоторых трав — камфорность</x:v>
      </x:c>
      <x:c r="S56" s="28" t="str">
        <x:v>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</x:v>
      </x:c>
      <x:c r="T5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5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Роза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5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56" s="28" t="str">
        <x:v>мёд, цитрус или нейтральная жировая основа</x:v>
      </x:c>
      <x:c r="X56" s="28" t="str">
        <x:v>напиток, соус, десерт или горячее блюдо после пробной дегустации</x:v>
      </x:c>
      <x:c r="Y56" s="28" t="str">
        <x:v>напитки; еда; десерты; соусы/маринады</x:v>
      </x:c>
      <x:c r="Z56" s="28" t="str">
        <x:v>Высокая</x:v>
      </x:c>
      <x:c r="AA56" s="28" t="str">
        <x:v>Таблица сочетания(1).pdf | Тезариус вкусов (Ники Сегнит)(1).pdf</x:v>
      </x:c>
      <x:c r="AB56" s="28" t="str">
        <x:v>Таблица сочетания(1).pdf: 1 | Тезариус вкусов (Ники Сегнит)(1).pdf: 743 | Тезариус вкусов (Ники Сегнит)(1).pdf: 899</x:v>
      </x:c>
      <x:c r="AC56" s="28" t="str">
        <x:v>Пара указана в строке «Абрикос» → колонка «Другое». Абрикос и роза. Чтобы извлечь из кураги макси- Роза и абрикос. См. Абрикос и роза</x:v>
      </x:c>
      <x:c r="AD56" s="28" t="n">
        <x:v>2</x:v>
      </x:c>
      <x:c r="AE56" s="28" t="n">
        <x:v>3</x:v>
      </x:c>
      <x:c r="AF56" s="28" t="n">
        <x:f>IF(Z56="Высокая",3,IF(Z56="Средняя",2,1))+AD56*2+MIN(AE56,3)</x:f>
        <x:v>10</x:v>
      </x:c>
    </x:row>
    <x:row r="57" ht="62" customHeight="1">
      <x:c r="A57" s="28" t="str">
        <x:v>STN-0056</x:v>
      </x:c>
      <x:c r="B57" s="28" t="str">
        <x:v>абрикос</x:v>
      </x:c>
      <x:c r="C57" s="28" t="str">
        <x:v>Универсальные</x:v>
      </x:c>
      <x:c r="D57" s="28" t="str">
        <x:v>абрикос</x:v>
      </x:c>
      <x:c r="E57" s="28" t="str">
        <x:v>apricot</x:v>
      </x:c>
      <x:c r="F57" s="28" t="str">
        <x:v>Косточковые фрукты</x:v>
      </x:c>
      <x:c r="G57" s="28" t="str">
        <x:v>розмарин</x:v>
      </x:c>
      <x:c r="H57" s="28" t="str">
        <x:v>Розмарин | розмарин</x:v>
      </x:c>
      <x:c r="I57" s="28" t="str">
        <x:v>Травы и цветы</x:v>
      </x:c>
      <x:c r="J57" s="28" t="str">
        <x:v>цветочный, фруктовый, медовый, сливочно-лактонный, миндальный</x:v>
      </x:c>
      <x:c r="K57" s="28" t="str">
        <x:v>хвойный, камфорный и древесный</x:v>
      </x:c>
      <x:c r="L57" s="28" t="str">
        <x:v>γ- и δ-лактоны, линалоол, гераниол, бензальдегид, β-ионон, дамасценон, фруктовые эфиры</x:v>
      </x:c>
      <x:c r="M57" s="28" t="str">
        <x:v>1,8-цинеол, камфора, α-пинен</x:v>
      </x:c>
      <x:c r="N57" s="28" t="str">
        <x:v>прямое семейное перекрытие не является главным механизмом</x:v>
      </x:c>
      <x:c r="O57" s="28" t="str">
        <x:v>надёжный единичный общий маркер не подтверждён; механизм не сводится к одной молекуле</x:v>
      </x:c>
      <x:c r="P57" s="28" t="str">
        <x:v>комплементарность ароматических семейств, вкусовой контраст и матричный эффект</x:v>
      </x:c>
      <x:c r="Q57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57" s="28" t="str">
        <x:v>обычно слабый; кислотность повышает слюноотделение; партнёр: у мяты возможен холодящий эффект ментола; у некоторых трав — камфорность</x:v>
      </x:c>
      <x:c r="S57" s="28" t="str">
        <x:v>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</x:v>
      </x:c>
      <x:c r="T5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5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Розмарин относится к группе «Травы и цветы» и даёт профиль «хвойный, камфорный и древесный»; типичные соединения или классы: 1,8-цинеол, камфора, α-пинен.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5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57" s="28" t="str">
        <x:v>мёд, цитрус или нейтральная жировая основа</x:v>
      </x:c>
      <x:c r="X57" s="28" t="str">
        <x:v>напиток, соус, десерт или горячее блюдо после пробной дегустации</x:v>
      </x:c>
      <x:c r="Y57" s="28" t="str">
        <x:v>напитки; еда; десерты; соусы/маринады</x:v>
      </x:c>
      <x:c r="Z57" s="28" t="str">
        <x:v>Высокая</x:v>
      </x:c>
      <x:c r="AA57" s="28" t="str">
        <x:v>Таблица сочетания(1).pdf | Тезариус вкусов (Ники Сегнит)(1).pdf</x:v>
      </x:c>
      <x:c r="AB57" s="28" t="str">
        <x:v>Таблица сочетания(1).pdf: 19 | Тезариус вкусов (Ники Сегнит)(1).pdf: 744 | Тезариус вкусов (Ники Сегнит)(1).pdf: 832</x:v>
      </x:c>
      <x:c r="AC57" s="28" t="str">
        <x:v>Пара указана в строке «Розмарин»: «абрикос» находится в колонке «Фрукты». Абрикос и розмарин. См. Розмарин и абрикос Розмарин и абрикос. Пухлое сладкое печенье с</x:v>
      </x:c>
      <x:c r="AD57" s="28" t="n">
        <x:v>2</x:v>
      </x:c>
      <x:c r="AE57" s="28" t="n">
        <x:v>3</x:v>
      </x:c>
      <x:c r="AF57" s="28" t="n">
        <x:f>IF(Z57="Высокая",3,IF(Z57="Средняя",2,1))+AD57*2+MIN(AE57,3)</x:f>
        <x:v>10</x:v>
      </x:c>
    </x:row>
    <x:row r="58" ht="62" customHeight="1">
      <x:c r="A58" s="28" t="str">
        <x:v>STN-0057</x:v>
      </x:c>
      <x:c r="B58" s="28" t="str">
        <x:v>абрикос</x:v>
      </x:c>
      <x:c r="C58" s="28" t="str">
        <x:v>Универсальные</x:v>
      </x:c>
      <x:c r="D58" s="28" t="str">
        <x:v>абрикос</x:v>
      </x:c>
      <x:c r="E58" s="28" t="str">
        <x:v>apricot</x:v>
      </x:c>
      <x:c r="F58" s="28" t="str">
        <x:v>Косточковые фрукты</x:v>
      </x:c>
      <x:c r="G58" s="28" t="str">
        <x:v>свежие цветы лаванды</x:v>
      </x:c>
      <x:c r="H58" s="28" t="str">
        <x:v>fresh lavender flower</x:v>
      </x:c>
      <x:c r="I58" s="28" t="str">
        <x:v>Прочее</x:v>
      </x:c>
      <x:c r="J58" s="28" t="str">
        <x:v>цветочный, фруктовый, медовый, сливочно-лактонный, миндальный</x:v>
      </x:c>
      <x:c r="K58" s="28" t="str">
        <x:v>нейтральный/специфический</x:v>
      </x:c>
      <x:c r="L58" s="28" t="str">
        <x:v>γ- и δ-лактоны, линалоол, гераниол, бензальдегид, β-ионон, дамасценон, фруктовые эфиры</x:v>
      </x:c>
      <x:c r="M58" s="28" t="str">
        <x:v>нужен профиль конкретного продукта</x:v>
      </x:c>
      <x:c r="N58" s="28" t="str">
        <x:v>прямое семейное перекрытие не является главным механизмом</x:v>
      </x:c>
      <x:c r="O58" s="28" t="str">
        <x:v>надёжный единичный общий маркер не подтверждён; механизм не сводится к одной молекуле</x:v>
      </x:c>
      <x:c r="P58" s="28" t="str">
        <x:v>комплементарность ароматических семейств, вкусовой контраст и матричный эффект</x:v>
      </x:c>
      <x:c r="Q58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зависит от продукта. Баланс корректируется сахаром, кислотой, солью и горечью.</x:v>
      </x:c>
      <x:c r="R58" s="28" t="str">
        <x:v>обычно слабый; кислотность повышает слюноотделение; партнёр: нет данных</x:v>
      </x:c>
      <x:c r="S58" s="28" t="str">
        <x:v>водно-пектиновая мякоть; низкий жир; кожица и косточка могут добавлять терпкость и миндальный оттенок. Партнёр: зависит от формы продукта.</x:v>
      </x:c>
      <x:c r="T5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U5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Свежие цветы лаванды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зависит от продукта.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зависит от формы продукта.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V5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58" s="28" t="str">
        <x:v>мёд, цитрус или нейтральная жировая основа</x:v>
      </x:c>
      <x:c r="X58" s="28" t="str">
        <x:v>напиток, соус, десерт или горячее блюдо после пробной дегустации</x:v>
      </x:c>
      <x:c r="Y58" s="28" t="str">
        <x:v>напитки; еда; десерты; соусы/маринады</x:v>
      </x:c>
      <x:c r="Z58" s="28" t="str">
        <x:v>Средняя</x:v>
      </x:c>
      <x:c r="AA58" s="28" t="str">
        <x:v>The Art &amp; Science of Foodpairing.pdf</x:v>
      </x:c>
      <x:c r="AB58" s="28" t="str">
        <x:v>The Art &amp; Science of Foodpairing.pdf: 206</x:v>
      </x:c>
      <x:c r="AC58" s="28" t="str">
        <x:v>Ingredient pairings with apricot: fresh lavender flower.</x:v>
      </x:c>
      <x:c r="AD58" s="28" t="n">
        <x:v>1</x:v>
      </x:c>
      <x:c r="AE58" s="28" t="n">
        <x:v>1</x:v>
      </x:c>
      <x:c r="AF58" s="28" t="n">
        <x:f>IF(Z58="Высокая",3,IF(Z58="Средняя",2,1))+AD58*2+MIN(AE58,3)</x:f>
        <x:v>5</x:v>
      </x:c>
    </x:row>
    <x:row r="59" ht="62" customHeight="1">
      <x:c r="A59" s="28" t="str">
        <x:v>STN-0058</x:v>
      </x:c>
      <x:c r="B59" s="28" t="str">
        <x:v>абрикос</x:v>
      </x:c>
      <x:c r="C59" s="28" t="str">
        <x:v>Универсальные</x:v>
      </x:c>
      <x:c r="D59" s="28" t="str">
        <x:v>абрикос</x:v>
      </x:c>
      <x:c r="E59" s="28" t="str">
        <x:v>apricot</x:v>
      </x:c>
      <x:c r="F59" s="28" t="str">
        <x:v>Косточковые фрукты</x:v>
      </x:c>
      <x:c r="G59" s="28" t="str">
        <x:v>свиная корейка</x:v>
      </x:c>
      <x:c r="H59" s="28" t="str">
        <x:v>Pork loin chop</x:v>
      </x:c>
      <x:c r="I59" s="28" t="str">
        <x:v>Прочее</x:v>
      </x:c>
      <x:c r="J59" s="28" t="str">
        <x:v>цветочный, фруктовый, медовый, сливочно-лактонный, миндальный</x:v>
      </x:c>
      <x:c r="K59" s="28" t="str">
        <x:v>комплексный профиль, зависящий от продукта</x:v>
      </x:c>
      <x:c r="L59" s="28" t="str">
        <x:v>γ- и δ-лактоны, линалоол, гераниол, бензальдегид, β-ионон, дамасценон, фруктовые эфиры</x:v>
      </x:c>
      <x:c r="M59" s="28" t="str">
        <x:v>нужен профиль конкретного ингредиента</x:v>
      </x:c>
      <x:c r="N59" s="28" t="str">
        <x:v>прямое семейное перекрытие не является главным механизмом</x:v>
      </x:c>
      <x:c r="O59" s="28" t="str">
        <x:v>надёжный единичный общий маркер не подтверждён; механизм не сводится к одной молекуле</x:v>
      </x:c>
      <x:c r="P59" s="28" t="str">
        <x:v>комплементарность ароматических семейств, вкусовой контраст и матричный эффект</x:v>
      </x:c>
      <x:c r="Q59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баланс зависит от продукта. Баланс корректируется сахаром, кислотой, солью и горечью.</x:v>
      </x:c>
      <x:c r="R59" s="28" t="str">
        <x:v>обычно слабый; кислотность повышает слюноотделение; партнёр: нет данных</x:v>
      </x:c>
      <x:c r="S59" s="28" t="str">
        <x:v>водно-пектиновая мякоть; низкий жир; кожица и косточка могут добавлять терпкость и миндальный оттенок. Партнёр: матрица зависит от формы продукта.</x:v>
      </x:c>
      <x:c r="T5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U5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баланс зависит от продукта.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матрица зависит от формы продукта.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V5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59" s="28" t="str">
        <x:v>мёд, цитрус или нейтральная жировая основа</x:v>
      </x:c>
      <x:c r="X59" s="28" t="str">
        <x:v>напиток, соус, десерт или горячее блюдо после пробной дегустации</x:v>
      </x:c>
      <x:c r="Y59" s="28" t="str">
        <x:v>напитки; еда; десерты; соусы/маринады</x:v>
      </x:c>
      <x:c r="Z59" s="28" t="str">
        <x:v>Средняя</x:v>
      </x:c>
      <x:c r="AA59" s="28" t="str">
        <x:v>The Art &amp; Science of Foodpairing.pdf</x:v>
      </x:c>
      <x:c r="AB59" s="28" t="str">
        <x:v>The Art &amp; Science of Foodpairing.pdf: 185 | The Art &amp; Science of Foodpairing.pdf: 188</x:v>
      </x:c>
      <x:c r="AC59" s="28" t="str">
        <x:v>Ингредиент «apricot» указан на странице профиля/сетки сочетаний «Pork loin chop».</x:v>
      </x:c>
      <x:c r="AD59" s="28" t="n">
        <x:v>1</x:v>
      </x:c>
      <x:c r="AE59" s="28" t="n">
        <x:v>2</x:v>
      </x:c>
      <x:c r="AF59" s="28" t="n">
        <x:f>IF(Z59="Высокая",3,IF(Z59="Средняя",2,1))+AD59*2+MIN(AE59,3)</x:f>
        <x:v>6</x:v>
      </x:c>
    </x:row>
    <x:row r="60" ht="62" customHeight="1">
      <x:c r="A60" s="28" t="str">
        <x:v>STN-0059</x:v>
      </x:c>
      <x:c r="B60" s="28" t="str">
        <x:v>абрикос</x:v>
      </x:c>
      <x:c r="C60" s="28" t="str">
        <x:v>Еда и соусы</x:v>
      </x:c>
      <x:c r="D60" s="28" t="str">
        <x:v>абрикос</x:v>
      </x:c>
      <x:c r="E60" s="28" t="str">
        <x:v>apricot</x:v>
      </x:c>
      <x:c r="F60" s="28" t="str">
        <x:v>Косточковые фрукты</x:v>
      </x:c>
      <x:c r="G60" s="28" t="str">
        <x:v>свинина</x:v>
      </x:c>
      <x:c r="H60" s="28" t="str">
        <x:v>Свинина | свинина</x:v>
      </x:c>
      <x:c r="I60" s="28" t="str">
        <x:v>Мясо и птица</x:v>
      </x:c>
      <x:c r="J60" s="28" t="str">
        <x:v>цветочный, фруктовый, медовый, сливочно-лактонный, миндальный</x:v>
      </x:c>
      <x:c r="K60" s="28" t="str">
        <x:v>мясной, жареный, жирный и сернистый</x:v>
      </x:c>
      <x:c r="L60" s="28" t="str">
        <x:v>γ- и δ-лактоны, линалоол, гераниол, бензальдегид, β-ионон, дамасценон, фруктовые эфиры</x:v>
      </x:c>
      <x:c r="M60" s="28" t="str">
        <x:v>пиразины, тиазолы, альдегиды Стреккера, жирные альдегиды</x:v>
      </x:c>
      <x:c r="N60" s="28" t="str">
        <x:v>прямое семейное перекрытие не является главным механизмом</x:v>
      </x:c>
      <x:c r="O60" s="28" t="str">
        <x:v>надёжный единичный общий маркер не подтверждён; механизм не сводится к одной молекуле</x:v>
      </x:c>
      <x:c r="P60" s="28" t="str">
        <x:v>комплементарность ароматических семейств, вкусовой контраст и матричный эффект</x:v>
      </x:c>
      <x:c r="Q60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60" s="28" t="str">
        <x:v>обычно слабый; кислотность повышает слюноотделение; партнёр: обычно слабый; жареная корка усиливает ароматическую интенсивность</x:v>
      </x:c>
      <x:c r="S60" s="28" t="str">
        <x:v>водно-пектиновая мякоть; низкий жир; кожица и косточка могут добавлять терпкость и миндальный оттенок. Партнёр: жир удерживает фруктовые терпены и смягчает кислоту.</x:v>
      </x:c>
      <x:c r="T6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реакции Майяра создают мост к карамельным, ореховым и сухофруктовым нотам.</x:v>
      </x:c>
      <x:c r="U6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Свинина относится к группе «Мясо и птица» и даёт профиль «мясной, жареный, жирный и сернистый»; типичные соединения или классы: пиразины, тиазолы, альдегиды Стреккера,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удерживает фруктовые терпены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реакции Майяра создают мост к карамельным, ореховым и сухофруктовым нотам.</x:v>
      </x:c>
      <x:c r="V6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W60" s="28" t="str">
        <x:v>розмарин, горчица или хересный уксус</x:v>
      </x:c>
      <x:c r="X60" s="28" t="str">
        <x:v>соус, глазировка, чатни, маринад, гарнир или основное блюдо</x:v>
      </x:c>
      <x:c r="Y60" s="28" t="str">
        <x:v>еда; соусы/маринады</x:v>
      </x:c>
      <x:c r="Z60" s="28" t="str">
        <x:v>Средняя</x:v>
      </x:c>
      <x:c r="AA60" s="28" t="str">
        <x:v>Тезариус вкусов (Ники Сегнит)(1).pdf</x:v>
      </x:c>
      <x:c r="AB60" s="28" t="str">
        <x:v>Тезариус вкусов (Ники Сегнит)(1).pdf: 77 | Тезариус вкусов (Ники Сегнит)(1).pdf: 744</x:v>
      </x:c>
      <x:c r="AC60" s="28" t="str">
        <x:v>Свинина и абрикос. См. Абрикос и свинина Абрикос и свинина. Эта комбинация привлекла</x:v>
      </x:c>
      <x:c r="AD60" s="28" t="n">
        <x:v>1</x:v>
      </x:c>
      <x:c r="AE60" s="28" t="n">
        <x:v>2</x:v>
      </x:c>
      <x:c r="AF60" s="28" t="n">
        <x:f>IF(Z60="Высокая",3,IF(Z60="Средняя",2,1))+AD60*2+MIN(AE60,3)</x:f>
        <x:v>6</x:v>
      </x:c>
    </x:row>
    <x:row r="61" ht="62" customHeight="1">
      <x:c r="A61" s="28" t="str">
        <x:v>STN-0060</x:v>
      </x:c>
      <x:c r="B61" s="28" t="str">
        <x:v>абрикос</x:v>
      </x:c>
      <x:c r="C61" s="28" t="str">
        <x:v>Универсальные</x:v>
      </x:c>
      <x:c r="D61" s="28" t="str">
        <x:v>абрикос</x:v>
      </x:c>
      <x:c r="E61" s="28" t="str">
        <x:v>apricot</x:v>
      </x:c>
      <x:c r="F61" s="28" t="str">
        <x:v>Косточковые фрукты</x:v>
      </x:c>
      <x:c r="G61" s="28" t="str">
        <x:v>семена кардамона</x:v>
      </x:c>
      <x:c r="H61" s="28" t="str">
        <x:v>Cardamom seeds</x:v>
      </x:c>
      <x:c r="I61" s="28" t="str">
        <x:v>Специи</x:v>
      </x:c>
      <x:c r="J61" s="28" t="str">
        <x:v>цветочный, фруктовый, медовый, сливочно-лактонный, миндальный</x:v>
      </x:c>
      <x:c r="K61" s="28" t="str">
        <x:v>древесный, пряный, тёплый</x:v>
      </x:c>
      <x:c r="L61" s="28" t="str">
        <x:v>γ- и δ-лактоны, линалоол, гераниол, бензальдегид, β-ионон, дамасценон, фруктовые эфиры</x:v>
      </x:c>
      <x:c r="M61" s="28" t="str">
        <x:v>коричный альдегид, терпены, эвгенол</x:v>
      </x:c>
      <x:c r="N61" s="28" t="str">
        <x:v>прямое семейное перекрытие не является главным механизмом</x:v>
      </x:c>
      <x:c r="O61" s="28" t="str">
        <x:v>надёжный единичный общий маркер не подтверждён; механизм не сводится к одной молекуле</x:v>
      </x:c>
      <x:c r="P61" s="28" t="str">
        <x:v>комплементарность ароматических семейств, вкусовой контраст и матричный эффект</x:v>
      </x:c>
      <x:c r="Q61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пряный, иногда горький. Баланс корректируется сахаром, кислотой, солью и горечью.</x:v>
      </x:c>
      <x:c r="R61" s="28" t="str">
        <x:v>обычно слабый; кислотность повышает слюноотделение; партнёр: обычно отсутствует; зависит от конкретного продукта</x:v>
      </x:c>
      <x:c r="S61" s="28" t="str">
        <x:v>водно-пектиновая мякоть; низкий жир; кожица и косточка могут добавлять терпкость и миндальный оттенок. Партнёр: эфирные масла хорошо извлекаются спиртом и жиром.</x:v>
      </x:c>
      <x:c r="T6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6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Семена кардамона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пряный, иногда горький.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хорошо извлекаются спиртом и жиром.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6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61" s="28" t="str">
        <x:v>мёд, цитрус или нейтральная жировая основа</x:v>
      </x:c>
      <x:c r="X61" s="28" t="str">
        <x:v>напиток, соус, десерт или горячее блюдо после пробной дегустации</x:v>
      </x:c>
      <x:c r="Y61" s="28" t="str">
        <x:v>напитки; еда; десерты; соусы/маринады</x:v>
      </x:c>
      <x:c r="Z61" s="28" t="str">
        <x:v>Средняя</x:v>
      </x:c>
      <x:c r="AA61" s="28" t="str">
        <x:v>The Art &amp; Science of Foodpairing.pdf</x:v>
      </x:c>
      <x:c r="AB61" s="28" t="str">
        <x:v>The Art &amp; Science of Foodpairing.pdf: 256</x:v>
      </x:c>
      <x:c r="AC61" s="28" t="str">
        <x:v>Ингредиент «candied apricot» указан на странице профиля/сетки сочетаний «Cardamom seeds».</x:v>
      </x:c>
      <x:c r="AD61" s="28" t="n">
        <x:v>1</x:v>
      </x:c>
      <x:c r="AE61" s="28" t="n">
        <x:v>1</x:v>
      </x:c>
      <x:c r="AF61" s="28" t="n">
        <x:f>IF(Z61="Высокая",3,IF(Z61="Средняя",2,1))+AD61*2+MIN(AE61,3)</x:f>
        <x:v>5</x:v>
      </x:c>
    </x:row>
    <x:row r="62" ht="62" customHeight="1">
      <x:c r="A62" s="28" t="str">
        <x:v>STN-0061</x:v>
      </x:c>
      <x:c r="B62" s="28" t="str">
        <x:v>абрикос</x:v>
      </x:c>
      <x:c r="C62" s="28" t="str">
        <x:v>Универсальные</x:v>
      </x:c>
      <x:c r="D62" s="28" t="str">
        <x:v>абрикос</x:v>
      </x:c>
      <x:c r="E62" s="28" t="str">
        <x:v>apricot</x:v>
      </x:c>
      <x:c r="F62" s="28" t="str">
        <x:v>Косточковые фрукты</x:v>
      </x:c>
      <x:c r="G62" s="28" t="str">
        <x:v>слива</x:v>
      </x:c>
      <x:c r="H62" s="28" t="str">
        <x:v>слива | Абрикос</x:v>
      </x:c>
      <x:c r="I62" s="28" t="str">
        <x:v>Косточковые фрукты</x:v>
      </x:c>
      <x:c r="J62" s="28" t="str">
        <x:v>цветочный, фруктовый, медовый, сливочно-лактонный, миндальный</x:v>
      </x:c>
      <x:c r="K62" s="28" t="str">
        <x:v>винно-фруктовый, цветочный, зелёный, пряный, миндальный; от свежего до тёмно-джемового</x:v>
      </x:c>
      <x:c r="L62" s="28" t="str">
        <x:v>γ- и δ-лактоны, линалоол, гераниол, бензальдегид, β-ионон, дамасценон, фруктовые эфиры</x:v>
      </x:c>
      <x:c r="M62" s="28" t="str">
        <x:v>фруктовые эфиры, γ- и δ-лактоны, бензальдегид, линалоол, C6-альдегиды, дамасконы</x:v>
      </x:c>
      <x:c r="N62" s="28" t="str">
        <x:v>цветочный, фруктовый, миндальный</x:v>
      </x:c>
      <x:c r="O62" s="28" t="str">
        <x:v>бензальдегид, линалоол, фруктовые эфиры</x:v>
      </x:c>
      <x:c r="P62" s="28" t="str">
        <x:v>прямое или классовое перекрытие характерных одорантов + вкусовой баланс</x:v>
      </x:c>
      <x:c r="Q62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заметная яблочно-лимонная кислотность; кожица часто терпкая. Баланс корректируется сахаром, кислотой, солью и горечью.</x:v>
      </x:c>
      <x:c r="R62" s="28" t="str">
        <x:v>обычно слабый; кислотность повышает слюноотделение; партнёр: слабый; кислота и полифенолы создают освежающе-вяжущий эффект</x:v>
      </x:c>
      <x:c r="S62" s="28" t="str">
        <x:v>водно-пектиновая мякоть; низкий жир; кожица и косточка могут добавлять терпкость и миндальный оттенок. Партнёр: сочная пектиновая мякоть; кожица богата полифенолами; аромат хорошо работает в воде, сахаре и этаноле.</x:v>
      </x:c>
      <x:c r="T6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U6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Слива относится к группе «Косточковые фрукты» и даёт профиль «винно-фруктовый, цветочный, зелёный, пряный, миндальный; от свежего до тёмно-джемового»; типичные соединения или классы: фруктовые эфиры, γ- и δ-лактоны, бензальдегид, линалоол, C6-альдегиды, дамасконы. В рабочих профилях пересекаются: бензальдегид, линалоол, фруктовые эфиры. Общие ароматические направления: цветочный, фруктовый, миндальный.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заметная яблочно-лимонная кислотность; кожица часто терпкая.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 мякоть; кожица богата полифенолами; аромат хорошо работает в воде, сахаре 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V6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62" s="28" t="str">
        <x:v>мёд, цитрус или нейтральная жировая основа</x:v>
      </x:c>
      <x:c r="X62" s="28" t="str">
        <x:v>напиток, соус, десерт или горячее блюдо после пробной дегустации</x:v>
      </x:c>
      <x:c r="Y62" s="28" t="str">
        <x:v>напитки; еда; десерты; соусы/маринады</x:v>
      </x:c>
      <x:c r="Z62" s="28" t="str">
        <x:v>Гипотеза / практическая</x:v>
      </x:c>
      <x:c r="AA62" s="28" t="str">
        <x:v>Таблица сочетания(1).pdf</x:v>
      </x:c>
      <x:c r="AB62" s="28" t="str">
        <x:v>Таблица сочетания(1).pdf: 1</x:v>
      </x:c>
      <x:c r="AC62" s="28" t="str">
        <x:v>Пара указана в строке «Абрикос» → колонка «Фрукты». Пара указана в строке «Абрикос»: «слива» находится в колонке «Фрукты».</x:v>
      </x:c>
      <x:c r="AD62" s="28" t="n">
        <x:v>1</x:v>
      </x:c>
      <x:c r="AE62" s="28" t="n">
        <x:v>2</x:v>
      </x:c>
      <x:c r="AF62" s="28" t="n">
        <x:f>IF(Z62="Высокая",3,IF(Z62="Средняя",2,1))+AD62*2+MIN(AE62,3)</x:f>
        <x:v>5</x:v>
      </x:c>
    </x:row>
    <x:row r="63" ht="62" customHeight="1">
      <x:c r="A63" s="28" t="str">
        <x:v>STN-0062</x:v>
      </x:c>
      <x:c r="B63" s="28" t="str">
        <x:v>абрикос</x:v>
      </x:c>
      <x:c r="C63" s="28" t="str">
        <x:v>Универсальные</x:v>
      </x:c>
      <x:c r="D63" s="28" t="str">
        <x:v>абрикос</x:v>
      </x:c>
      <x:c r="E63" s="28" t="str">
        <x:v>apricot</x:v>
      </x:c>
      <x:c r="F63" s="28" t="str">
        <x:v>Косточковые фрукты</x:v>
      </x:c>
      <x:c r="G63" s="28" t="str">
        <x:v>сычуаньский перец</x:v>
      </x:c>
      <x:c r="H63" s="28" t="str">
        <x:v>Sichuan pepper</x:v>
      </x:c>
      <x:c r="I63" s="28" t="str">
        <x:v>Специи и острые компоненты</x:v>
      </x:c>
      <x:c r="J63" s="28" t="str">
        <x:v>цветочный, фруктовый, медовый, сливочно-лактонный, миндальный</x:v>
      </x:c>
      <x:c r="K63" s="28" t="str">
        <x:v>пряный, древесный, цветочный или жгучий</x:v>
      </x:c>
      <x:c r="L63" s="28" t="str">
        <x:v>γ- и δ-лактоны, линалоол, гераниол, бензальдегид, β-ионон, дамасценон, фруктовые эфиры</x:v>
      </x:c>
      <x:c r="M63" s="28" t="str">
        <x:v>эвгенол, циннамальдегид, анетол, терпены, капсаициноиды, пиперин</x:v>
      </x:c>
      <x:c r="N63" s="28" t="str">
        <x:v>цветочный</x:v>
      </x:c>
      <x:c r="O63" s="28" t="str">
        <x:v>надёжный единичный общий маркер не подтверждён; механизм не сводится к одной молекуле</x:v>
      </x:c>
      <x:c r="P63" s="28" t="str">
        <x:v>комплементарность ароматических семейств, вкусовой контраст и матричный эффект</x:v>
      </x:c>
      <x:c r="Q63" s="28" t="str">
        <x:v>Сладость и кислота фрукта смягчают остроту и горечь специи, а пряный компонент удлиняет ароматическое послевкусие.</x:v>
      </x:c>
      <x:c r="R63" s="28" t="str">
        <x:v>обычно слабый; кислотность повышает слюноотделение; партнёр: выраженный: жжение, тепло или покалывание</x:v>
      </x:c>
      <x:c r="S63" s="28" t="str">
        <x:v>водно-пектиновая мякоть; низкий жир; кожица и косточка могут добавлять терпкость и миндальный оттенок. Партнёр: гидрофобные молекулы хорошо переходят в жир и этанол.</x:v>
      </x:c>
      <x:c r="T6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</x:v>
      </x:c>
      <x:c r="U6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Сычуаньский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гидрофобные молекулы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</x:v>
      </x:c>
      <x:c r="V6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W63" s="28" t="str">
        <x:v>мёд, цитрус или миндаль</x:v>
      </x:c>
      <x:c r="X63" s="28" t="str">
        <x:v>напиток, соус, десерт или горячее блюдо после пробной дегустации</x:v>
      </x:c>
      <x:c r="Y63" s="28" t="str">
        <x:v>напитки; еда; десерты; соусы/маринады</x:v>
      </x:c>
      <x:c r="Z63" s="28" t="str">
        <x:v>Средняя</x:v>
      </x:c>
      <x:c r="AA63" s="28" t="str">
        <x:v>The Art &amp; Science of Foodpairing.pdf</x:v>
      </x:c>
      <x:c r="AB63" s="28" t="str">
        <x:v>The Art &amp; Science of Foodpairing.pdf: 206</x:v>
      </x:c>
      <x:c r="AC63" s="28" t="str">
        <x:v>Ingredient pairings with apricot: Sichuan pepper.</x:v>
      </x:c>
      <x:c r="AD63" s="28" t="n">
        <x:v>1</x:v>
      </x:c>
      <x:c r="AE63" s="28" t="n">
        <x:v>1</x:v>
      </x:c>
      <x:c r="AF63" s="28" t="n">
        <x:f>IF(Z63="Высокая",3,IF(Z63="Средняя",2,1))+AD63*2+MIN(AE63,3)</x:f>
        <x:v>5</x:v>
      </x:c>
    </x:row>
    <x:row r="64" ht="62" customHeight="1">
      <x:c r="A64" s="28" t="str">
        <x:v>STN-0063</x:v>
      </x:c>
      <x:c r="B64" s="28" t="str">
        <x:v>абрикос</x:v>
      </x:c>
      <x:c r="C64" s="28" t="str">
        <x:v>Десерты и выпечка</x:v>
      </x:c>
      <x:c r="D64" s="28" t="str">
        <x:v>абрикос</x:v>
      </x:c>
      <x:c r="E64" s="28" t="str">
        <x:v>apricot</x:v>
      </x:c>
      <x:c r="F64" s="28" t="str">
        <x:v>Косточковые фрукты</x:v>
      </x:c>
      <x:c r="G64" s="28" t="str">
        <x:v>твердый сыр</x:v>
      </x:c>
      <x:c r="H64" s="28" t="str">
        <x:v>Твердый сыр | твердый сыр</x:v>
      </x:c>
      <x:c r="I64" s="28" t="str">
        <x:v>Сыры и молочные продукты</x:v>
      </x:c>
      <x:c r="J64" s="28" t="str">
        <x:v>цветочный, фруктовый, медовый, сливочно-лактонный, миндальный</x:v>
      </x:c>
      <x:c r="K64" s="28" t="str">
        <x:v>сливочный, молочный, ферментированный, ореховый или пикантный</x:v>
      </x:c>
      <x:c r="L64" s="28" t="str">
        <x:v>γ- и δ-лактоны, линалоол, гераниол, бензальдегид, β-ионон, дамасценон, фруктовые эфиры</x:v>
      </x:c>
      <x:c r="M64" s="28" t="str">
        <x:v>диацетил, метилкетоны, короткоцепочечные жирные кислоты, лактоны</x:v>
      </x:c>
      <x:c r="N64" s="28" t="str">
        <x:v>прямое семейное перекрытие не является главным механизмом</x:v>
      </x:c>
      <x:c r="O64" s="28" t="str">
        <x:v>надёжный единичный общий маркер не подтверждён; механизм не сводится к одной молекуле</x:v>
      </x:c>
      <x:c r="P64" s="28" t="str">
        <x:v>комплементарность ароматических семейств, вкусовой контраст и матричный эффект</x:v>
      </x:c>
      <x:c r="Q64" s="28" t="str">
        <x:v>Фруктовая кислота и сладость освежают жирную молочную матрицу; соль и умами сыра усиливают воспринимаемую фруктовость.</x:v>
      </x:c>
      <x:c r="R64" s="28" t="str">
        <x:v>обычно слабый; кислотность повышает слюноотделение; партнёр: у выдержанных сыров возможна острота аммиака и кислот</x:v>
      </x:c>
      <x:c r="S64" s="28" t="str">
        <x:v>водно-пектиновая мякоть; низкий жир; кожица и косточка могут добавлять терпкость и миндальный оттенок. Жир и белок партнёра удерживают гидрофобные лактоны, но высокая фруктовая кислота может нарушить молочную эмульсию.</x:v>
      </x:c>
      <x:c r="T6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U6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Твердый сыр относится к группе «Сыры и молочные продукты» и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 мякоть; низкий жир; кожица и косточка могут добавлять терпкость и миндальный оттенок. Жир и белок партнёра удерживают гидрофобные лактоны, но высокая фруктовая кислота может нарушить молочную эмульсию.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V6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кислоты может свернуть молочную основу; фрукт и сыр проверяют при рабочей температуре.</x:v>
      </x:c>
      <x:c r="W64" s="28" t="str">
        <x:v>миндаль, ваниль или мёд</x:v>
      </x:c>
      <x:c r="X64" s="28" t="str">
        <x:v>тарт, крем, мороженое, выпечка, сырная подача или начинка</x:v>
      </x:c>
      <x:c r="Y64" s="28" t="str">
        <x:v>десерты; еда</x:v>
      </x:c>
      <x:c r="Z64" s="28" t="str">
        <x:v>Средняя</x:v>
      </x:c>
      <x:c r="AA64" s="28" t="str">
        <x:v>Тезариус вкусов (Ники Сегнит)(1).pdf</x:v>
      </x:c>
      <x:c r="AB64" s="28" t="str">
        <x:v>Тезариус вкусов (Ники Сегнит)(1).pdf: 164 | Тезариус вкусов (Ники Сегнит)(1).pdf: 744</x:v>
      </x:c>
      <x:c r="AC64" s="28" t="str">
        <x:v>Твердый сыр и абрикос. См. Абрикос и твердый Абрикос и твердый сыр. Томас Грейвс (Tomas</x:v>
      </x:c>
      <x:c r="AD64" s="28" t="n">
        <x:v>1</x:v>
      </x:c>
      <x:c r="AE64" s="28" t="n">
        <x:v>2</x:v>
      </x:c>
      <x:c r="AF64" s="28" t="n">
        <x:f>IF(Z64="Высокая",3,IF(Z64="Средняя",2,1))+AD64*2+MIN(AE64,3)</x:f>
        <x:v>6</x:v>
      </x:c>
    </x:row>
    <x:row r="65" ht="62" customHeight="1">
      <x:c r="A65" s="28" t="str">
        <x:v>STN-0064</x:v>
      </x:c>
      <x:c r="B65" s="28" t="str">
        <x:v>абрикос</x:v>
      </x:c>
      <x:c r="C65" s="28" t="str">
        <x:v>Универсальные</x:v>
      </x:c>
      <x:c r="D65" s="28" t="str">
        <x:v>абрикос</x:v>
      </x:c>
      <x:c r="E65" s="28" t="str">
        <x:v>apricot</x:v>
      </x:c>
      <x:c r="F65" s="28" t="str">
        <x:v>Косточковые фрукты</x:v>
      </x:c>
      <x:c r="G65" s="28" t="str">
        <x:v>тимьяновый мед</x:v>
      </x:c>
      <x:c r="H65" s="28" t="str">
        <x:v>thyme honey</x:v>
      </x:c>
      <x:c r="I65" s="28" t="str">
        <x:v>Травы, листья и цветы</x:v>
      </x:c>
      <x:c r="J65" s="28" t="str">
        <x:v>цветочный, фруктовый, медовый, сливочно-лактонный, миндальный</x:v>
      </x:c>
      <x:c r="K65" s="28" t="str">
        <x:v>зелёный, цветочный, цитрусовый или анисовый</x:v>
      </x:c>
      <x:c r="L65" s="28" t="str">
        <x:v>γ- и δ-лактоны, линалоол, гераниол, бензальдегид, β-ионон, дамасценон, фруктовые эфиры</x:v>
      </x:c>
      <x:c r="M65" s="28" t="str">
        <x:v>терпены, линалоол, гераниол, эвгенол, анетол, C6-альдегиды</x:v>
      </x:c>
      <x:c r="N65" s="28" t="str">
        <x:v>цветочный</x:v>
      </x:c>
      <x:c r="O65" s="28" t="str">
        <x:v>линалоол, гераниол</x:v>
      </x:c>
      <x:c r="P65" s="28" t="str">
        <x:v>прямое или классовое перекрытие характерных одорантов + вкусовой баланс</x:v>
      </x:c>
      <x:c r="Q65" s="28" t="str">
        <x:v>Цветочные и зелёные ноты расширяют верхнюю часть аромата; фруктовая сладость смягчает травяную горечь.</x:v>
      </x:c>
      <x:c r="R65" s="28" t="str">
        <x:v>обычно слабый; кислотность повышает слюноотделение; партнёр: часто охлаждение/покалывание у мяты и хвои</x:v>
      </x:c>
      <x:c r="S65" s="28" t="str">
        <x:v>водно-пектиновая мякоть; низкий жир; кожица и косточка могут добавлять терпкость и миндальный оттенок. Партнёр: эфирные масла гидрофобны и лучше экстрагируются жиром или этанолом.</x:v>
      </x:c>
      <x:c r="T6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Травы лучше вводить холодной мацерацией или в финале: длительный нагрев удаляет летучие терпены.</x:v>
      </x:c>
      <x:c r="U6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Тимьяновый мед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гераниол. Общие ароматические направления: цветочный. Цветочные и зелёные ноты расширяют верхнюю часть аромата; фруктовая сладость смягчает травяную горечь.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экстрагируются жиром или этанолом.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Травы лучше вводить холодной мацерацией или в финале: длительный нагрев удаляет летучие терпены.</x:v>
      </x:c>
      <x:c r="V6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65" s="28" t="str">
        <x:v>лимон, мёд или ваниль</x:v>
      </x:c>
      <x:c r="X65" s="28" t="str">
        <x:v>напиток, соус, десерт или горячее блюдо после пробной дегустации</x:v>
      </x:c>
      <x:c r="Y65" s="28" t="str">
        <x:v>напитки; еда; десерты; соусы/маринады</x:v>
      </x:c>
      <x:c r="Z65" s="28" t="str">
        <x:v>Средняя</x:v>
      </x:c>
      <x:c r="AA65" s="28" t="str">
        <x:v>The Art &amp; Science of Foodpairing.pdf</x:v>
      </x:c>
      <x:c r="AB65" s="28" t="str">
        <x:v>The Art &amp; Science of Foodpairing.pdf: 206</x:v>
      </x:c>
      <x:c r="AC65" s="28" t="str">
        <x:v>Ingredient pairings with apricot: thyme honey.</x:v>
      </x:c>
      <x:c r="AD65" s="28" t="n">
        <x:v>1</x:v>
      </x:c>
      <x:c r="AE65" s="28" t="n">
        <x:v>1</x:v>
      </x:c>
      <x:c r="AF65" s="28" t="n">
        <x:f>IF(Z65="Высокая",3,IF(Z65="Средняя",2,1))+AD65*2+MIN(AE65,3)</x:f>
        <x:v>5</x:v>
      </x:c>
    </x:row>
    <x:row r="66" ht="62" customHeight="1">
      <x:c r="A66" s="28" t="str">
        <x:v>STN-0065</x:v>
      </x:c>
      <x:c r="B66" s="28" t="str">
        <x:v>абрикос</x:v>
      </x:c>
      <x:c r="C66" s="28" t="str">
        <x:v>Еда и соусы</x:v>
      </x:c>
      <x:c r="D66" s="28" t="str">
        <x:v>абрикос</x:v>
      </x:c>
      <x:c r="E66" s="28" t="str">
        <x:v>apricot</x:v>
      </x:c>
      <x:c r="F66" s="28" t="str">
        <x:v>Косточковые фрукты</x:v>
      </x:c>
      <x:c r="G66" s="28" t="str">
        <x:v>томаты черри</x:v>
      </x:c>
      <x:c r="H66" s="28" t="str">
        <x:v>Cherry Tomato</x:v>
      </x:c>
      <x:c r="I66" s="28" t="str">
        <x:v>Овощи и корнеплоды</x:v>
      </x:c>
      <x:c r="J66" s="28" t="str">
        <x:v>цветочный, фруктовый, медовый, сливочно-лактонный, миндальный</x:v>
      </x:c>
      <x:c r="K66" s="28" t="str">
        <x:v>зелёный, землистый, сладковатый или сернистый</x:v>
      </x:c>
      <x:c r="L66" s="28" t="str">
        <x:v>γ- и δ-лактоны, линалоол, гераниол, бензальдегид, β-ионон, дамасценон, фруктовые эфиры</x:v>
      </x:c>
      <x:c r="M66" s="28" t="str">
        <x:v>C6-альдегиды, метоксипиразины, терпены, сернистые соединения</x:v>
      </x:c>
      <x:c r="N66" s="28" t="str">
        <x:v>прямое семейное перекрытие не является главным механизмом</x:v>
      </x:c>
      <x:c r="O66" s="28" t="str">
        <x:v>надёжный единичный общий маркер не подтверждён; механизм не сводится к одной молекуле</x:v>
      </x:c>
      <x:c r="P66" s="28" t="str">
        <x:v>комплементарность ароматических семейств, вкусовой контраст и матричный эффект</x:v>
      </x:c>
      <x:c r="Q66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сладость, горечь, умами и вода. Баланс корректируется сахаром, кислотой, солью и горечью.</x:v>
      </x:c>
      <x:c r="R66" s="28" t="str">
        <x:v>обычно слабый; кислотность повышает слюноотделение; партнёр: зависит от продукта</x:v>
      </x:c>
      <x:c r="S66" s="28" t="str">
        <x:v>водно-пектиновая мякоть; низкий жир; кожица и косточка могут добавлять терпкость и миндальный оттенок. Партнёр: водная и клетчаточная матрица; обжарка усиливает сладость и Майяр.</x:v>
      </x:c>
      <x:c r="T6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U6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Томаты черри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сладость, горечь, умами и вода.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и клетчаточная матрица; обжарка усиливает сладость и Майяр.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V6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66" s="28" t="str">
        <x:v>мёд, травы или уксус</x:v>
      </x:c>
      <x:c r="X66" s="28" t="str">
        <x:v>соус, глазировка, чатни, маринад, гарнир или основное блюдо</x:v>
      </x:c>
      <x:c r="Y66" s="28" t="str">
        <x:v>еда; соусы/маринады</x:v>
      </x:c>
      <x:c r="Z66" s="28" t="str">
        <x:v>Средняя</x:v>
      </x:c>
      <x:c r="AA66" s="28" t="str">
        <x:v>The Art &amp; Science of Foodpairing.pdf</x:v>
      </x:c>
      <x:c r="AB66" s="28" t="str">
        <x:v>The Art &amp; Science of Foodpairing.pdf: 161</x:v>
      </x:c>
      <x:c r="AC66" s="28" t="str">
        <x:v>Ингредиент «apricot» указан на странице профиля/сетки сочетаний «Cherry Tomato».</x:v>
      </x:c>
      <x:c r="AD66" s="28" t="n">
        <x:v>1</x:v>
      </x:c>
      <x:c r="AE66" s="28" t="n">
        <x:v>1</x:v>
      </x:c>
      <x:c r="AF66" s="28" t="n">
        <x:f>IF(Z66="Высокая",3,IF(Z66="Средняя",2,1))+AD66*2+MIN(AE66,3)</x:f>
        <x:v>5</x:v>
      </x:c>
    </x:row>
    <x:row r="67" ht="62" customHeight="1">
      <x:c r="A67" s="28" t="str">
        <x:v>STN-0066</x:v>
      </x:c>
      <x:c r="B67" s="28" t="str">
        <x:v>абрикос</x:v>
      </x:c>
      <x:c r="C67" s="28" t="str">
        <x:v>Универсальные</x:v>
      </x:c>
      <x:c r="D67" s="28" t="str">
        <x:v>абрикос</x:v>
      </x:c>
      <x:c r="E67" s="28" t="str">
        <x:v>apricot</x:v>
      </x:c>
      <x:c r="F67" s="28" t="str">
        <x:v>Косточковые фрукты</x:v>
      </x:c>
      <x:c r="G67" s="28" t="str">
        <x:v>укроп</x:v>
      </x:c>
      <x:c r="H67" s="28" t="str">
        <x:v>Укроп</x:v>
      </x:c>
      <x:c r="I67" s="28" t="str">
        <x:v>Травы и цветы</x:v>
      </x:c>
      <x:c r="J67" s="28" t="str">
        <x:v>цветочный, фруктовый, медовый, сливочно-лактонный, миндальный</x:v>
      </x:c>
      <x:c r="K67" s="28" t="str">
        <x:v>зелёный, цветочный, травянистый и эфирно-масличный</x:v>
      </x:c>
      <x:c r="L67" s="28" t="str">
        <x:v>γ- и δ-лактоны, линалоол, гераниол, бензальдегид, β-ионон, дамасценон, фруктовые эфиры</x:v>
      </x:c>
      <x:c r="M67" s="28" t="str">
        <x:v>линалоол, гераниол, эвгенол, 1,8-цинеол</x:v>
      </x:c>
      <x:c r="N67" s="28" t="str">
        <x:v>цветочный</x:v>
      </x:c>
      <x:c r="O67" s="28" t="str">
        <x:v>линалоол, гераниол</x:v>
      </x:c>
      <x:c r="P67" s="28" t="str">
        <x:v>прямое или классовое перекрытие характерных одорантов + вкусовой баланс</x:v>
      </x:c>
      <x:c r="Q67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67" s="28" t="str">
        <x:v>обычно слабый; кислотность повышает слюноотделение; партнёр: у мяты возможен холодящий эффект ментола; у некоторых трав — камфорность</x:v>
      </x:c>
      <x:c r="S67" s="28" t="str">
        <x:v>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</x:v>
      </x:c>
      <x:c r="T6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6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6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67" s="28" t="str">
        <x:v>мёд, цитрус или нейтральная жировая основа</x:v>
      </x:c>
      <x:c r="X67" s="28" t="str">
        <x:v>напиток, соус, десерт или горячее блюдо после пробной дегустации</x:v>
      </x:c>
      <x:c r="Y67" s="28" t="str">
        <x:v>напитки; еда; десерты; соусы/маринады</x:v>
      </x:c>
      <x:c r="Z67" s="28" t="str">
        <x:v>Гипотеза / практическая</x:v>
      </x:c>
      <x:c r="AA67" s="28" t="str">
        <x:v>Таблица сочетания(1).pdf</x:v>
      </x:c>
      <x:c r="AB67" s="28" t="str">
        <x:v>Таблица сочетания(1).pdf: 7</x:v>
      </x:c>
      <x:c r="AC67" s="28" t="str">
        <x:v>Пара указана в строке «Укроп»: «абрикос» находится в колонке «Фрукты».</x:v>
      </x:c>
      <x:c r="AD67" s="28" t="n">
        <x:v>1</x:v>
      </x:c>
      <x:c r="AE67" s="28" t="n">
        <x:v>1</x:v>
      </x:c>
      <x:c r="AF67" s="28" t="n">
        <x:f>IF(Z67="Высокая",3,IF(Z67="Средняя",2,1))+AD67*2+MIN(AE67,3)</x:f>
        <x:v>4</x:v>
      </x:c>
    </x:row>
    <x:row r="68" ht="62" customHeight="1">
      <x:c r="A68" s="28" t="str">
        <x:v>STN-0067</x:v>
      </x:c>
      <x:c r="B68" s="28" t="str">
        <x:v>абрикос</x:v>
      </x:c>
      <x:c r="C68" s="28" t="str">
        <x:v>Универсальные</x:v>
      </x:c>
      <x:c r="D68" s="28" t="str">
        <x:v>абрикос</x:v>
      </x:c>
      <x:c r="E68" s="28" t="str">
        <x:v>apricot</x:v>
      </x:c>
      <x:c r="F68" s="28" t="str">
        <x:v>Косточковые фрукты</x:v>
      </x:c>
      <x:c r="G68" s="28" t="str">
        <x:v>фиалка</x:v>
      </x:c>
      <x:c r="H68" s="28" t="str">
        <x:v>Фиалка</x:v>
      </x:c>
      <x:c r="I68" s="28" t="str">
        <x:v>Травы и цветы</x:v>
      </x:c>
      <x:c r="J68" s="28" t="str">
        <x:v>цветочный, фруктовый, медовый, сливочно-лактонный, миндальный</x:v>
      </x:c>
      <x:c r="K68" s="28" t="str">
        <x:v>зелёный, цветочный, травянистый и эфирно-масличный</x:v>
      </x:c>
      <x:c r="L68" s="28" t="str">
        <x:v>γ- и δ-лактоны, линалоол, гераниол, бензальдегид, β-ионон, дамасценон, фруктовые эфиры</x:v>
      </x:c>
      <x:c r="M68" s="28" t="str">
        <x:v>линалоол, гераниол, эвгенол, 1,8-цинеол</x:v>
      </x:c>
      <x:c r="N68" s="28" t="str">
        <x:v>цветочный</x:v>
      </x:c>
      <x:c r="O68" s="28" t="str">
        <x:v>линалоол, гераниол</x:v>
      </x:c>
      <x:c r="P68" s="28" t="str">
        <x:v>прямое или классовое перекрытие характерных одорантов + вкусовой баланс</x:v>
      </x:c>
      <x:c r="Q68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68" s="28" t="str">
        <x:v>обычно слабый; кислотность повышает слюноотделение; партнёр: у мяты возможен холодящий эффект ментола; у некоторых трав — камфорность</x:v>
      </x:c>
      <x:c r="S68" s="28" t="str">
        <x:v>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</x:v>
      </x:c>
      <x:c r="T6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6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Фиалка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6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68" s="28" t="str">
        <x:v>мёд, цитрус или нейтральная жировая основа</x:v>
      </x:c>
      <x:c r="X68" s="28" t="str">
        <x:v>напиток, соус, десерт или горячее блюдо после пробной дегустации</x:v>
      </x:c>
      <x:c r="Y68" s="28" t="str">
        <x:v>напитки; еда; десерты; соусы/маринады</x:v>
      </x:c>
      <x:c r="Z68" s="28" t="str">
        <x:v>Гипотеза / практическая</x:v>
      </x:c>
      <x:c r="AA68" s="28" t="str">
        <x:v>Таблица сочетания(1).pdf</x:v>
      </x:c>
      <x:c r="AB68" s="28" t="str">
        <x:v>Таблица сочетания(1).pdf: 21</x:v>
      </x:c>
      <x:c r="AC68" s="28" t="str">
        <x:v>Пара указана в строке «Фиалка»: «абрикос» находится в колонке «Фрукты».</x:v>
      </x:c>
      <x:c r="AD68" s="28" t="n">
        <x:v>1</x:v>
      </x:c>
      <x:c r="AE68" s="28" t="n">
        <x:v>1</x:v>
      </x:c>
      <x:c r="AF68" s="28" t="n">
        <x:f>IF(Z68="Высокая",3,IF(Z68="Средняя",2,1))+AD68*2+MIN(AE68,3)</x:f>
        <x:v>4</x:v>
      </x:c>
    </x:row>
    <x:row r="69" ht="62" customHeight="1">
      <x:c r="A69" s="28" t="str">
        <x:v>STN-0068</x:v>
      </x:c>
      <x:c r="B69" s="28" t="str">
        <x:v>абрикос</x:v>
      </x:c>
      <x:c r="C69" s="28" t="str">
        <x:v>Универсальные</x:v>
      </x:c>
      <x:c r="D69" s="28" t="str">
        <x:v>абрикос</x:v>
      </x:c>
      <x:c r="E69" s="28" t="str">
        <x:v>apricot</x:v>
      </x:c>
      <x:c r="F69" s="28" t="str">
        <x:v>Косточковые фрукты</x:v>
      </x:c>
      <x:c r="G69" s="28" t="str">
        <x:v>финик</x:v>
      </x:c>
      <x:c r="H69" s="28" t="str">
        <x:v>Финик</x:v>
      </x:c>
      <x:c r="I69" s="28" t="str">
        <x:v>Сухофрукты и тропические плоды</x:v>
      </x:c>
      <x:c r="J69" s="28" t="str">
        <x:v>цветочный, фруктовый, медовый, сливочно-лактонный, миндальный</x:v>
      </x:c>
      <x:c r="K69" s="28" t="str">
        <x:v>медовый, карамельный, сухофруктовый, ореховый и пряный</x:v>
      </x:c>
      <x:c r="L69" s="28" t="str">
        <x:v>γ- и δ-лактоны, линалоол, гераниол, бензальдегид, β-ионон, дамасценон, фруктовые эфиры</x:v>
      </x:c>
      <x:c r="M69" s="28" t="str">
        <x:v>фураны, альдегиды Стреккера, фенольные соединения и продукты карамелизации</x:v>
      </x:c>
      <x:c r="N69" s="28" t="str">
        <x:v>фруктовый, медовый</x:v>
      </x:c>
      <x:c r="O69" s="28" t="str">
        <x:v>надёжный единичный общий маркер не подтверждён; механизм не сводится к одной молекуле</x:v>
      </x:c>
      <x:c r="P69" s="28" t="str">
        <x:v>комплементарность ароматических семейств, вкусовой контраст и матричный эффект</x:v>
      </x:c>
      <x:c r="Q69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очень высокая сладость, низкая кислотность. Баланс корректируется сахаром, кислотой, солью и горечью.</x:v>
      </x:c>
      <x:c r="R69" s="28" t="str">
        <x:v>обычно слабый; кислотность повышает слюноотделение; партнёр: кислотное покалывание зависит от плода; специальные эффекты указаны в паспорте</x:v>
      </x:c>
      <x:c r="S69" s="28" t="str">
        <x:v>водно-пектиновая мякоть; низкий жир; кожица и косточка могут добавлять терпкость и миндальный оттенок. Партнёр: плотная сахаристая и вязкая; хорошо связывает жир и специи.</x:v>
      </x:c>
      <x:c r="T6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U6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Финик относится к группе «Сухофрукты и тропические плоды» и даёт профиль «медовый, карамельный, сухофруктовый, ореховый и пряный»; типичные соединения или классы: фураны, альдегиды Стреккера, фенольные соединения и продукты карамелизации. По доступным материалам нельзя уверенно свести совместимость к одной общей молекуле. Общие ароматические направления: фруктовый,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очень высокая сладость, низкая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плотная сахаристая и вязкая; хорошо связывает жир и специи.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V6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69" s="28" t="str">
        <x:v>мёд, цитрус или нейтральная жировая основа</x:v>
      </x:c>
      <x:c r="X69" s="28" t="str">
        <x:v>напиток, соус, десерт или горячее блюдо после пробной дегустации</x:v>
      </x:c>
      <x:c r="Y69" s="28" t="str">
        <x:v>напитки; еда; десерты; соусы/маринады</x:v>
      </x:c>
      <x:c r="Z69" s="28" t="str">
        <x:v>Гипотеза / практическая</x:v>
      </x:c>
      <x:c r="AA69" s="28" t="str">
        <x:v>Таблица сочетания(1).pdf</x:v>
      </x:c>
      <x:c r="AB69" s="28" t="str">
        <x:v>Таблица сочетания(1).pdf: Таблица сочетаний: 7 | Таблица сочетания(1).pdf: 7</x:v>
      </x:c>
      <x:c r="AC69" s="28" t="str">
        <x:v>Таблица сочетаний: В строке «Финик» ингредиент «абрикос» указан как рекомендуемое сочетание в колонке «Фрукты». Пара указана в строке «Финик»: «абрикос» находится в колонке «Фрукты».</x:v>
      </x:c>
      <x:c r="AD69" s="28" t="n">
        <x:v>1</x:v>
      </x:c>
      <x:c r="AE69" s="28" t="n">
        <x:v>2</x:v>
      </x:c>
      <x:c r="AF69" s="28" t="n">
        <x:f>IF(Z69="Высокая",3,IF(Z69="Средняя",2,1))+AD69*2+MIN(AE69,3)</x:f>
        <x:v>5</x:v>
      </x:c>
    </x:row>
    <x:row r="70" ht="62" customHeight="1">
      <x:c r="A70" s="28" t="str">
        <x:v>STN-0069</x:v>
      </x:c>
      <x:c r="B70" s="28" t="str">
        <x:v>абрикос</x:v>
      </x:c>
      <x:c r="C70" s="28" t="str">
        <x:v>Десерты и выпечка</x:v>
      </x:c>
      <x:c r="D70" s="28" t="str">
        <x:v>абрикос</x:v>
      </x:c>
      <x:c r="E70" s="28" t="str">
        <x:v>apricot</x:v>
      </x:c>
      <x:c r="F70" s="28" t="str">
        <x:v>Косточковые фрукты</x:v>
      </x:c>
      <x:c r="G70" s="28" t="str">
        <x:v>фисташка</x:v>
      </x:c>
      <x:c r="H70" s="28" t="str">
        <x:v>Фисташка</x:v>
      </x:c>
      <x:c r="I70" s="28" t="str">
        <x:v>Орехи и семена</x:v>
      </x:c>
      <x:c r="J70" s="28" t="str">
        <x:v>цветочный, фруктовый, медовый, сливочно-лактонный, миндальный</x:v>
      </x:c>
      <x:c r="K70" s="28" t="str">
        <x:v>ореховый, жареный, маслянистый и иногда миндальный</x:v>
      </x:c>
      <x:c r="L70" s="28" t="str">
        <x:v>γ- и δ-лактоны, линалоол, гераниол, бензальдегид, β-ионон, дамасценон, фруктовые эфиры</x:v>
      </x:c>
      <x:c r="M70" s="28" t="str">
        <x:v>пиразины, бензальдегид, филбертон, жирные альдегиды</x:v>
      </x:c>
      <x:c r="N70" s="28" t="str">
        <x:v>миндальный</x:v>
      </x:c>
      <x:c r="O70" s="28" t="str">
        <x:v>бензальдегид</x:v>
      </x:c>
      <x:c r="P70" s="28" t="str">
        <x:v>прямое или классовое перекрытие характерных одорантов + вкусовой баланс</x:v>
      </x:c>
      <x:c r="Q70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70" s="28" t="str">
        <x:v>обычно слабый; кислотность повышает слюноотделение; партнёр: обычно отсутствует</x:v>
      </x:c>
      <x:c r="S70" s="28" t="str">
        <x:v>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</x:v>
      </x:c>
      <x:c r="T7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7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Фисташка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7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W70" s="28" t="str">
        <x:v>ваниль, шоколад или корица</x:v>
      </x:c>
      <x:c r="X70" s="28" t="str">
        <x:v>тарт, крем, мороженое, выпечка, сырная подача или начинка</x:v>
      </x:c>
      <x:c r="Y70" s="28" t="str">
        <x:v>десерты; еда</x:v>
      </x:c>
      <x:c r="Z70" s="28" t="str">
        <x:v>Гипотеза / практическая</x:v>
      </x:c>
      <x:c r="AA70" s="28" t="str">
        <x:v>Таблица сочетания(1).pdf</x:v>
      </x:c>
      <x:c r="AB70" s="28" t="str">
        <x:v>Таблица сочетания(1).pdf: 17</x:v>
      </x:c>
      <x:c r="AC70" s="28" t="str">
        <x:v>Пара указана в строке «Фисташка»: «абрикос» находится в колонке «Фрукты».</x:v>
      </x:c>
      <x:c r="AD70" s="28" t="n">
        <x:v>1</x:v>
      </x:c>
      <x:c r="AE70" s="28" t="n">
        <x:v>1</x:v>
      </x:c>
      <x:c r="AF70" s="28" t="n">
        <x:f>IF(Z70="Высокая",3,IF(Z70="Средняя",2,1))+AD70*2+MIN(AE70,3)</x:f>
        <x:v>4</x:v>
      </x:c>
    </x:row>
    <x:row r="71" ht="62" customHeight="1">
      <x:c r="A71" s="28" t="str">
        <x:v>STN-0070</x:v>
      </x:c>
      <x:c r="B71" s="28" t="str">
        <x:v>абрикос</x:v>
      </x:c>
      <x:c r="C71" s="28" t="str">
        <x:v>Еда и соусы</x:v>
      </x:c>
      <x:c r="D71" s="28" t="str">
        <x:v>абрикос</x:v>
      </x:c>
      <x:c r="E71" s="28" t="str">
        <x:v>apricot</x:v>
      </x:c>
      <x:c r="F71" s="28" t="str">
        <x:v>Косточковые фрукты</x:v>
      </x:c>
      <x:c r="G71" s="28" t="str">
        <x:v>хамон иберико</x:v>
      </x:c>
      <x:c r="H71" s="28" t="str">
        <x:v>Ibericoham</x:v>
      </x:c>
      <x:c r="I71" s="28" t="str">
        <x:v>Мясо и птица</x:v>
      </x:c>
      <x:c r="J71" s="28" t="str">
        <x:v>цветочный, фруктовый, медовый, сливочно-лактонный, миндальный</x:v>
      </x:c>
      <x:c r="K71" s="28" t="str">
        <x:v>жареный, жирный, сернистый, умами</x:v>
      </x:c>
      <x:c r="L71" s="28" t="str">
        <x:v>γ- и δ-лактоны, линалоол, гераниол, бензальдегид, β-ионон, дамасценон, фруктовые эфиры</x:v>
      </x:c>
      <x:c r="M71" s="28" t="str">
        <x:v>альдегиды, пиразины, сернистые соединения</x:v>
      </x:c>
      <x:c r="N71" s="28" t="str">
        <x:v>прямое семейное перекрытие не является главным механизмом</x:v>
      </x:c>
      <x:c r="O71" s="28" t="str">
        <x:v>надёжный единичный общий маркер не подтверждён; механизм не сводится к одной молекуле</x:v>
      </x:c>
      <x:c r="P71" s="28" t="str">
        <x:v>комплементарность ароматических семейств, вкусовой контраст и матричный эффект</x:v>
      </x:c>
      <x:c r="Q71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71" s="28" t="str">
        <x:v>обычно слабый; кислотность повышает слюноотделение; партнёр: обычно отсутствует; зависит от конкретного продукта</x:v>
      </x:c>
      <x:c r="S71" s="28" t="str">
        <x:v>водно-пектиновая мякоть; низкий жир; кожица и косточка могут добавлять терпкость и миндальный оттенок. Партнёр: жир переносит аромат; реакция Майяра создаёт новые одоранты.</x:v>
      </x:c>
      <x:c r="T7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U7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Хамон иберико относится к группе «Мясо и птица» и даёт профиль «жареный, жирный, сернистый, умами»; типичные соединения или классы: альдегиды, пиразины,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переносит аромат; реакция Майяра создаёт новые одоранты.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V7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W71" s="28" t="str">
        <x:v>розмарин, горчица или хересный уксус</x:v>
      </x:c>
      <x:c r="X71" s="28" t="str">
        <x:v>соус, глазировка, чатни, маринад, гарнир или основное блюдо</x:v>
      </x:c>
      <x:c r="Y71" s="28" t="str">
        <x:v>еда; соусы/маринады</x:v>
      </x:c>
      <x:c r="Z71" s="28" t="str">
        <x:v>Средняя</x:v>
      </x:c>
      <x:c r="AA71" s="28" t="str">
        <x:v>The Art &amp; Science of Foodpairing.pdf</x:v>
      </x:c>
      <x:c r="AB71" s="28" t="str">
        <x:v>The Art &amp; Science of Foodpairing.pdf: 278</x:v>
      </x:c>
      <x:c r="AC71" s="28" t="str">
        <x:v>Ингредиент «apricot» указан на странице профиля/сетки сочетаний «Ibericoham».</x:v>
      </x:c>
      <x:c r="AD71" s="28" t="n">
        <x:v>1</x:v>
      </x:c>
      <x:c r="AE71" s="28" t="n">
        <x:v>1</x:v>
      </x:c>
      <x:c r="AF71" s="28" t="n">
        <x:f>IF(Z71="Высокая",3,IF(Z71="Средняя",2,1))+AD71*2+MIN(AE71,3)</x:f>
        <x:v>5</x:v>
      </x:c>
    </x:row>
    <x:row r="72" ht="62" customHeight="1">
      <x:c r="A72" s="28" t="str">
        <x:v>STN-0071</x:v>
      </x:c>
      <x:c r="B72" s="28" t="str">
        <x:v>абрикос</x:v>
      </x:c>
      <x:c r="C72" s="28" t="str">
        <x:v>Еда и соусы</x:v>
      </x:c>
      <x:c r="D72" s="28" t="str">
        <x:v>абрикос</x:v>
      </x:c>
      <x:c r="E72" s="28" t="str">
        <x:v>apricot</x:v>
      </x:c>
      <x:c r="F72" s="28" t="str">
        <x:v>Косточковые фрукты</x:v>
      </x:c>
      <x:c r="G72" s="28" t="str">
        <x:v>хамон серрано</x:v>
      </x:c>
      <x:c r="H72" s="28" t="str">
        <x:v>Serrano ham</x:v>
      </x:c>
      <x:c r="I72" s="28" t="str">
        <x:v>Мясо и птица</x:v>
      </x:c>
      <x:c r="J72" s="28" t="str">
        <x:v>цветочный, фруктовый, медовый, сливочно-лактонный, миндальный</x:v>
      </x:c>
      <x:c r="K72" s="28" t="str">
        <x:v>жареный, мясной, жирный, иногда копчёный и пряный</x:v>
      </x:c>
      <x:c r="L72" s="28" t="str">
        <x:v>γ- и δ-лактоны, линалоол, гераниол, бензальдегид, β-ионон, дамасценон, фруктовые эфиры</x:v>
      </x:c>
      <x:c r="M72" s="28" t="str">
        <x:v>пиразины, фураны, сернистые соединения, продукты Майяра, жирные альдегиды</x:v>
      </x:c>
      <x:c r="N72" s="28" t="str">
        <x:v>прямое семейное перекрытие не является главным механизмом</x:v>
      </x:c>
      <x:c r="O72" s="28" t="str">
        <x:v>надёжный единичный общий маркер не подтверждён; механизм не сводится к одной молекуле</x:v>
      </x:c>
      <x:c r="P72" s="28" t="str">
        <x:v>комплементарность ароматических семейств, вкусовой контраст и матричный эффект</x:v>
      </x:c>
      <x:c r="Q72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72" s="28" t="str">
        <x:v>обычно слабый; кислотность повышает слюноотделение; партнёр: тепловой/пряный зависит от обработки</x:v>
      </x:c>
      <x:c r="S72" s="28" t="str">
        <x:v>водно-пектиновая мякоть; низкий жир; кожица и косточка могут добавлять терпкость и миндальный оттенок. Партнёр: жир удерживает фруктовые лактоны; белок смягчает кислотность.</x:v>
      </x:c>
      <x:c r="T7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U7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Хамон серрано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удерживает фруктовые лактоны; белок смягчает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V7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W72" s="28" t="str">
        <x:v>розмарин, горчица или хересный уксус</x:v>
      </x:c>
      <x:c r="X72" s="28" t="str">
        <x:v>соус, глазировка, чатни, маринад, гарнир или основное блюдо</x:v>
      </x:c>
      <x:c r="Y72" s="28" t="str">
        <x:v>еда; соусы/маринады</x:v>
      </x:c>
      <x:c r="Z72" s="28" t="str">
        <x:v>Средняя</x:v>
      </x:c>
      <x:c r="AA72" s="28" t="str">
        <x:v>The Art &amp; Science of Foodpairing.pdf</x:v>
      </x:c>
      <x:c r="AB72" s="28" t="str">
        <x:v>The Art &amp; Science of Foodpairing.pdf: 206</x:v>
      </x:c>
      <x:c r="AC72" s="28" t="str">
        <x:v>Ingredient pairings with apricot: Serrano ham.</x:v>
      </x:c>
      <x:c r="AD72" s="28" t="n">
        <x:v>1</x:v>
      </x:c>
      <x:c r="AE72" s="28" t="n">
        <x:v>1</x:v>
      </x:c>
      <x:c r="AF72" s="28" t="n">
        <x:f>IF(Z72="Высокая",3,IF(Z72="Средняя",2,1))+AD72*2+MIN(AE72,3)</x:f>
        <x:v>5</x:v>
      </x:c>
    </x:row>
    <x:row r="73" ht="62" customHeight="1">
      <x:c r="A73" s="28" t="str">
        <x:v>STN-0072</x:v>
      </x:c>
      <x:c r="B73" s="28" t="str">
        <x:v>абрикос</x:v>
      </x:c>
      <x:c r="C73" s="28" t="str">
        <x:v>Универсальные</x:v>
      </x:c>
      <x:c r="D73" s="28" t="str">
        <x:v>абрикос</x:v>
      </x:c>
      <x:c r="E73" s="28" t="str">
        <x:v>apricot</x:v>
      </x:c>
      <x:c r="F73" s="28" t="str">
        <x:v>Косточковые фрукты</x:v>
      </x:c>
      <x:c r="G73" s="28" t="str">
        <x:v>чернослив</x:v>
      </x:c>
      <x:c r="H73" s="28" t="str">
        <x:v>абрикос | Чернослив | Apricot | Agen prunes</x:v>
      </x:c>
      <x:c r="I73" s="28" t="str">
        <x:v>Сушёные косточковые фрукты</x:v>
      </x:c>
      <x:c r="J73" s="28" t="str">
        <x:v>цветочный, фруктовый, медовый, сливочно-лактонный, миндальный</x:v>
      </x:c>
      <x:c r="K73" s="28" t="str">
        <x:v>тёмно-фруктовый, карамельный, винный, слегка дымный и миндальный</x:v>
      </x:c>
      <x:c r="L73" s="28" t="str">
        <x:v>γ- и δ-лактоны, линалоол, гераниол, бензальдегид, β-ионон, дамасценон, фруктовые эфиры</x:v>
      </x:c>
      <x:c r="M73" s="28" t="str">
        <x:v>фурфурол, 5-метилфурфурол, мальтол, лактоны, бензальдегид, продукты термического распада сахаров</x:v>
      </x:c>
      <x:c r="N73" s="28" t="str">
        <x:v>фруктовый, миндальный</x:v>
      </x:c>
      <x:c r="O73" s="28" t="str">
        <x:v>бензальдегид</x:v>
      </x:c>
      <x:c r="P73" s="28" t="str">
        <x:v>прямое или классовое перекрытие характерных одорантов + вкусовой баланс</x:v>
      </x:c>
      <x:c r="Q73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</x:v>
      </x:c>
      <x:c r="R73" s="28" t="str">
        <x:v>обычно слабый; кислотность повышает слюноотделение; партнёр: слабый; возможна лёгкая терпкость</x:v>
      </x:c>
      <x:c r="S73" s="28" t="str">
        <x:v>водно-пектиновая мякоть; низкий жир; кожица и косточка могут добавлять терпкость и миндальный оттенок. Партнёр: маловодная, богатая сахарами, пектином и сорбитолом; хорошо удерживает специи и алкоголь.</x:v>
      </x:c>
      <x:c r="T7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U7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Чернослив относится к группе «Сушёные косточковые фрукты» и даёт профиль «тёмно-фруктовый, карамельный, винный, слегка дымный и миндальный»; типичные соединения или классы: фурфурол, 5-метилфурфурол, мальтол, лактоны, бензальдегид, продукты термического распада сахаров. В рабочих профилях пересекаются: бензальдегид. Общие ароматические направления: фруктовый, миндальный.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маловодная, богатая сахарами, пектином и сорбитолом; хорошо удерживает специи и алкоголь.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V7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73" s="28" t="str">
        <x:v>мёд, цитрус или нейтральная жировая основа</x:v>
      </x:c>
      <x:c r="X73" s="28" t="str">
        <x:v>напиток, соус, десерт или горячее блюдо после пробной дегустации</x:v>
      </x:c>
      <x:c r="Y73" s="28" t="str">
        <x:v>напитки; еда; десерты; соусы/маринады</x:v>
      </x:c>
      <x:c r="Z73" s="28" t="str">
        <x:v>Высокая</x:v>
      </x:c>
      <x:c r="AA73" s="28" t="str">
        <x:v>The Art &amp; Science of Foodpairing.pdf | Таблица сочетания(1).pdf</x:v>
      </x:c>
      <x:c r="AB73" s="28" t="str">
        <x:v>Таблица сочетания(1).pdf: 18 | The Art &amp; Science of Foodpairing.pdf: 206</x:v>
      </x:c>
      <x:c r="AC73" s="28" t="str">
        <x:v>Пара указана в строке «Чернослив» → колонка «Фрукты». Пара указана в строке «Чернослив»: «абрикос» находится в колонке «Фрукты». Ингредиент «Agen prunes» указан на странице профиля/сетки сочетаний «Apricot».</x:v>
      </x:c>
      <x:c r="AD73" s="28" t="n">
        <x:v>2</x:v>
      </x:c>
      <x:c r="AE73" s="28" t="n">
        <x:v>4</x:v>
      </x:c>
      <x:c r="AF73" s="28" t="n">
        <x:f>IF(Z73="Высокая",3,IF(Z73="Средняя",2,1))+AD73*2+MIN(AE73,3)</x:f>
        <x:v>10</x:v>
      </x:c>
    </x:row>
    <x:row r="74" ht="62" customHeight="1">
      <x:c r="A74" s="28" t="str">
        <x:v>STN-0073</x:v>
      </x:c>
      <x:c r="B74" s="28" t="str">
        <x:v>абрикос</x:v>
      </x:c>
      <x:c r="C74" s="28" t="str">
        <x:v>Универсальные</x:v>
      </x:c>
      <x:c r="D74" s="28" t="str">
        <x:v>абрикос</x:v>
      </x:c>
      <x:c r="E74" s="28" t="str">
        <x:v>apricot</x:v>
      </x:c>
      <x:c r="F74" s="28" t="str">
        <x:v>Косточковые фрукты</x:v>
      </x:c>
      <x:c r="G74" s="28" t="str">
        <x:v>черные оливки</x:v>
      </x:c>
      <x:c r="H74" s="28" t="str">
        <x:v>Black Olive</x:v>
      </x:c>
      <x:c r="I74" s="28" t="str">
        <x:v>Прочее</x:v>
      </x:c>
      <x:c r="J74" s="28" t="str">
        <x:v>цветочный, фруктовый, медовый, сливочно-лактонный, миндальный</x:v>
      </x:c>
      <x:c r="K74" s="28" t="str">
        <x:v>комплексный</x:v>
      </x:c>
      <x:c r="L74" s="28" t="str">
        <x:v>γ- и δ-лактоны, линалоол, гераниол, бензальдегид, β-ионон, дамасценон, фруктовые эфиры</x:v>
      </x:c>
      <x:c r="M74" s="28" t="str">
        <x:v>не конкретизированы</x:v>
      </x:c>
      <x:c r="N74" s="28" t="str">
        <x:v>прямое семейное перекрытие не является главным механизмом</x:v>
      </x:c>
      <x:c r="O74" s="28" t="str">
        <x:v>надёжный единичный общий маркер не подтверждён; механизм не сводится к одной молекуле</x:v>
      </x:c>
      <x:c r="P74" s="28" t="str">
        <x:v>комплементарность ароматических семейств, вкусовой контраст и матричный эффект</x:v>
      </x:c>
      <x:c r="Q74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зависит от ингредиента. Баланс корректируется сахаром, кислотой, солью и горечью.</x:v>
      </x:c>
      <x:c r="R74" s="28" t="str">
        <x:v>обычно слабый; кислотность повышает слюноотделение; партнёр: обычно отсутствует; зависит от конкретного продукта</x:v>
      </x:c>
      <x:c r="S74" s="28" t="str">
        <x:v>водно-пектиновая мякоть; низкий жир; кожица и косточка могут добавлять терпкость и миндальный оттенок. Партнёр: механизм зависит от конкретного продукта.</x:v>
      </x:c>
      <x:c r="T7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7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Черные оливки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зависит от ингредиента.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механизм зависит от конкретного продукта.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7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74" s="28" t="str">
        <x:v>мёд, цитрус или нейтральная жировая основа</x:v>
      </x:c>
      <x:c r="X74" s="28" t="str">
        <x:v>напиток, соус, десерт или горячее блюдо после пробной дегустации</x:v>
      </x:c>
      <x:c r="Y74" s="28" t="str">
        <x:v>напитки; еда; десерты; соусы/маринады</x:v>
      </x:c>
      <x:c r="Z74" s="28" t="str">
        <x:v>Средняя</x:v>
      </x:c>
      <x:c r="AA74" s="28" t="str">
        <x:v>The Art &amp; Science of Foodpairing.pdf</x:v>
      </x:c>
      <x:c r="AB74" s="28" t="str">
        <x:v>The Art &amp; Science of Foodpairing.pdf: 216</x:v>
      </x:c>
      <x:c r="AC74" s="28" t="str">
        <x:v>Ингредиент «apricot» указан на странице профиля/сетки сочетаний «Black Olive».</x:v>
      </x:c>
      <x:c r="AD74" s="28" t="n">
        <x:v>1</x:v>
      </x:c>
      <x:c r="AE74" s="28" t="n">
        <x:v>1</x:v>
      </x:c>
      <x:c r="AF74" s="28" t="n">
        <x:f>IF(Z74="Высокая",3,IF(Z74="Средняя",2,1))+AD74*2+MIN(AE74,3)</x:f>
        <x:v>5</x:v>
      </x:c>
    </x:row>
    <x:row r="75" ht="62" customHeight="1">
      <x:c r="A75" s="28" t="str">
        <x:v>STN-0074</x:v>
      </x:c>
      <x:c r="B75" s="28" t="str">
        <x:v>абрикос</x:v>
      </x:c>
      <x:c r="C75" s="28" t="str">
        <x:v>Универсальные</x:v>
      </x:c>
      <x:c r="D75" s="28" t="str">
        <x:v>абрикос</x:v>
      </x:c>
      <x:c r="E75" s="28" t="str">
        <x:v>apricot</x:v>
      </x:c>
      <x:c r="F75" s="28" t="str">
        <x:v>Косточковые фрукты</x:v>
      </x:c>
      <x:c r="G75" s="28" t="str">
        <x:v>черный перец</x:v>
      </x:c>
      <x:c r="H75" s="28" t="str">
        <x:v>чёрный перец</x:v>
      </x:c>
      <x:c r="I75" s="28" t="str">
        <x:v>Специи и острые компоненты</x:v>
      </x:c>
      <x:c r="J75" s="28" t="str">
        <x:v>цветочный, фруктовый, медовый, сливочно-лактонный, миндальный</x:v>
      </x:c>
      <x:c r="K75" s="28" t="str">
        <x:v>древесный, цитрусовый и пряный</x:v>
      </x:c>
      <x:c r="L75" s="28" t="str">
        <x:v>γ- и δ-лактоны, линалоол, гераниол, бензальдегид, β-ионон, дамасценон, фруктовые эфиры</x:v>
      </x:c>
      <x:c r="M75" s="28" t="str">
        <x:v>пиперин, лимонен, сабинен</x:v>
      </x:c>
      <x:c r="N75" s="28" t="str">
        <x:v>прямое семейное перекрытие не является главным механизмом</x:v>
      </x:c>
      <x:c r="O75" s="28" t="str">
        <x:v>надёжный единичный общий маркер не подтверждён; механизм не сводится к одной молекуле</x:v>
      </x:c>
      <x:c r="P75" s="28" t="str">
        <x:v>комплементарность ароматических семейств, вкусовой контраст и матричный эффект</x:v>
      </x:c>
      <x:c r="Q75" s="28" t="str">
        <x:v>Сладость и кислота фрукта смягчают остроту и горечь специи, а пряный компонент удлиняет ароматическое послевкусие.</x:v>
      </x:c>
      <x:c r="R75" s="28" t="str">
        <x:v>обычно слабый; кислотность повышает слюноотделение; партнёр: пиперин создаёт сухое жжение</x:v>
      </x:c>
      <x:c r="S75" s="28" t="str">
        <x:v>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</x:v>
      </x:c>
      <x:c r="T7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7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Черный перец относится к группе «Специи и острые компоненты» и даёт профиль «древесный, цитрусовый и пряный»; типичные соединения или классы: пиперин, лимонен, сабинен.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7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W75" s="28" t="str">
        <x:v>мёд, цитрус или миндаль</x:v>
      </x:c>
      <x:c r="X75" s="28" t="str">
        <x:v>напиток, соус, десерт или горячее блюдо после пробной дегустации</x:v>
      </x:c>
      <x:c r="Y75" s="28" t="str">
        <x:v>напитки; еда; десерты; соусы/маринады</x:v>
      </x:c>
      <x:c r="Z75" s="28" t="str">
        <x:v>Гипотеза / практическая</x:v>
      </x:c>
      <x:c r="AA75" s="28" t="str">
        <x:v>Таблица сочетания(1).pdf</x:v>
      </x:c>
      <x:c r="AB75" s="28" t="str">
        <x:v>Таблица сочетания(1).pdf: 1</x:v>
      </x:c>
      <x:c r="AC75" s="28" t="str">
        <x:v>Пара указана в строке «Абрикос» → колонка «Травы и специи».</x:v>
      </x:c>
      <x:c r="AD75" s="28" t="n">
        <x:v>1</x:v>
      </x:c>
      <x:c r="AE75" s="28" t="n">
        <x:v>1</x:v>
      </x:c>
      <x:c r="AF75" s="28" t="n">
        <x:f>IF(Z75="Высокая",3,IF(Z75="Средняя",2,1))+AD75*2+MIN(AE75,3)</x:f>
        <x:v>4</x:v>
      </x:c>
    </x:row>
    <x:row r="76" ht="62" customHeight="1">
      <x:c r="A76" s="28" t="str">
        <x:v>STN-0075</x:v>
      </x:c>
      <x:c r="B76" s="28" t="str">
        <x:v>абрикос</x:v>
      </x:c>
      <x:c r="C76" s="28" t="str">
        <x:v>Напитки</x:v>
      </x:c>
      <x:c r="D76" s="28" t="str">
        <x:v>абрикос</x:v>
      </x:c>
      <x:c r="E76" s="28" t="str">
        <x:v>apricot</x:v>
      </x:c>
      <x:c r="F76" s="28" t="str">
        <x:v>Косточковые фрукты</x:v>
      </x:c>
      <x:c r="G76" s="28" t="str">
        <x:v>черный чай</x:v>
      </x:c>
      <x:c r="H76" s="28" t="str">
        <x:v>black tea</x:v>
      </x:c>
      <x:c r="I76" s="28" t="str">
        <x:v>Чай и кофе</x:v>
      </x:c>
      <x:c r="J76" s="28" t="str">
        <x:v>цветочный, фруктовый, медовый, сливочно-лактонный, миндальный</x:v>
      </x:c>
      <x:c r="K76" s="28" t="str">
        <x:v>жареный, травяной, цветочный или терпкий</x:v>
      </x:c>
      <x:c r="L76" s="28" t="str">
        <x:v>γ- и δ-лактоны, линалоол, гераниол, бензальдегид, β-ионон, дамасценон, фруктовые эфиры</x:v>
      </x:c>
      <x:c r="M76" s="28" t="str">
        <x:v>пиридины, пиразины, фенолы, линалоол, гераниол, теафлавины</x:v>
      </x:c>
      <x:c r="N76" s="28" t="str">
        <x:v>цветочный</x:v>
      </x:c>
      <x:c r="O76" s="28" t="str">
        <x:v>линалоол, гераниол</x:v>
      </x:c>
      <x:c r="P76" s="28" t="str">
        <x:v>прямое или классовое перекрытие характерных одорантов + вкусовой баланс</x:v>
      </x:c>
      <x:c r="Q76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иногда сладость. Баланс корректируется сахаром, кислотой, солью и горечью.</x:v>
      </x:c>
      <x:c r="R76" s="28" t="str">
        <x:v>обычно слабый; кислотность повышает слюноотделение; партнёр: кофеин даёт горечь, не тройничный эффект</x:v>
      </x:c>
      <x:c r="S76" s="28" t="str">
        <x:v>водно-пектиновая мякоть; низкий жир; кожица и косточка могут добавлять терпкость и миндальный оттенок. Партнёр: водная экстракция; температура сильно меняет летучесть.</x:v>
      </x:c>
      <x:c r="T7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U7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Черный чай относится к группе «Чай и кофе» и даёт профиль «жареный, травяной, цветочный или терпкий»; типичные соединения или классы: пиридины, пиразины, фенолы, линалоол, гераниол, теафлавины.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иногда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экстракция; температура сильно меняет летучесть.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V7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76" s="28" t="str">
        <x:v>мёд, цитрус или нейтральная жировая основа</x:v>
      </x:c>
      <x:c r="X76" s="28" t="str">
        <x:v>коктейль, кордиал, настой, спритц, чайный или кофейный напиток</x:v>
      </x:c>
      <x:c r="Y76" s="28" t="str">
        <x:v>напитки</x:v>
      </x:c>
      <x:c r="Z76" s="28" t="str">
        <x:v>Средняя</x:v>
      </x:c>
      <x:c r="AA76" s="28" t="str">
        <x:v>The Art &amp; Science of Foodpairing.pdf</x:v>
      </x:c>
      <x:c r="AB76" s="28" t="str">
        <x:v>The Art &amp; Science of Foodpairing.pdf: 206</x:v>
      </x:c>
      <x:c r="AC76" s="28" t="str">
        <x:v>Ingredient pairings with apricot: black tea.</x:v>
      </x:c>
      <x:c r="AD76" s="28" t="n">
        <x:v>1</x:v>
      </x:c>
      <x:c r="AE76" s="28" t="n">
        <x:v>1</x:v>
      </x:c>
      <x:c r="AF76" s="28" t="n">
        <x:f>IF(Z76="Высокая",3,IF(Z76="Средняя",2,1))+AD76*2+MIN(AE76,3)</x:f>
        <x:v>5</x:v>
      </x:c>
    </x:row>
    <x:row r="77" ht="62" customHeight="1">
      <x:c r="A77" s="28" t="str">
        <x:v>STN-0076</x:v>
      </x:c>
      <x:c r="B77" s="28" t="str">
        <x:v>абрикос</x:v>
      </x:c>
      <x:c r="C77" s="28" t="str">
        <x:v>Еда и соусы</x:v>
      </x:c>
      <x:c r="D77" s="28" t="str">
        <x:v>абрикос</x:v>
      </x:c>
      <x:c r="E77" s="28" t="str">
        <x:v>apricot</x:v>
      </x:c>
      <x:c r="F77" s="28" t="str">
        <x:v>Косточковые фрукты</x:v>
      </x:c>
      <x:c r="G77" s="28" t="str">
        <x:v>шампиньоны</x:v>
      </x:c>
      <x:c r="H77" s="28" t="str">
        <x:v>white button mushroom</x:v>
      </x:c>
      <x:c r="I77" s="28" t="str">
        <x:v>Грибы и трюфели</x:v>
      </x:c>
      <x:c r="J77" s="28" t="str">
        <x:v>цветочный, фруктовый, медовый, сливочно-лактонный, миндальный</x:v>
      </x:c>
      <x:c r="K77" s="28" t="str">
        <x:v>землистый, грибной, ореховый и умами</x:v>
      </x:c>
      <x:c r="L77" s="28" t="str">
        <x:v>γ- и δ-лактоны, линалоол, гераниол, бензальдегид, β-ионон, дамасценон, фруктовые эфиры</x:v>
      </x:c>
      <x:c r="M77" s="28" t="str">
        <x:v>1-октен-3-ол, 1-октен-3-он, сернистые соединения</x:v>
      </x:c>
      <x:c r="N77" s="28" t="str">
        <x:v>прямое семейное перекрытие не является главным механизмом</x:v>
      </x:c>
      <x:c r="O77" s="28" t="str">
        <x:v>надёжный единичный общий маркер не подтверждён; механизм не сводится к одной молекуле</x:v>
      </x:c>
      <x:c r="P77" s="28" t="str">
        <x:v>комплементарность ароматических семейств, вкусовой контраст и матричный эффект</x:v>
      </x:c>
      <x:c r="Q77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умами и лёгкая горечь. Баланс корректируется сахаром, кислотой, солью и горечью.</x:v>
      </x:c>
      <x:c r="R77" s="28" t="str">
        <x:v>обычно слабый; кислотность повышает слюноотделение; партнёр: нет выраженного</x:v>
      </x:c>
      <x:c r="S77" s="28" t="str">
        <x:v>водно-пектиновая мякоть; низкий жир; кожица и косточка могут добавлять терпкость и миндальный оттенок. Партнёр: вода и клетчатка; обжарка создаёт новые жареные молекулы.</x:v>
      </x:c>
      <x:c r="T7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U7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Шампиньоны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умами и лёгкая горечь.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вода и клетчатка; обжарка создаёт новые жареные молекулы.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V7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77" s="28" t="str">
        <x:v>сливочное масло, тимьян или твёрдый сыр</x:v>
      </x:c>
      <x:c r="X77" s="28" t="str">
        <x:v>соус, глазировка, чатни, маринад, гарнир или основное блюдо</x:v>
      </x:c>
      <x:c r="Y77" s="28" t="str">
        <x:v>еда; соусы/маринады</x:v>
      </x:c>
      <x:c r="Z77" s="28" t="str">
        <x:v>Средняя</x:v>
      </x:c>
      <x:c r="AA77" s="28" t="str">
        <x:v>The Art &amp; Science of Foodpairing.pdf</x:v>
      </x:c>
      <x:c r="AB77" s="28" t="str">
        <x:v>The Art &amp; Science of Foodpairing.pdf: 206</x:v>
      </x:c>
      <x:c r="AC77" s="28" t="str">
        <x:v>Ingredient pairings with apricot: white button mushroom.</x:v>
      </x:c>
      <x:c r="AD77" s="28" t="n">
        <x:v>1</x:v>
      </x:c>
      <x:c r="AE77" s="28" t="n">
        <x:v>1</x:v>
      </x:c>
      <x:c r="AF77" s="28" t="n">
        <x:f>IF(Z77="Высокая",3,IF(Z77="Средняя",2,1))+AD77*2+MIN(AE77,3)</x:f>
        <x:v>5</x:v>
      </x:c>
    </x:row>
    <x:row r="78" ht="62" customHeight="1">
      <x:c r="A78" s="28" t="str">
        <x:v>STN-0077</x:v>
      </x:c>
      <x:c r="B78" s="28" t="str">
        <x:v>абрикос</x:v>
      </x:c>
      <x:c r="C78" s="28" t="str">
        <x:v>Универсальные</x:v>
      </x:c>
      <x:c r="D78" s="28" t="str">
        <x:v>абрикос</x:v>
      </x:c>
      <x:c r="E78" s="28" t="str">
        <x:v>apricot</x:v>
      </x:c>
      <x:c r="F78" s="28" t="str">
        <x:v>Косточковые фрукты</x:v>
      </x:c>
      <x:c r="G78" s="28" t="str">
        <x:v>шоколад</x:v>
      </x:c>
      <x:c r="H78" s="28" t="str">
        <x:v>Шоколад | шоколад</x:v>
      </x:c>
      <x:c r="I78" s="28" t="str">
        <x:v>Чай, кофе и какао</x:v>
      </x:c>
      <x:c r="J78" s="28" t="str">
        <x:v>цветочный, фруктовый, медовый, сливочно-лактонный, миндальный</x:v>
      </x:c>
      <x:c r="K78" s="28" t="str">
        <x:v>какао, жареный, ореховый и фруктовый</x:v>
      </x:c>
      <x:c r="L78" s="28" t="str">
        <x:v>γ- и δ-лактоны, линалоол, гераниол, бензальдегид, β-ионон, дамасценон, фруктовые эфиры</x:v>
      </x:c>
      <x:c r="M78" s="28" t="str">
        <x:v>пиразины, альдегиды Стреккера, фураны</x:v>
      </x:c>
      <x:c r="N78" s="28" t="str">
        <x:v>фруктовый</x:v>
      </x:c>
      <x:c r="O78" s="28" t="str">
        <x:v>надёжный единичный общий маркер не подтверждён; механизм не сводится к одной молекуле</x:v>
      </x:c>
      <x:c r="P78" s="28" t="str">
        <x:v>комплементарность ароматических семейств, вкусовой контраст и матричный эффект</x:v>
      </x:c>
      <x:c r="Q78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жареная сладость. Баланс корректируется сахаром, кислотой, солью и горечью.</x:v>
      </x:c>
      <x:c r="R78" s="28" t="str">
        <x:v>обычно слабый; кислотность повышает слюноотделение; партнёр: кофеин и терпкость создают сухость, но прямой тройничный эффект умерен</x:v>
      </x:c>
      <x:c r="S78" s="28" t="str">
        <x:v>водно-пектиновая мякоть; низкий жир; кожица и косточка могут добавлять терпкость и миндальный оттенок. Партнёр: водные настои извлекают полифенолы; жир и сахар смягчают горечь.</x:v>
      </x:c>
      <x:c r="T7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U7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жареная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водные настои извлекают полифенолы; жир и сахар смягчают горечь.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V7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78" s="28" t="str">
        <x:v>мёд, цитрус или нейтральная жировая основа</x:v>
      </x:c>
      <x:c r="X78" s="28" t="str">
        <x:v>напиток, соус, десерт или горячее блюдо после пробной дегустации</x:v>
      </x:c>
      <x:c r="Y78" s="28" t="str">
        <x:v>напитки; еда; десерты; соусы/маринады</x:v>
      </x:c>
      <x:c r="Z78" s="28" t="str">
        <x:v>Средняя</x:v>
      </x:c>
      <x:c r="AA78" s="28" t="str">
        <x:v>Тезариус вкусов (Ники Сегнит)(1).pdf</x:v>
      </x:c>
      <x:c r="AB78" s="28" t="str">
        <x:v>Тезариус вкусов (Ники Сегнит)(1).pdf: 25 | Тезариус вкусов (Ники Сегнит)(1).pdf: 745</x:v>
      </x:c>
      <x:c r="AC78" s="28" t="str">
        <x:v>Шоколад и абрикос. См. Абрикос и шоколад Абрикос и шоколад. Подслащенные абрикосы со-</x:v>
      </x:c>
      <x:c r="AD78" s="28" t="n">
        <x:v>1</x:v>
      </x:c>
      <x:c r="AE78" s="28" t="n">
        <x:v>2</x:v>
      </x:c>
      <x:c r="AF78" s="28" t="n">
        <x:f>IF(Z78="Высокая",3,IF(Z78="Средняя",2,1))+AD78*2+MIN(AE78,3)</x:f>
        <x:v>6</x:v>
      </x:c>
    </x:row>
    <x:row r="79" ht="62" customHeight="1">
      <x:c r="A79" s="28" t="str">
        <x:v>STN-0078</x:v>
      </x:c>
      <x:c r="B79" s="28" t="str">
        <x:v>абрикос</x:v>
      </x:c>
      <x:c r="C79" s="28" t="str">
        <x:v>Универсальные</x:v>
      </x:c>
      <x:c r="D79" s="28" t="str">
        <x:v>абрикос</x:v>
      </x:c>
      <x:c r="E79" s="28" t="str">
        <x:v>apricot</x:v>
      </x:c>
      <x:c r="F79" s="28" t="str">
        <x:v>Косточковые фрукты</x:v>
      </x:c>
      <x:c r="G79" s="28" t="str">
        <x:v>яблоко</x:v>
      </x:c>
      <x:c r="H79" s="28" t="str">
        <x:v>яблоко</x:v>
      </x:c>
      <x:c r="I79" s="28" t="str">
        <x:v>Семечковые фрукты</x:v>
      </x:c>
      <x:c r="J79" s="28" t="str">
        <x:v>цветочный, фруктовый, медовый, сливочно-лактонный, миндальный</x:v>
      </x:c>
      <x:c r="K79" s="28" t="str">
        <x:v>свежий фруктовый, зелёный, цветочный, пряный; профиль сильно зависит от сорта и зрелости</x:v>
      </x:c>
      <x:c r="L79" s="28" t="str">
        <x:v>γ- и δ-лактоны, линалоол, гераниол, бензальдегид, β-ионон, дамасценон, фруктовые эфиры</x:v>
      </x:c>
      <x:c r="M79" s="28" t="str">
        <x:v>гексилацетат, бутил ацетат, этил-2-метилбутират, гексаналь, транс-2-гексеналь, β-дамасценон</x:v>
      </x:c>
      <x:c r="N79" s="28" t="str">
        <x:v>цветочный, фруктовый</x:v>
      </x:c>
      <x:c r="O79" s="28" t="str">
        <x:v>дамасценон</x:v>
      </x:c>
      <x:c r="P79" s="28" t="str">
        <x:v>прямое или классовое перекрытие характерных одорантов + вкусовой баланс</x:v>
      </x:c>
      <x:c r="Q79" s="28" t="str">
        <x:v>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яблочная кислота; иногда лёгкая терпкость кожицы. Баланс корректируется сахаром, кислотой, солью и горечью.</x:v>
      </x:c>
      <x:c r="R79" s="28" t="str">
        <x:v>обычно слабый; кислотность повышает слюноотделение; партнёр: кислотное покалывание зависит от плода; специальные эффекты указаны в паспорте</x:v>
      </x:c>
      <x:c r="S79" s="28" t="str">
        <x:v>водно-пектиновая мякоть; низкий жир; кожица и косточка могут добавлять терпкость и миндальный оттенок. Партнёр: водная, с пектином; низкое содержание жира; ароматические эфиры быстро теряются после разрезания.</x:v>
      </x:c>
      <x:c r="T7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U7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Яблоко относится к группе «Семечковые фрукты» и даёт профиль «свежий фруктовый, зелёный, цветочный, пряный; профиль сильно зависит от сорта и зрелости»; типичные соединения или классы: гексилацетат, бутил ацетат, этил-2-метилбутират, гексаналь, транс-2-гексеналь, β-дамасценон. В рабочих профилях пересекаются: дамасценон. Общие ароматические направления: цветочный,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яблочная кислота; иногда лёгкая терпкость кожицы.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водная, с пектином; низкое содержание жира; ароматические эфиры быстро теряются после разрезания.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V7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79" s="28" t="str">
        <x:v>мёд, цитрус или нейтральная жировая основа</x:v>
      </x:c>
      <x:c r="X79" s="28" t="str">
        <x:v>напиток, соус, десерт или горячее блюдо после пробной дегустации</x:v>
      </x:c>
      <x:c r="Y79" s="28" t="str">
        <x:v>напитки; еда; десерты; соусы/маринады</x:v>
      </x:c>
      <x:c r="Z79" s="28" t="str">
        <x:v>Гипотеза / практическая</x:v>
      </x:c>
      <x:c r="AA79" s="28" t="str">
        <x:v>The Art &amp; Science of Foodpairing.pdf</x:v>
      </x:c>
      <x:c r="AB79" s="28" t="str">
        <x:v>The Art &amp; Science of Foodpairing.pdf: The Art &amp; Science of Foodpairing: 48,49</x:v>
      </x:c>
      <x:c r="AC79" s="28" t="str">
        <x:v>The Art &amp; Science of Foodpairing: Ингредиент указан в указателе книги на страницах профиля и pairing grids для «яблоко»: 48, 49.</x:v>
      </x:c>
      <x:c r="AD79" s="28" t="n">
        <x:v>1</x:v>
      </x:c>
      <x:c r="AE79" s="28" t="n">
        <x:v>1</x:v>
      </x:c>
      <x:c r="AF79" s="28" t="n">
        <x:f>IF(Z79="Высокая",3,IF(Z79="Средняя",2,1))+AD79*2+MIN(AE79,3)</x:f>
        <x:v>4</x:v>
      </x:c>
    </x:row>
    <x:row r="80" ht="62" customHeight="1">
      <x:c r="A80" s="28" t="str">
        <x:v>STN-0079</x:v>
      </x:c>
      <x:c r="B80" s="28" t="str">
        <x:v>абрикос</x:v>
      </x:c>
      <x:c r="C80" s="28" t="str">
        <x:v>Десерты и выпечка</x:v>
      </x:c>
      <x:c r="D80" s="28" t="str">
        <x:v>абрикос</x:v>
      </x:c>
      <x:c r="E80" s="28" t="str">
        <x:v>apricot</x:v>
      </x:c>
      <x:c r="F80" s="28" t="str">
        <x:v>Косточковые фрукты</x:v>
      </x:c>
      <x:c r="G80" s="28" t="str">
        <x:v>яблоко кокс оранж пиппин</x:v>
      </x:c>
      <x:c r="H80" s="28" t="str">
        <x:v>Cox's Orange Pippin apple</x:v>
      </x:c>
      <x:c r="I80" s="28" t="str">
        <x:v>Фрукты</x:v>
      </x:c>
      <x:c r="J80" s="28" t="str">
        <x:v>цветочный, фруктовый, медовый, сливочно-лактонный, миндальный</x:v>
      </x:c>
      <x:c r="K80" s="28" t="str">
        <x:v>фруктовый, цветочный, зелёный или тропический</x:v>
      </x:c>
      <x:c r="L80" s="28" t="str">
        <x:v>γ- и δ-лактоны, линалоол, гераниол, бензальдегид, β-ионон, дамасценон, фруктовые эфиры</x:v>
      </x:c>
      <x:c r="M80" s="28" t="str">
        <x:v>фруктовые эфиры, терпены, альдегиды и лактоны</x:v>
      </x:c>
      <x:c r="N80" s="28" t="str">
        <x:v>цветочный, фруктовый</x:v>
      </x:c>
      <x:c r="O80" s="28" t="str">
        <x:v>фруктовые эфиры</x:v>
      </x:c>
      <x:c r="P80" s="28" t="str">
        <x:v>прямое или классовое перекрытие характерных одорантов + вкусовой баланс</x:v>
      </x:c>
      <x:c r="Q80" s="28" t="str">
        <x:v>Близкие фруктовые эфиры создают непрерывность, а различия в кислотности, терпкости и сладости формируют контраст.</x:v>
      </x:c>
      <x:c r="R80" s="28" t="str">
        <x:v>обычно слабый; кислотность повышает слюноотделение; партнёр: обычно слабый</x:v>
      </x:c>
      <x:c r="S80" s="28" t="str">
        <x:v>водно-пектиновая мякоть; низкий жир; кожица и косточка могут добавлять терпкость и миндальный оттенок. Партнёр: преимущественно водно-пектиновая матрица.</x:v>
      </x:c>
      <x:c r="T8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U8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Яблоко кокс оранж пиппин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преимущественно водно-пектиновая матрица.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V8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W80" s="28" t="str">
        <x:v>цитрус, мята или ваниль</x:v>
      </x:c>
      <x:c r="X80" s="28" t="str">
        <x:v>сорбет, салат, джем, кордиал, лимонад, коктейль или фруктовый соус</x:v>
      </x:c>
      <x:c r="Y80" s="28" t="str">
        <x:v>напитки; десерты; соусы/маринады</x:v>
      </x:c>
      <x:c r="Z80" s="28" t="str">
        <x:v>Средняя</x:v>
      </x:c>
      <x:c r="AA80" s="28" t="str">
        <x:v>The Art &amp; Science of Foodpairing.pdf</x:v>
      </x:c>
      <x:c r="AB80" s="28" t="str">
        <x:v>The Art &amp; Science of Foodpairing.pdf: 47 | The Art &amp; Science of Foodpairing.pdf: 48 | The Art &amp; Science of Foodpairing.pdf: 49</x:v>
      </x:c>
      <x:c r="AC80" s="28" t="str">
        <x:v>Ингредиент «candied apricot» указан на странице профиля/сетки сочетаний «Cox's Orange Pippin apple». Ингредиент «apricot» указан на странице профиля/сетки сочетаний «Cox's Orange Pippin apple».</x:v>
      </x:c>
      <x:c r="AD80" s="28" t="n">
        <x:v>1</x:v>
      </x:c>
      <x:c r="AE80" s="28" t="n">
        <x:v>3</x:v>
      </x:c>
      <x:c r="AF80" s="28" t="n">
        <x:f>IF(Z80="Высокая",3,IF(Z80="Средняя",2,1))+AD80*2+MIN(AE80,3)</x:f>
        <x:v>7</x:v>
      </x:c>
    </x:row>
    <x:row r="81" ht="62" customHeight="1">
      <x:c r="A81" s="28" t="str">
        <x:v>STN-0080</x:v>
      </x:c>
      <x:c r="B81" s="28" t="str">
        <x:v>персик</x:v>
      </x:c>
      <x:c r="C81" s="28" t="str">
        <x:v>Напитки</x:v>
      </x:c>
      <x:c r="D81" s="28" t="str">
        <x:v>персик</x:v>
      </x:c>
      <x:c r="E81" s="28" t="str">
        <x:v>peach</x:v>
      </x:c>
      <x:c r="F81" s="28" t="str">
        <x:v>Косточковые фрукты</x:v>
      </x:c>
      <x:c r="G81" s="28" t="str">
        <x:v>абрикосовый бренди</x:v>
      </x:c>
      <x:c r="H81" s="28" t="str">
        <x:v>apricot brandy</x:v>
      </x:c>
      <x:c r="I81" s="28" t="str">
        <x:v>Алкогольные напитки</x:v>
      </x:c>
      <x:c r="J81" s="28" t="str">
        <x:v>сливочный, персиковый, кокосово-лактонный, цветочный, зелёный</x:v>
      </x:c>
      <x:c r="K81" s="28" t="str">
        <x:v>эфирный, фруктовый, цветочный, древесный или ферментативный</x:v>
      </x:c>
      <x:c r="L81" s="28" t="str">
        <x:v>γ- и δ-декалактон, γ- и δ-додекалактон, линалоол, бензальдегид, гексаналь, цис-3-гексенол</x:v>
      </x:c>
      <x:c r="M81" s="28" t="str">
        <x:v>этиловые эфиры, высшие спирты, альдегиды, дубовые лактоны</x:v>
      </x:c>
      <x:c r="N81" s="28" t="str">
        <x:v>цветочный</x:v>
      </x:c>
      <x:c r="O81" s="28" t="str">
        <x:v>надёжный единичный общий маркер не подтверждён; механизм не сводится к одной молекуле</x:v>
      </x:c>
      <x:c r="P81" s="28" t="str">
        <x:v>комплементарность ароматических семейств, вкусовой контраст и матричный эффект</x:v>
      </x:c>
      <x:c r="Q81" s="28" t="str">
        <x:v>Этанол усиливает летучесть лактонов и терпенов; сахар и кислотность должны быть настроены так, чтобы крепость не маскировала плод.</x:v>
      </x:c>
      <x:c r="R81" s="28" t="str">
        <x:v>обычно слабый; кислота даёт свежесть; партнёр: согревание и жжение этанола</x:v>
      </x:c>
      <x:c r="S81" s="28" t="str">
        <x:v>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</x:v>
      </x:c>
      <x:c r="T81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U8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Абрикосовый бренди относится к группе «Алкогольные напитки» 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По доступным материалам нельзя уверенно свести совместимость к одной общей молекуле. Общие ароматические направления: цветочный.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V81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W81" s="28" t="str">
        <x:v>цитрус, чай или вермут</x:v>
      </x:c>
      <x:c r="X81" s="28" t="str">
        <x:v>коктейль, кордиал, настой, спритц, чайный или кофейный напиток</x:v>
      </x:c>
      <x:c r="Y81" s="28" t="str">
        <x:v>напитки</x:v>
      </x:c>
      <x:c r="Z81" s="28" t="str">
        <x:v>Средняя</x:v>
      </x:c>
      <x:c r="AA81" s="28" t="str">
        <x:v>The Art &amp; Science of Foodpairing.pdf</x:v>
      </x:c>
      <x:c r="AB81" s="28" t="str">
        <x:v>The Art &amp; Science of Foodpairing.pdf: 260–261</x:v>
      </x:c>
      <x:c r="AC81" s="28" t="str">
        <x:v>Ingredient pairings with peach and nectarine: apricot brandy.</x:v>
      </x:c>
      <x:c r="AD81" s="28" t="n">
        <x:v>1</x:v>
      </x:c>
      <x:c r="AE81" s="28" t="n">
        <x:v>1</x:v>
      </x:c>
      <x:c r="AF81" s="28" t="n">
        <x:f>IF(Z81="Высокая",3,IF(Z81="Средняя",2,1))+AD81*2+MIN(AE81,3)</x:f>
        <x:v>5</x:v>
      </x:c>
    </x:row>
    <x:row r="82" ht="62" customHeight="1">
      <x:c r="A82" s="28" t="str">
        <x:v>STN-0081</x:v>
      </x:c>
      <x:c r="B82" s="28" t="str">
        <x:v>персик</x:v>
      </x:c>
      <x:c r="C82" s="28" t="str">
        <x:v>Напитки</x:v>
      </x:c>
      <x:c r="D82" s="28" t="str">
        <x:v>персик</x:v>
      </x:c>
      <x:c r="E82" s="28" t="str">
        <x:v>peach</x:v>
      </x:c>
      <x:c r="F82" s="28" t="str">
        <x:v>Косточковые фрукты</x:v>
      </x:c>
      <x:c r="G82" s="28" t="str">
        <x:v>абсент</x:v>
      </x:c>
      <x:c r="H82" s="28" t="str">
        <x:v>absinthe</x:v>
      </x:c>
      <x:c r="I82" s="28" t="str">
        <x:v>Алкогольные напитки</x:v>
      </x:c>
      <x:c r="J82" s="28" t="str">
        <x:v>сливочный, персиковый, кокосово-лактонный, цветочный, зелёный</x:v>
      </x:c>
      <x:c r="K82" s="28" t="str">
        <x:v>эфирный, фруктовый, цветочный, древесный или ферментативный</x:v>
      </x:c>
      <x:c r="L82" s="28" t="str">
        <x:v>γ- и δ-декалактон, γ- и δ-додекалактон, линалоол, бензальдегид, гексаналь, цис-3-гексенол</x:v>
      </x:c>
      <x:c r="M82" s="28" t="str">
        <x:v>этиловые эфиры, высшие спирты, альдегиды, дубовые лактоны</x:v>
      </x:c>
      <x:c r="N82" s="28" t="str">
        <x:v>цветочный</x:v>
      </x:c>
      <x:c r="O82" s="28" t="str">
        <x:v>надёжный единичный общий маркер не подтверждён; механизм не сводится к одной молекуле</x:v>
      </x:c>
      <x:c r="P82" s="28" t="str">
        <x:v>комплементарность ароматических семейств, вкусовой контраст и матричный эффект</x:v>
      </x:c>
      <x:c r="Q82" s="28" t="str">
        <x:v>Этанол усиливает летучесть лактонов и терпенов; сахар и кислотность должны быть настроены так, чтобы крепость не маскировала плод.</x:v>
      </x:c>
      <x:c r="R82" s="28" t="str">
        <x:v>обычно слабый; кислота даёт свежесть; партнёр: согревание и жжение этанола</x:v>
      </x:c>
      <x:c r="S82" s="28" t="str">
        <x:v>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</x:v>
      </x:c>
      <x:c r="T82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U8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Абсент относится к группе «Алкогольные напитки» 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По доступным материалам нельзя уверенно свести совместимость к одной общей молекуле. Общие ароматические направления: цветочный.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V82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W82" s="28" t="str">
        <x:v>цитрус, чай или вермут</x:v>
      </x:c>
      <x:c r="X82" s="28" t="str">
        <x:v>коктейль, кордиал, настой, спритц, чайный или кофейный напиток</x:v>
      </x:c>
      <x:c r="Y82" s="28" t="str">
        <x:v>напитки</x:v>
      </x:c>
      <x:c r="Z82" s="28" t="str">
        <x:v>Средняя</x:v>
      </x:c>
      <x:c r="AA82" s="28" t="str">
        <x:v>The Art &amp; Science of Foodpairing.pdf</x:v>
      </x:c>
      <x:c r="AB82" s="28" t="str">
        <x:v>The Art &amp; Science of Foodpairing.pdf: 260–261</x:v>
      </x:c>
      <x:c r="AC82" s="28" t="str">
        <x:v>Ingredient pairings with peach and nectarine: absinthe.</x:v>
      </x:c>
      <x:c r="AD82" s="28" t="n">
        <x:v>1</x:v>
      </x:c>
      <x:c r="AE82" s="28" t="n">
        <x:v>1</x:v>
      </x:c>
      <x:c r="AF82" s="28" t="n">
        <x:f>IF(Z82="Высокая",3,IF(Z82="Средняя",2,1))+AD82*2+MIN(AE82,3)</x:f>
        <x:v>5</x:v>
      </x:c>
    </x:row>
    <x:row r="83" ht="62" customHeight="1">
      <x:c r="A83" s="28" t="str">
        <x:v>STN-0082</x:v>
      </x:c>
      <x:c r="B83" s="28" t="str">
        <x:v>персик</x:v>
      </x:c>
      <x:c r="C83" s="28" t="str">
        <x:v>Универсальные</x:v>
      </x:c>
      <x:c r="D83" s="28" t="str">
        <x:v>персик</x:v>
      </x:c>
      <x:c r="E83" s="28" t="str">
        <x:v>peach</x:v>
      </x:c>
      <x:c r="F83" s="28" t="str">
        <x:v>Косточковые фрукты</x:v>
      </x:c>
      <x:c r="G83" s="28" t="str">
        <x:v>авокадо</x:v>
      </x:c>
      <x:c r="H83" s="28" t="str">
        <x:v>Avocado | avocado</x:v>
      </x:c>
      <x:c r="I83" s="28" t="str">
        <x:v>Тропические фрукты и жирные матрицы</x:v>
      </x:c>
      <x:c r="J83" s="28" t="str">
        <x:v>сливочный, персиковый, кокосово-лактонный, цветочный, зелёный</x:v>
      </x:c>
      <x:c r="K83" s="28" t="str">
        <x:v>зелёный, травянистый, ореховый, маслянистый и слегка грибной</x:v>
      </x:c>
      <x:c r="L83" s="28" t="str">
        <x:v>γ- и δ-декалактон, γ- и δ-додекалактон, линалоол, бензальдегид, гексаналь, цис-3-гексенол</x:v>
      </x:c>
      <x:c r="M83" s="28" t="str">
        <x:v>гексаналь, (E)-2-гексеналь, 1-гексен-3-он, спирты и продукты окисления липидов</x:v>
      </x:c>
      <x:c r="N83" s="28" t="str">
        <x:v>зелёный</x:v>
      </x:c>
      <x:c r="O83" s="28" t="str">
        <x:v>гексаналь</x:v>
      </x:c>
      <x:c r="P83" s="28" t="str">
        <x:v>прямое или классовое перекрытие характерных одорантов + вкусовой баланс</x:v>
      </x:c>
      <x:c r="Q83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мягкий, жирный, почти несладкий; лёгкая растительная горечь. Баланс корректируется сахаром, кислотой, солью и горечью.</x:v>
      </x:c>
      <x:c r="R83" s="28" t="str">
        <x:v>обычно слабый; кислота даёт свежесть; партнёр: кислотное покалывание зависит от плода; специальные эффекты указаны в паспорте</x:v>
      </x:c>
      <x:c r="S83" s="28" t="str">
        <x:v>сочная пектиновая мякоть; кожица несёт зелёные и цветочные ноты; лактоны хорошо удерживаются жиром и этанолом. Партнёр: высокожировая эмульсия; хорошо растворяет гидрофобные ароматические молекулы.</x:v>
      </x:c>
      <x:c r="T8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U8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В рабочих профилях пересекаются: гексаналь.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мягкий, жирный, почти несладкий; лёгкая растительная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высокожировая эмульсия; хорошо растворяет гидрофобные ароматические молекулы.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V8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83" s="28" t="str">
        <x:v>мёд, цитрус или нейтральная жировая основа</x:v>
      </x:c>
      <x:c r="X83" s="28" t="str">
        <x:v>напиток, соус, десерт или горячее блюдо после пробной дегустации</x:v>
      </x:c>
      <x:c r="Y83" s="28" t="str">
        <x:v>напитки; еда; десерты; соусы/маринады</x:v>
      </x:c>
      <x:c r="Z83" s="28" t="str">
        <x:v>Средняя</x:v>
      </x:c>
      <x:c r="AA83" s="28" t="str">
        <x:v>The Art &amp; Science of Foodpairing.pdf</x:v>
      </x:c>
      <x:c r="AB83" s="28" t="str">
        <x:v>The Art &amp; Science of Foodpairing.pdf: 355 | The Art &amp; Science of Foodpairing.pdf: 260–261</x:v>
      </x:c>
      <x:c r="AC83" s="28" t="str">
        <x:v>Ингредиент «peach» указан на странице профиля/сетки сочетаний «Avocado». Ingredient pairings with peach and nectarine: avocado.</x:v>
      </x:c>
      <x:c r="AD83" s="28" t="n">
        <x:v>1</x:v>
      </x:c>
      <x:c r="AE83" s="28" t="n">
        <x:v>2</x:v>
      </x:c>
      <x:c r="AF83" s="28" t="n">
        <x:f>IF(Z83="Высокая",3,IF(Z83="Средняя",2,1))+AD83*2+MIN(AE83,3)</x:f>
        <x:v>6</x:v>
      </x:c>
    </x:row>
    <x:row r="84" ht="62" customHeight="1">
      <x:c r="A84" s="28" t="str">
        <x:v>STN-0083</x:v>
      </x:c>
      <x:c r="B84" s="28" t="str">
        <x:v>персик</x:v>
      </x:c>
      <x:c r="C84" s="28" t="str">
        <x:v>Напитки</x:v>
      </x:c>
      <x:c r="D84" s="28" t="str">
        <x:v>персик</x:v>
      </x:c>
      <x:c r="E84" s="28" t="str">
        <x:v>peach</x:v>
      </x:c>
      <x:c r="F84" s="28" t="str">
        <x:v>Косточковые фрукты</x:v>
      </x:c>
      <x:c r="G84" s="28" t="str">
        <x:v>амаретто</x:v>
      </x:c>
      <x:c r="H84" s="28" t="str">
        <x:v>Amaretto</x:v>
      </x:c>
      <x:c r="I84" s="28" t="str">
        <x:v>Алкогольные напитки</x:v>
      </x:c>
      <x:c r="J84" s="28" t="str">
        <x:v>сливочный, персиковый, кокосово-лактонный, цветочный, зелёный</x:v>
      </x:c>
      <x:c r="K84" s="28" t="str">
        <x:v>эфирный, фруктовый, цветочный, древесный или ферментативный</x:v>
      </x:c>
      <x:c r="L84" s="28" t="str">
        <x:v>γ- и δ-декалактон, γ- и δ-додекалактон, линалоол, бензальдегид, гексаналь, цис-3-гексенол</x:v>
      </x:c>
      <x:c r="M84" s="28" t="str">
        <x:v>этиловые эфиры, высшие спирты, альдегиды, дубовые лактоны</x:v>
      </x:c>
      <x:c r="N84" s="28" t="str">
        <x:v>цветочный</x:v>
      </x:c>
      <x:c r="O84" s="28" t="str">
        <x:v>надёжный единичный общий маркер не подтверждён; механизм не сводится к одной молекуле</x:v>
      </x:c>
      <x:c r="P84" s="28" t="str">
        <x:v>комплементарность ароматических семейств, вкусовой контраст и матричный эффект</x:v>
      </x:c>
      <x:c r="Q84" s="28" t="str">
        <x:v>Этанол усиливает летучесть лактонов и терпенов; сахар и кислотность должны быть настроены так, чтобы крепость не маскировала плод.</x:v>
      </x:c>
      <x:c r="R84" s="28" t="str">
        <x:v>обычно слабый; кислота даёт свежесть; партнёр: согревание и жжение этанола</x:v>
      </x:c>
      <x:c r="S84" s="28" t="str">
        <x:v>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</x:v>
      </x:c>
      <x:c r="T84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U8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Амаретто относится к группе «Алкогольные напитки» 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По доступным материалам нельзя уверенно свести совместимость к одной общей молекуле. Общие ароматические направления: цветочный.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V84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W84" s="28" t="str">
        <x:v>цитрус, чай или вермут</x:v>
      </x:c>
      <x:c r="X84" s="28" t="str">
        <x:v>коктейль, кордиал, настой, спритц, чайный или кофейный напиток</x:v>
      </x:c>
      <x:c r="Y84" s="28" t="str">
        <x:v>напитки</x:v>
      </x:c>
      <x:c r="Z84" s="28" t="str">
        <x:v>Средняя</x:v>
      </x:c>
      <x:c r="AA84" s="28" t="str">
        <x:v>The Art &amp; Science of Foodpairing.pdf</x:v>
      </x:c>
      <x:c r="AB84" s="28" t="str">
        <x:v>The Art &amp; Science of Foodpairing.pdf: 260–261</x:v>
      </x:c>
      <x:c r="AC84" s="28" t="str">
        <x:v>Ingredient pairings with peach and nectarine: Amaretto.</x:v>
      </x:c>
      <x:c r="AD84" s="28" t="n">
        <x:v>1</x:v>
      </x:c>
      <x:c r="AE84" s="28" t="n">
        <x:v>1</x:v>
      </x:c>
      <x:c r="AF84" s="28" t="n">
        <x:f>IF(Z84="Высокая",3,IF(Z84="Средняя",2,1))+AD84*2+MIN(AE84,3)</x:f>
        <x:v>5</x:v>
      </x:c>
    </x:row>
    <x:row r="85" ht="62" customHeight="1">
      <x:c r="A85" s="28" t="str">
        <x:v>STN-0084</x:v>
      </x:c>
      <x:c r="B85" s="28" t="str">
        <x:v>персик</x:v>
      </x:c>
      <x:c r="C85" s="28" t="str">
        <x:v>Десерты и выпечка</x:v>
      </x:c>
      <x:c r="D85" s="28" t="str">
        <x:v>персик</x:v>
      </x:c>
      <x:c r="E85" s="28" t="str">
        <x:v>peach</x:v>
      </x:c>
      <x:c r="F85" s="28" t="str">
        <x:v>Косточковые фрукты</x:v>
      </x:c>
      <x:c r="G85" s="28" t="str">
        <x:v>апельсин</x:v>
      </x:c>
      <x:c r="H85" s="28" t="str">
        <x:v>Апельсин | апельсин</x:v>
      </x:c>
      <x:c r="I85" s="28" t="str">
        <x:v>Цитрусовые</x:v>
      </x:c>
      <x:c r="J85" s="28" t="str">
        <x:v>сливочный, персиковый, кокосово-лактонный, цветочный, зелёный</x:v>
      </x:c>
      <x:c r="K85" s="28" t="str">
        <x:v>сладкий цитрусовый и цветочный</x:v>
      </x:c>
      <x:c r="L85" s="28" t="str">
        <x:v>γ- и δ-декалактон, γ- и δ-додекалактон, линалоол, бензальдегид, гексаналь, цис-3-гексенол</x:v>
      </x:c>
      <x:c r="M85" s="28" t="str">
        <x:v>лимонен, линалоол, деканаль</x:v>
      </x:c>
      <x:c r="N85" s="28" t="str">
        <x:v>цветочный</x:v>
      </x:c>
      <x:c r="O85" s="28" t="str">
        <x:v>линалоол</x:v>
      </x:c>
      <x:c r="P85" s="28" t="str">
        <x:v>прямое или классовое перекрытие характерных одорантов + вкусовой баланс</x:v>
      </x:c>
      <x:c r="Q85" s="28" t="str">
        <x:v>Близкие фруктовые эфиры создают непрерывность, а различия в кислотности, терпкости и сладости формируют контраст.</x:v>
      </x:c>
      <x:c r="R85" s="28" t="str">
        <x:v>обычно слабый; кислота даёт свежесть; партнёр: кислота даёт покалывание и ощущение свежести</x:v>
      </x:c>
      <x:c r="S85" s="28" t="str">
        <x:v>сочная пектиновая мякоть; кожица несёт зелёные и цветочные ноты; лактоны хорошо удерживаются жиром и этанолом. Партнёр: сок водный и кислый, цедра содержит гидрофобные эфирные масла.</x:v>
      </x:c>
      <x:c r="T8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8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 и кислый, цедра содержит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8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85" s="28" t="str">
        <x:v>ваниль, мёд или розмарин</x:v>
      </x:c>
      <x:c r="X85" s="28" t="str">
        <x:v>сорбет, салат, джем, кордиал, лимонад, коктейль или фруктовый соус</x:v>
      </x:c>
      <x:c r="Y85" s="28" t="str">
        <x:v>напитки; десерты; соусы/маринады</x:v>
      </x:c>
      <x:c r="Z85" s="28" t="str">
        <x:v>Средняя</x:v>
      </x:c>
      <x:c r="AA85" s="28" t="str">
        <x:v>Тезариус вкусов (Ники Сегнит)(1).pdf</x:v>
      </x:c>
      <x:c r="AB85" s="28" t="str">
        <x:v>Тезариус вкусов (Ники Сегнит)(1).pdf: Тезариус вкусов (Ники Сегнит)(1).pdf: 747, 779 | Тезариус вкусов (Ники Сегнит)(1).pdf: 747 | Тезариус вкусов (Ники Сегнит)(1).pdf: 779</x:v>
      </x:c>
      <x:c r="AC85" s="28" t="str">
        <x:v>Апельсин делает вкус персика ярче. Пример – коктейль Fuzzy Navel («Волосатый пупок»), который делают из апельсинового сока и персикового шнапса. Персик и апельсин. Апельсин делает вкус персика Апельсин и персик. См. Персик и апельсин</x:v>
      </x:c>
      <x:c r="AD85" s="28" t="n">
        <x:v>1</x:v>
      </x:c>
      <x:c r="AE85" s="28" t="n">
        <x:v>3</x:v>
      </x:c>
      <x:c r="AF85" s="28" t="n">
        <x:f>IF(Z85="Высокая",3,IF(Z85="Средняя",2,1))+AD85*2+MIN(AE85,3)</x:f>
        <x:v>7</x:v>
      </x:c>
    </x:row>
    <x:row r="86" ht="62" customHeight="1">
      <x:c r="A86" s="28" t="str">
        <x:v>STN-0085</x:v>
      </x:c>
      <x:c r="B86" s="28" t="str">
        <x:v>персик</x:v>
      </x:c>
      <x:c r="C86" s="28" t="str">
        <x:v>Универсальные</x:v>
      </x:c>
      <x:c r="D86" s="28" t="str">
        <x:v>персик</x:v>
      </x:c>
      <x:c r="E86" s="28" t="str">
        <x:v>peach</x:v>
      </x:c>
      <x:c r="F86" s="28" t="str">
        <x:v>Косточковые фрукты</x:v>
      </x:c>
      <x:c r="G86" s="28" t="str">
        <x:v>бадьян</x:v>
      </x:c>
      <x:c r="H86" s="28" t="str">
        <x:v>star anise</x:v>
      </x:c>
      <x:c r="I86" s="28" t="str">
        <x:v>Специи и острые компоненты</x:v>
      </x:c>
      <x:c r="J86" s="28" t="str">
        <x:v>сливочный, персиковый, кокосово-лактонный, цветочный, зелёный</x:v>
      </x:c>
      <x:c r="K86" s="28" t="str">
        <x:v>пряный, древесный, тёплый, цитрусовый или анисовый</x:v>
      </x:c>
      <x:c r="L86" s="28" t="str">
        <x:v>γ- и δ-декалактон, γ- и δ-додекалактон, линалоол, бензальдегид, гексаналь, цис-3-гексенол</x:v>
      </x:c>
      <x:c r="M86" s="28" t="str">
        <x:v>эвгенол, коричный альдегид, анетол, терпинилацетат</x:v>
      </x:c>
      <x:c r="N86" s="28" t="str">
        <x:v>прямое семейное перекрытие не является главным механизмом</x:v>
      </x:c>
      <x:c r="O86" s="28" t="str">
        <x:v>надёжный единичный общий маркер не подтверждён; механизм не сводится к одной молекуле</x:v>
      </x:c>
      <x:c r="P86" s="28" t="str">
        <x:v>комплементарность ароматических семейств, вкусовой контраст и матричный эффект</x:v>
      </x:c>
      <x:c r="Q86" s="28" t="str">
        <x:v>Сладость и кислота фрукта смягчают остроту и горечь специи, а пряный компонент удлиняет ароматическое послевкусие.</x:v>
      </x:c>
      <x:c r="R86" s="28" t="str">
        <x:v>обычно слабый; кислота даёт свежесть; партнёр: капсаицин, пиперин, гингеролы и камфорные терпены создают жжение, тепло или охлаждение</x:v>
      </x:c>
      <x:c r="S86" s="28" t="str">
        <x:v>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</x:v>
      </x:c>
      <x:c r="T86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8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Бадьян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86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W86" s="28" t="str">
        <x:v>мёд, цитрус или миндаль</x:v>
      </x:c>
      <x:c r="X86" s="28" t="str">
        <x:v>напиток, соус, десерт или горячее блюдо после пробной дегустации</x:v>
      </x:c>
      <x:c r="Y86" s="28" t="str">
        <x:v>напитки; еда; десерты; соусы/маринады</x:v>
      </x:c>
      <x:c r="Z86" s="28" t="str">
        <x:v>Средняя</x:v>
      </x:c>
      <x:c r="AA86" s="28" t="str">
        <x:v>The Art &amp; Science of Foodpairing.pdf</x:v>
      </x:c>
      <x:c r="AB86" s="28" t="str">
        <x:v>The Art &amp; Science of Foodpairing.pdf: 260–261</x:v>
      </x:c>
      <x:c r="AC86" s="28" t="str">
        <x:v>Ingredient pairings with peach and nectarine: star anise.</x:v>
      </x:c>
      <x:c r="AD86" s="28" t="n">
        <x:v>1</x:v>
      </x:c>
      <x:c r="AE86" s="28" t="n">
        <x:v>1</x:v>
      </x:c>
      <x:c r="AF86" s="28" t="n">
        <x:f>IF(Z86="Высокая",3,IF(Z86="Средняя",2,1))+AD86*2+MIN(AE86,3)</x:f>
        <x:v>5</x:v>
      </x:c>
    </x:row>
    <x:row r="87" ht="62" customHeight="1">
      <x:c r="A87" s="28" t="str">
        <x:v>STN-0086</x:v>
      </x:c>
      <x:c r="B87" s="28" t="str">
        <x:v>персик</x:v>
      </x:c>
      <x:c r="C87" s="28" t="str">
        <x:v>Универсальные</x:v>
      </x:c>
      <x:c r="D87" s="28" t="str">
        <x:v>персик</x:v>
      </x:c>
      <x:c r="E87" s="28" t="str">
        <x:v>peach</x:v>
      </x:c>
      <x:c r="F87" s="28" t="str">
        <x:v>Косточковые фрукты</x:v>
      </x:c>
      <x:c r="G87" s="28" t="str">
        <x:v>базилик</x:v>
      </x:c>
      <x:c r="H87" s="28" t="str">
        <x:v>базилик</x:v>
      </x:c>
      <x:c r="I87" s="28" t="str">
        <x:v>Травы и цветы</x:v>
      </x:c>
      <x:c r="J87" s="28" t="str">
        <x:v>сливочный, персиковый, кокосово-лактонный, цветочный, зелёный</x:v>
      </x:c>
      <x:c r="K87" s="28" t="str">
        <x:v>зелёный, цветочный и пряный</x:v>
      </x:c>
      <x:c r="L87" s="28" t="str">
        <x:v>γ- и δ-декалактон, γ- и δ-додекалактон, линалоол, бензальдегид, гексаналь, цис-3-гексенол</x:v>
      </x:c>
      <x:c r="M87" s="28" t="str">
        <x:v>линалоол, эвгенол, метилхавикол</x:v>
      </x:c>
      <x:c r="N87" s="28" t="str">
        <x:v>цветочный, зелёный</x:v>
      </x:c>
      <x:c r="O87" s="28" t="str">
        <x:v>линалоол</x:v>
      </x:c>
      <x:c r="P87" s="28" t="str">
        <x:v>прямое или классовое перекрытие характерных одорантов + вкусовой баланс</x:v>
      </x:c>
      <x:c r="Q87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87" s="28" t="str">
        <x:v>обычно слабый; кислота даёт свежесть; партнёр: у мяты возможен холодящий эффект ментола; у некоторых трав — камфорность</x:v>
      </x:c>
      <x:c r="S87" s="28" t="str">
        <x:v>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</x:v>
      </x:c>
      <x:c r="T8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8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8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87" s="28" t="str">
        <x:v>мёд, цитрус или нейтральная жировая основа</x:v>
      </x:c>
      <x:c r="X87" s="28" t="str">
        <x:v>напиток, соус, десерт или горячее блюдо после пробной дегустации</x:v>
      </x:c>
      <x:c r="Y87" s="28" t="str">
        <x:v>напитки; еда; десерты; соусы/маринады</x:v>
      </x:c>
      <x:c r="Z87" s="28" t="str">
        <x:v>Гипотеза / практическая</x:v>
      </x:c>
      <x:c r="AA87" s="28" t="str">
        <x:v>Таблица сочетания(1).pdf</x:v>
      </x:c>
      <x:c r="AB87" s="28" t="str">
        <x:v>Таблица сочетания(1).pdf: 15</x:v>
      </x:c>
      <x:c r="AC87" s="28" t="str">
        <x:v>Пара указана в строке «Персик» → колонка «Травы и специи».</x:v>
      </x:c>
      <x:c r="AD87" s="28" t="n">
        <x:v>1</x:v>
      </x:c>
      <x:c r="AE87" s="28" t="n">
        <x:v>1</x:v>
      </x:c>
      <x:c r="AF87" s="28" t="n">
        <x:f>IF(Z87="Высокая",3,IF(Z87="Средняя",2,1))+AD87*2+MIN(AE87,3)</x:f>
        <x:v>4</x:v>
      </x:c>
    </x:row>
    <x:row r="88" ht="62" customHeight="1">
      <x:c r="A88" s="28" t="str">
        <x:v>STN-0087</x:v>
      </x:c>
      <x:c r="B88" s="28" t="str">
        <x:v>персик</x:v>
      </x:c>
      <x:c r="C88" s="28" t="str">
        <x:v>Еда и соусы</x:v>
      </x:c>
      <x:c r="D88" s="28" t="str">
        <x:v>персик</x:v>
      </x:c>
      <x:c r="E88" s="28" t="str">
        <x:v>peach</x:v>
      </x:c>
      <x:c r="F88" s="28" t="str">
        <x:v>Косточковые фрукты</x:v>
      </x:c>
      <x:c r="G88" s="28" t="str">
        <x:v>байонская ветчина</x:v>
      </x:c>
      <x:c r="H88" s="28" t="str">
        <x:v>Bayonne ham</x:v>
      </x:c>
      <x:c r="I88" s="28" t="str">
        <x:v>Мясо и птица</x:v>
      </x:c>
      <x:c r="J88" s="28" t="str">
        <x:v>сливочный, персиковый, кокосово-лактонный, цветочный, зелёный</x:v>
      </x:c>
      <x:c r="K88" s="28" t="str">
        <x:v>жареный, мясной, жирный, иногда копчёный и пряный</x:v>
      </x:c>
      <x:c r="L88" s="28" t="str">
        <x:v>γ- и δ-декалактон, γ- и δ-додекалактон, линалоол, бензальдегид, гексаналь, цис-3-гексенол</x:v>
      </x:c>
      <x:c r="M88" s="28" t="str">
        <x:v>пиразины, фураны, сернистые соединения, продукты Майяра, жирные альдегиды</x:v>
      </x:c>
      <x:c r="N88" s="28" t="str">
        <x:v>прямое семейное перекрытие не является главным механизмом</x:v>
      </x:c>
      <x:c r="O88" s="28" t="str">
        <x:v>надёжный единичный общий маркер не подтверждён; механизм не сводится к одной молекуле</x:v>
      </x:c>
      <x:c r="P88" s="28" t="str">
        <x:v>комплементарность ароматических семейств, вкусовой контраст и матричный эффект</x:v>
      </x:c>
      <x:c r="Q88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88" s="28" t="str">
        <x:v>обычно слабый; кислота даёт свежесть; партнёр: тепловой/пряный зависит от обработки</x:v>
      </x:c>
      <x:c r="S88" s="28" t="str">
        <x:v>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</x:v>
      </x:c>
      <x:c r="T88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U8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Байонская ветчина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V88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W88" s="28" t="str">
        <x:v>розмарин, горчица или хересный уксус</x:v>
      </x:c>
      <x:c r="X88" s="28" t="str">
        <x:v>соус, глазировка, чатни, маринад, гарнир или основное блюдо</x:v>
      </x:c>
      <x:c r="Y88" s="28" t="str">
        <x:v>еда; соусы/маринады</x:v>
      </x:c>
      <x:c r="Z88" s="28" t="str">
        <x:v>Средняя</x:v>
      </x:c>
      <x:c r="AA88" s="28" t="str">
        <x:v>The Art &amp; Science of Foodpairing.pdf</x:v>
      </x:c>
      <x:c r="AB88" s="28" t="str">
        <x:v>The Art &amp; Science of Foodpairing.pdf: 260–261</x:v>
      </x:c>
      <x:c r="AC88" s="28" t="str">
        <x:v>Ingredient pairings with peach and nectarine: Bayonne ham.</x:v>
      </x:c>
      <x:c r="AD88" s="28" t="n">
        <x:v>1</x:v>
      </x:c>
      <x:c r="AE88" s="28" t="n">
        <x:v>1</x:v>
      </x:c>
      <x:c r="AF88" s="28" t="n">
        <x:f>IF(Z88="Высокая",3,IF(Z88="Средняя",2,1))+AD88*2+MIN(AE88,3)</x:f>
        <x:v>5</x:v>
      </x:c>
    </x:row>
    <x:row r="89" ht="62" customHeight="1">
      <x:c r="A89" s="28" t="str">
        <x:v>STN-0088</x:v>
      </x:c>
      <x:c r="B89" s="28" t="str">
        <x:v>персик</x:v>
      </x:c>
      <x:c r="C89" s="28" t="str">
        <x:v>Еда и соусы</x:v>
      </x:c>
      <x:c r="D89" s="28" t="str">
        <x:v>персик</x:v>
      </x:c>
      <x:c r="E89" s="28" t="str">
        <x:v>peach</x:v>
      </x:c>
      <x:c r="F89" s="28" t="str">
        <x:v>Косточковые фрукты</x:v>
      </x:c>
      <x:c r="G89" s="28" t="str">
        <x:v>баранина на гриле</x:v>
      </x:c>
      <x:c r="H89" s="28" t="str">
        <x:v>grilled lamb</x:v>
      </x:c>
      <x:c r="I89" s="28" t="str">
        <x:v>Мясо и птица</x:v>
      </x:c>
      <x:c r="J89" s="28" t="str">
        <x:v>сливочный, персиковый, кокосово-лактонный, цветочный, зелёный</x:v>
      </x:c>
      <x:c r="K89" s="28" t="str">
        <x:v>жареный, жирный, сернистый, умами</x:v>
      </x:c>
      <x:c r="L89" s="28" t="str">
        <x:v>γ- и δ-декалактон, γ- и δ-додекалактон, линалоол, бензальдегид, гексаналь, цис-3-гексенол</x:v>
      </x:c>
      <x:c r="M89" s="28" t="str">
        <x:v>альдегиды, пиразины, сернистые соединения</x:v>
      </x:c>
      <x:c r="N89" s="28" t="str">
        <x:v>прямое семейное перекрытие не является главным механизмом</x:v>
      </x:c>
      <x:c r="O89" s="28" t="str">
        <x:v>надёжный единичный общий маркер не подтверждён; механизм не сводится к одной молекуле</x:v>
      </x:c>
      <x:c r="P89" s="28" t="str">
        <x:v>комплементарность ароматических семейств, вкусовой контраст и матричный эффект</x:v>
      </x:c>
      <x:c r="Q89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89" s="28" t="str">
        <x:v>обычно слабый; кислота даёт свежесть; партнёр: обычно отсутствует; зависит от конкретного продукта</x:v>
      </x:c>
      <x:c r="S89" s="28" t="str">
        <x:v>сочная пектиновая мякоть; кожица несёт зелёные и цветочные ноты; лактоны хорошо удерживаются жиром и этанолом. Партнёр: жир переносит аромат; реакция Майяра создаёт новые одоранты.</x:v>
      </x:c>
      <x:c r="T89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U8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Баранина на гриле относится к группе «Мясо и птица» и даёт профиль «жареный, жирный, сернистый, умами»; типичные соединения или классы: альдегиды, пиразины,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переносит аромат; реакция Майяра создаёт новые одоранты.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V89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W89" s="28" t="str">
        <x:v>розмарин, горчица или хересный уксус</x:v>
      </x:c>
      <x:c r="X89" s="28" t="str">
        <x:v>соус, глазировка, чатни, маринад, гарнир или основное блюдо</x:v>
      </x:c>
      <x:c r="Y89" s="28" t="str">
        <x:v>еда; соусы/маринады</x:v>
      </x:c>
      <x:c r="Z89" s="28" t="str">
        <x:v>Средняя</x:v>
      </x:c>
      <x:c r="AA89" s="28" t="str">
        <x:v>The Art &amp; Science of Foodpairing.pdf</x:v>
      </x:c>
      <x:c r="AB89" s="28" t="str">
        <x:v>The Art &amp; Science of Foodpairing.pdf: 260–261</x:v>
      </x:c>
      <x:c r="AC89" s="28" t="str">
        <x:v>Ingredient pairings with peach and nectarine: grilled lamb.</x:v>
      </x:c>
      <x:c r="AD89" s="28" t="n">
        <x:v>1</x:v>
      </x:c>
      <x:c r="AE89" s="28" t="n">
        <x:v>1</x:v>
      </x:c>
      <x:c r="AF89" s="28" t="n">
        <x:f>IF(Z89="Высокая",3,IF(Z89="Средняя",2,1))+AD89*2+MIN(AE89,3)</x:f>
        <x:v>5</x:v>
      </x:c>
    </x:row>
    <x:row r="90" ht="62" customHeight="1">
      <x:c r="A90" s="28" t="str">
        <x:v>STN-0089</x:v>
      </x:c>
      <x:c r="B90" s="28" t="str">
        <x:v>персик</x:v>
      </x:c>
      <x:c r="C90" s="28" t="str">
        <x:v>Десерты и выпечка</x:v>
      </x:c>
      <x:c r="D90" s="28" t="str">
        <x:v>персик</x:v>
      </x:c>
      <x:c r="E90" s="28" t="str">
        <x:v>peach</x:v>
      </x:c>
      <x:c r="F90" s="28" t="str">
        <x:v>Косточковые фрукты</x:v>
      </x:c>
      <x:c r="G90" s="28" t="str">
        <x:v>бейгл</x:v>
      </x:c>
      <x:c r="H90" s="28" t="str">
        <x:v>bagel</x:v>
      </x:c>
      <x:c r="I90" s="28" t="str">
        <x:v>Злаки и выпечка</x:v>
      </x:c>
      <x:c r="J90" s="28" t="str">
        <x:v>сливочный, персиковый, кокосово-лактонный, цветочный, зелёный</x:v>
      </x:c>
      <x:c r="K90" s="28" t="str">
        <x:v>хлебный, зерновой, жареный, сливочный</x:v>
      </x:c>
      <x:c r="L90" s="28" t="str">
        <x:v>γ- и δ-декалактон, γ- и δ-додекалактон, линалоол, бензальдегид, гексаналь, цис-3-гексенол</x:v>
      </x:c>
      <x:c r="M90" s="28" t="str">
        <x:v>пиразины, фураны, мальтол, продукты Майяра</x:v>
      </x:c>
      <x:c r="N90" s="28" t="str">
        <x:v>сливочный</x:v>
      </x:c>
      <x:c r="O90" s="28" t="str">
        <x:v>надёжный единичный общий маркер не подтверждён; механизм не сводится к одной молекуле</x:v>
      </x:c>
      <x:c r="P90" s="28" t="str">
        <x:v>комплементарность ароматических семейств, вкусовой контраст и матричный эффект</x:v>
      </x:c>
      <x:c r="Q90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</x:v>
      </x:c>
      <x:c r="R90" s="28" t="str">
        <x:v>обычно слабый; кислота даёт свежесть; партнёр: нет выраженного</x:v>
      </x:c>
      <x:c r="S90" s="28" t="str">
        <x:v>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</x:v>
      </x:c>
      <x:c r="T9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9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Бейгл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9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90" s="28" t="str">
        <x:v>сливочное масло, ваниль или орех</x:v>
      </x:c>
      <x:c r="X90" s="28" t="str">
        <x:v>тарт, крем, мороженое, выпечка, сырная подача или начинка</x:v>
      </x:c>
      <x:c r="Y90" s="28" t="str">
        <x:v>десерты; еда</x:v>
      </x:c>
      <x:c r="Z90" s="28" t="str">
        <x:v>Средняя</x:v>
      </x:c>
      <x:c r="AA90" s="28" t="str">
        <x:v>The Art &amp; Science of Foodpairing.pdf</x:v>
      </x:c>
      <x:c r="AB90" s="28" t="str">
        <x:v>The Art &amp; Science of Foodpairing.pdf: 260–261</x:v>
      </x:c>
      <x:c r="AC90" s="28" t="str">
        <x:v>Ingredient pairings with peach and nectarine: bagel.</x:v>
      </x:c>
      <x:c r="AD90" s="28" t="n">
        <x:v>1</x:v>
      </x:c>
      <x:c r="AE90" s="28" t="n">
        <x:v>1</x:v>
      </x:c>
      <x:c r="AF90" s="28" t="n">
        <x:f>IF(Z90="Высокая",3,IF(Z90="Средняя",2,1))+AD90*2+MIN(AE90,3)</x:f>
        <x:v>5</x:v>
      </x:c>
    </x:row>
    <x:row r="91" ht="62" customHeight="1">
      <x:c r="A91" s="28" t="str">
        <x:v>STN-0090</x:v>
      </x:c>
      <x:c r="B91" s="28" t="str">
        <x:v>персик</x:v>
      </x:c>
      <x:c r="C91" s="28" t="str">
        <x:v>Десерты и выпечка</x:v>
      </x:c>
      <x:c r="D91" s="28" t="str">
        <x:v>персик</x:v>
      </x:c>
      <x:c r="E91" s="28" t="str">
        <x:v>peach</x:v>
      </x:c>
      <x:c r="F91" s="28" t="str">
        <x:v>Косточковые фрукты</x:v>
      </x:c>
      <x:c r="G91" s="28" t="str">
        <x:v>белый тостовый хлеб</x:v>
      </x:c>
      <x:c r="H91" s="28" t="str">
        <x:v>white toasting bread</x:v>
      </x:c>
      <x:c r="I91" s="28" t="str">
        <x:v>Злаки и выпечка</x:v>
      </x:c>
      <x:c r="J91" s="28" t="str">
        <x:v>сливочный, персиковый, кокосово-лактонный, цветочный, зелёный</x:v>
      </x:c>
      <x:c r="K91" s="28" t="str">
        <x:v>хлебный, зерновой, жареный, сливочный</x:v>
      </x:c>
      <x:c r="L91" s="28" t="str">
        <x:v>γ- и δ-декалактон, γ- и δ-додекалактон, линалоол, бензальдегид, гексаналь, цис-3-гексенол</x:v>
      </x:c>
      <x:c r="M91" s="28" t="str">
        <x:v>пиразины, фураны, мальтол, продукты Майяра</x:v>
      </x:c>
      <x:c r="N91" s="28" t="str">
        <x:v>сливочный</x:v>
      </x:c>
      <x:c r="O91" s="28" t="str">
        <x:v>надёжный единичный общий маркер не подтверждён; механизм не сводится к одной молекуле</x:v>
      </x:c>
      <x:c r="P91" s="28" t="str">
        <x:v>комплементарность ароматических семейств, вкусовой контраст и матричный эффект</x:v>
      </x:c>
      <x:c r="Q91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</x:v>
      </x:c>
      <x:c r="R91" s="28" t="str">
        <x:v>обычно слабый; кислота даёт свежесть; партнёр: нет выраженного</x:v>
      </x:c>
      <x:c r="S91" s="28" t="str">
        <x:v>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</x:v>
      </x:c>
      <x:c r="T9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9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Белый тостовый хлеб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9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91" s="28" t="str">
        <x:v>сливочное масло, ваниль или орех</x:v>
      </x:c>
      <x:c r="X91" s="28" t="str">
        <x:v>тарт, крем, мороженое, выпечка, сырная подача или начинка</x:v>
      </x:c>
      <x:c r="Y91" s="28" t="str">
        <x:v>десерты; еда</x:v>
      </x:c>
      <x:c r="Z91" s="28" t="str">
        <x:v>Средняя</x:v>
      </x:c>
      <x:c r="AA91" s="28" t="str">
        <x:v>The Art &amp; Science of Foodpairing.pdf</x:v>
      </x:c>
      <x:c r="AB91" s="28" t="str">
        <x:v>The Art &amp; Science of Foodpairing.pdf: 260–261</x:v>
      </x:c>
      <x:c r="AC91" s="28" t="str">
        <x:v>Ingredient pairings with peach and nectarine: white toasting bread.</x:v>
      </x:c>
      <x:c r="AD91" s="28" t="n">
        <x:v>1</x:v>
      </x:c>
      <x:c r="AE91" s="28" t="n">
        <x:v>1</x:v>
      </x:c>
      <x:c r="AF91" s="28" t="n">
        <x:f>IF(Z91="Высокая",3,IF(Z91="Средняя",2,1))+AD91*2+MIN(AE91,3)</x:f>
        <x:v>5</x:v>
      </x:c>
    </x:row>
    <x:row r="92" ht="62" customHeight="1">
      <x:c r="A92" s="28" t="str">
        <x:v>STN-0091</x:v>
      </x:c>
      <x:c r="B92" s="28" t="str">
        <x:v>персик</x:v>
      </x:c>
      <x:c r="C92" s="28" t="str">
        <x:v>Десерты и выпечка</x:v>
      </x:c>
      <x:c r="D92" s="28" t="str">
        <x:v>персик</x:v>
      </x:c>
      <x:c r="E92" s="28" t="str">
        <x:v>peach</x:v>
      </x:c>
      <x:c r="F92" s="28" t="str">
        <x:v>Косточковые фрукты</x:v>
      </x:c>
      <x:c r="G92" s="28" t="str">
        <x:v>бергамот</x:v>
      </x:c>
      <x:c r="H92" s="28" t="str">
        <x:v>bergamot orange</x:v>
      </x:c>
      <x:c r="I92" s="28" t="str">
        <x:v>Цитрусовые</x:v>
      </x:c>
      <x:c r="J92" s="28" t="str">
        <x:v>сливочный, персиковый, кокосово-лактонный, цветочный, зелёный</x:v>
      </x:c>
      <x:c r="K92" s="28" t="str">
        <x:v>зелёный, цветочный, цитрусовый</x:v>
      </x:c>
      <x:c r="L92" s="28" t="str">
        <x:v>γ- и δ-декалактон, γ- и δ-додекалактон, линалоол, бензальдегид, гексаналь, цис-3-гексенол</x:v>
      </x:c>
      <x:c r="M92" s="28" t="str">
        <x:v>лимонен, линалоол, цитраль</x:v>
      </x:c>
      <x:c r="N92" s="28" t="str">
        <x:v>цветочный, зелёный</x:v>
      </x:c>
      <x:c r="O92" s="28" t="str">
        <x:v>линалоол</x:v>
      </x:c>
      <x:c r="P92" s="28" t="str">
        <x:v>прямое или классовое перекрытие характерных одорантов + вкусовой баланс</x:v>
      </x:c>
      <x:c r="Q92" s="28" t="str">
        <x:v>Близкие фруктовые эфиры создают непрерывность, а различия в кислотности, терпкости и сладости формируют контраст.</x:v>
      </x:c>
      <x:c r="R92" s="28" t="str">
        <x:v>обычно слабый; кислота даёт свежесть; партнёр: обычно отсутствует; зависит от конкретного продукта</x:v>
      </x:c>
      <x:c r="S92" s="28" t="str">
        <x:v>сочная пектиновая мякоть; кожица несёт зелёные и цветочные ноты; лактоны хорошо удерживаются жиром и этанолом. Партнёр: вода и эфирные масла; цедра гидрофобна.</x:v>
      </x:c>
      <x:c r="T9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9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Бергамот относится к группе «Цитрусовые» и даёт профиль «зелёный, цветочный, цитрусовый»; типичные соединения или классы: лимонен, линалоол, цитраль.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вода и эфирные масла; цедра гидрофобна.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9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92" s="28" t="str">
        <x:v>ваниль, мёд или розмарин</x:v>
      </x:c>
      <x:c r="X92" s="28" t="str">
        <x:v>сорбет, салат, джем, кордиал, лимонад, коктейль или фруктовый соус</x:v>
      </x:c>
      <x:c r="Y92" s="28" t="str">
        <x:v>напитки; десерты; соусы/маринады</x:v>
      </x:c>
      <x:c r="Z92" s="28" t="str">
        <x:v>Средняя</x:v>
      </x:c>
      <x:c r="AA92" s="28" t="str">
        <x:v>The Art &amp; Science of Foodpairing.pdf</x:v>
      </x:c>
      <x:c r="AB92" s="28" t="str">
        <x:v>The Art &amp; Science of Foodpairing.pdf: 260–261</x:v>
      </x:c>
      <x:c r="AC92" s="28" t="str">
        <x:v>Ingredient pairings with peach and nectarine: bergamot orange.</x:v>
      </x:c>
      <x:c r="AD92" s="28" t="n">
        <x:v>1</x:v>
      </x:c>
      <x:c r="AE92" s="28" t="n">
        <x:v>1</x:v>
      </x:c>
      <x:c r="AF92" s="28" t="n">
        <x:f>IF(Z92="Высокая",3,IF(Z92="Средняя",2,1))+AD92*2+MIN(AE92,3)</x:f>
        <x:v>5</x:v>
      </x:c>
    </x:row>
    <x:row r="93" ht="62" customHeight="1">
      <x:c r="A93" s="28" t="str">
        <x:v>STN-0092</x:v>
      </x:c>
      <x:c r="B93" s="28" t="str">
        <x:v>персик</x:v>
      </x:c>
      <x:c r="C93" s="28" t="str">
        <x:v>Универсальные</x:v>
      </x:c>
      <x:c r="D93" s="28" t="str">
        <x:v>персик</x:v>
      </x:c>
      <x:c r="E93" s="28" t="str">
        <x:v>peach</x:v>
      </x:c>
      <x:c r="F93" s="28" t="str">
        <x:v>Косточковые фрукты</x:v>
      </x:c>
      <x:c r="G93" s="28" t="str">
        <x:v>бриошь</x:v>
      </x:c>
      <x:c r="H93" s="28" t="str">
        <x:v>brioche</x:v>
      </x:c>
      <x:c r="I93" s="28" t="str">
        <x:v>Злаки, хлеб и выпечка</x:v>
      </x:c>
      <x:c r="J93" s="28" t="str">
        <x:v>сливочный, персиковый, кокосово-лактонный, цветочный, зелёный</x:v>
      </x:c>
      <x:c r="K93" s="28" t="str">
        <x:v>хлебный, зерновой, ореховый, жареный и карамельный</x:v>
      </x:c>
      <x:c r="L93" s="28" t="str">
        <x:v>γ- и δ-декалактон, γ- и δ-додекалактон, линалоол, бензальдегид, гексаналь, цис-3-гексенол</x:v>
      </x:c>
      <x:c r="M93" s="28" t="str">
        <x:v>2-ацетил-1-пирролин, пиразины, фураны, мальтол</x:v>
      </x:c>
      <x:c r="N93" s="28" t="str">
        <x:v>прямое семейное перекрытие не является главным механизмом</x:v>
      </x:c>
      <x:c r="O93" s="28" t="str">
        <x:v>надёжный единичный общий маркер не подтверждён; механизм не сводится к одной молекуле</x:v>
      </x:c>
      <x:c r="P93" s="28" t="str">
        <x:v>комплементарность ароматических семейств, вкусовой контраст и матричный эффект</x:v>
      </x:c>
      <x:c r="Q93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крахмалистость, лёгкая сладость и жареная горечь. Баланс корректируется сахаром, кислотой, солью и горечью.</x:v>
      </x:c>
      <x:c r="R93" s="28" t="str">
        <x:v>обычно слабый; кислота даёт свежесть; партнёр: отсутствует</x:v>
      </x:c>
      <x:c r="S93" s="28" t="str">
        <x:v>сочная пектиновая мякоть; кожица несёт зелёные и цветочные ноты; лактоны хорошо удерживаются жиром и этанолом. Партнёр: крахмал и клетчатка смягчают кислоту и поглощают ароматические соусы.</x:v>
      </x:c>
      <x:c r="T9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U9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Бриошь относится к группе «Злаки, хлеб и выпечка» и даёт профиль «хлебный, зерновой, ореховый, жареный и карамельный»; типичные соединения или классы: 2-ацетил-1-пирролин, пиразины, фураны, мальтол.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крахмалистость, лёгкая сладость и жареная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 и клетчатка смягчают кислоту и поглощают ароматические соусы.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V9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93" s="28" t="str">
        <x:v>мёд, цитрус или нейтральная жировая основа</x:v>
      </x:c>
      <x:c r="X93" s="28" t="str">
        <x:v>напиток, соус, десерт или горячее блюдо после пробной дегустации</x:v>
      </x:c>
      <x:c r="Y93" s="28" t="str">
        <x:v>напитки; еда; десерты; соусы/маринады</x:v>
      </x:c>
      <x:c r="Z93" s="28" t="str">
        <x:v>Средняя</x:v>
      </x:c>
      <x:c r="AA93" s="28" t="str">
        <x:v>The Art &amp; Science of Foodpairing.pdf</x:v>
      </x:c>
      <x:c r="AB93" s="28" t="str">
        <x:v>The Art &amp; Science of Foodpairing.pdf: 260–261</x:v>
      </x:c>
      <x:c r="AC93" s="28" t="str">
        <x:v>Ingredient pairings with peach and nectarine: brioche.</x:v>
      </x:c>
      <x:c r="AD93" s="28" t="n">
        <x:v>1</x:v>
      </x:c>
      <x:c r="AE93" s="28" t="n">
        <x:v>1</x:v>
      </x:c>
      <x:c r="AF93" s="28" t="n">
        <x:f>IF(Z93="Высокая",3,IF(Z93="Средняя",2,1))+AD93*2+MIN(AE93,3)</x:f>
        <x:v>5</x:v>
      </x:c>
    </x:row>
    <x:row r="94" ht="62" customHeight="1">
      <x:c r="A94" s="28" t="str">
        <x:v>STN-0093</x:v>
      </x:c>
      <x:c r="B94" s="28" t="str">
        <x:v>персик</x:v>
      </x:c>
      <x:c r="C94" s="28" t="str">
        <x:v>Универсальные</x:v>
      </x:c>
      <x:c r="D94" s="28" t="str">
        <x:v>персик</x:v>
      </x:c>
      <x:c r="E94" s="28" t="str">
        <x:v>peach</x:v>
      </x:c>
      <x:c r="F94" s="28" t="str">
        <x:v>Косточковые фрукты</x:v>
      </x:c>
      <x:c r="G94" s="28" t="str">
        <x:v>бузина</x:v>
      </x:c>
      <x:c r="H94" s="28" t="str">
        <x:v>Бузина | Бузина (цветки бузины)</x:v>
      </x:c>
      <x:c r="I94" s="28" t="str">
        <x:v>Ягоды и производные</x:v>
      </x:c>
      <x:c r="J94" s="28" t="str">
        <x:v>сливочный, персиковый, кокосово-лактонный, цветочный, зелёный</x:v>
      </x:c>
      <x:c r="K94" s="28" t="str">
        <x:v>зелёный, тёмно-фруктовый, цветочный</x:v>
      </x:c>
      <x:c r="L94" s="28" t="str">
        <x:v>γ- и δ-декалактон, γ- и δ-додекалактон, линалоол, бензальдегид, гексаналь, цис-3-гексенол</x:v>
      </x:c>
      <x:c r="M94" s="28" t="str">
        <x:v>альдегиды, терпены, эфиры</x:v>
      </x:c>
      <x:c r="N94" s="28" t="str">
        <x:v>цветочный, зелёный</x:v>
      </x:c>
      <x:c r="O94" s="28" t="str">
        <x:v>надёжный единичный общий маркер не подтверждён; механизм не сводится к одной молекуле</x:v>
      </x:c>
      <x:c r="P94" s="28" t="str">
        <x:v>комплементарность ароматических семейств, вкусовой контраст и матричный эффект</x:v>
      </x:c>
      <x:c r="Q94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кисло-сладкий, терпкий. Баланс корректируется сахаром, кислотой, солью и горечью.</x:v>
      </x:c>
      <x:c r="R94" s="28" t="str">
        <x:v>обычно слабый; кислота даёт свежесть; партнёр: обычно отсутствует; зависит от конкретного продукта</x:v>
      </x:c>
      <x:c r="S94" s="28" t="str">
        <x:v>сочная пектиновая мякоть; кожица несёт зелёные и цветочные ноты; лактоны хорошо удерживаются жиром и этанолом. Партнёр: ягоды обычно требуют термообработки; цветы и ягоды имеют разные профили.</x:v>
      </x:c>
      <x:c r="T9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U9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Бузина относится к группе «Ягоды и производные» и даёт профиль «зелёный, тёмно-фруктовый, цветочный»; типичные соединения или классы: альдегиды, терпены, эфиры.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кисло-сладкий, терпкий.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ягоды обычно требуют термообработки; цветы и ягоды имеют разные профили.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V9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94" s="28" t="str">
        <x:v>мёд, цитрус или нейтральная жировая основа</x:v>
      </x:c>
      <x:c r="X94" s="28" t="str">
        <x:v>напиток, соус, десерт или горячее блюдо после пробной дегустации</x:v>
      </x:c>
      <x:c r="Y94" s="28" t="str">
        <x:v>напитки; еда; десерты; соусы/маринады</x:v>
      </x:c>
      <x:c r="Z94" s="28" t="str">
        <x:v>Гипотеза / практическая</x:v>
      </x:c>
      <x:c r="AA94" s="28" t="str">
        <x:v>Таблица сочетания(1).pdf</x:v>
      </x:c>
      <x:c r="AB94" s="28" t="str">
        <x:v>Таблица сочетания(1).pdf: Таблица сочетаний: 7, 8 | Таблица сочетания(1).pdf: 7</x:v>
      </x:c>
      <x:c r="AC94" s="28" t="str">
        <x:v>Бузина: персик | Бузина (цветки бузины): персик Пара указана в строке «Бузина»: «персик» находится в колонке «Фрукты».</x:v>
      </x:c>
      <x:c r="AD94" s="28" t="n">
        <x:v>1</x:v>
      </x:c>
      <x:c r="AE94" s="28" t="n">
        <x:v>2</x:v>
      </x:c>
      <x:c r="AF94" s="28" t="n">
        <x:f>IF(Z94="Высокая",3,IF(Z94="Средняя",2,1))+AD94*2+MIN(AE94,3)</x:f>
        <x:v>5</x:v>
      </x:c>
    </x:row>
    <x:row r="95" ht="62" customHeight="1">
      <x:c r="A95" s="28" t="str">
        <x:v>STN-0094</x:v>
      </x:c>
      <x:c r="B95" s="28" t="str">
        <x:v>персик</x:v>
      </x:c>
      <x:c r="C95" s="28" t="str">
        <x:v>Еда и соусы</x:v>
      </x:c>
      <x:c r="D95" s="28" t="str">
        <x:v>персик</x:v>
      </x:c>
      <x:c r="E95" s="28" t="str">
        <x:v>peach</x:v>
      </x:c>
      <x:c r="F95" s="28" t="str">
        <x:v>Косточковые фрукты</x:v>
      </x:c>
      <x:c r="G95" s="28" t="str">
        <x:v>вакаме</x:v>
      </x:c>
      <x:c r="H95" s="28" t="str">
        <x:v>wakame seaweed</x:v>
      </x:c>
      <x:c r="I95" s="28" t="str">
        <x:v>Рыба и морепродукты</x:v>
      </x:c>
      <x:c r="J95" s="28" t="str">
        <x:v>сливочный, персиковый, кокосово-лактонный, цветочный, зелёный</x:v>
      </x:c>
      <x:c r="K95" s="28" t="str">
        <x:v>морской, солёный, умами, иногда йодистый и жареный</x:v>
      </x:c>
      <x:c r="L95" s="28" t="str">
        <x:v>γ- и δ-декалактон, γ- и δ-додекалактон, линалоол, бензальдегид, гексаналь, цис-3-гексенол</x:v>
      </x:c>
      <x:c r="M95" s="28" t="str">
        <x:v>амины, бромфенолы, альдегиды жирных кислот, сернистые соединения</x:v>
      </x:c>
      <x:c r="N95" s="28" t="str">
        <x:v>прямое семейное перекрытие не является главным механизмом</x:v>
      </x:c>
      <x:c r="O95" s="28" t="str">
        <x:v>надёжный единичный общий маркер не подтверждён; механизм не сводится к одной молекуле</x:v>
      </x:c>
      <x:c r="P95" s="28" t="str">
        <x:v>комплементарность ароматических семейств, вкусовой контраст и матричный эффект</x:v>
      </x:c>
      <x:c r="Q95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95" s="28" t="str">
        <x:v>обычно слабый; кислота даёт свежесть; партнёр: нет выраженного</x:v>
      </x:c>
      <x:c r="S95" s="28" t="str">
        <x:v>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</x:v>
      </x:c>
      <x:c r="T9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9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Вакаме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95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W95" s="28" t="str">
        <x:v>цитрус, укроп или оливковое масло</x:v>
      </x:c>
      <x:c r="X95" s="28" t="str">
        <x:v>соус, глазировка, чатни, маринад, гарнир или основное блюдо</x:v>
      </x:c>
      <x:c r="Y95" s="28" t="str">
        <x:v>еда; соусы/маринады</x:v>
      </x:c>
      <x:c r="Z95" s="28" t="str">
        <x:v>Средняя</x:v>
      </x:c>
      <x:c r="AA95" s="28" t="str">
        <x:v>The Art &amp; Science of Foodpairing.pdf</x:v>
      </x:c>
      <x:c r="AB95" s="28" t="str">
        <x:v>The Art &amp; Science of Foodpairing.pdf: 260–261</x:v>
      </x:c>
      <x:c r="AC95" s="28" t="str">
        <x:v>Ingredient pairings with peach and nectarine: wakame seaweed.</x:v>
      </x:c>
      <x:c r="AD95" s="28" t="n">
        <x:v>1</x:v>
      </x:c>
      <x:c r="AE95" s="28" t="n">
        <x:v>1</x:v>
      </x:c>
      <x:c r="AF95" s="28" t="n">
        <x:f>IF(Z95="Высокая",3,IF(Z95="Средняя",2,1))+AD95*2+MIN(AE95,3)</x:f>
        <x:v>5</x:v>
      </x:c>
    </x:row>
    <x:row r="96" ht="62" customHeight="1">
      <x:c r="A96" s="28" t="str">
        <x:v>STN-0095</x:v>
      </x:c>
      <x:c r="B96" s="28" t="str">
        <x:v>персик</x:v>
      </x:c>
      <x:c r="C96" s="28" t="str">
        <x:v>Универсальные</x:v>
      </x:c>
      <x:c r="D96" s="28" t="str">
        <x:v>персик</x:v>
      </x:c>
      <x:c r="E96" s="28" t="str">
        <x:v>peach</x:v>
      </x:c>
      <x:c r="F96" s="28" t="str">
        <x:v>Косточковые фрукты</x:v>
      </x:c>
      <x:c r="G96" s="28" t="str">
        <x:v>ваниль</x:v>
      </x:c>
      <x:c r="H96" s="28" t="str">
        <x:v>ваниль | Ваниль</x:v>
      </x:c>
      <x:c r="I96" s="28" t="str">
        <x:v>Специи и острые компоненты</x:v>
      </x:c>
      <x:c r="J96" s="28" t="str">
        <x:v>сливочный, персиковый, кокосово-лактонный, цветочный, зелёный</x:v>
      </x:c>
      <x:c r="K96" s="28" t="str">
        <x:v>сладкий, сливочный и древесный</x:v>
      </x:c>
      <x:c r="L96" s="28" t="str">
        <x:v>γ- и δ-декалактон, γ- и δ-додекалактон, линалоол, бензальдегид, гексаналь, цис-3-гексенол</x:v>
      </x:c>
      <x:c r="M96" s="28" t="str">
        <x:v>ванилин, п-гидроксибензальдегид</x:v>
      </x:c>
      <x:c r="N96" s="28" t="str">
        <x:v>сливочный</x:v>
      </x:c>
      <x:c r="O96" s="28" t="str">
        <x:v>бензальдегид</x:v>
      </x:c>
      <x:c r="P96" s="28" t="str">
        <x:v>прямое или классовое перекрытие характерных одорантов + вкусовой баланс</x:v>
      </x:c>
      <x:c r="Q96" s="28" t="str">
        <x:v>Сладость и кислота фрукта смягчают остроту и горечь специи, а пряный компонент удлиняет ароматическое послевкусие.</x:v>
      </x:c>
      <x:c r="R96" s="28" t="str">
        <x:v>обычно слабый; кислота даёт свежесть; партнёр: капсаицин, пиперин, гингеролы и камфорные терпены создают жжение, тепло или охлаждение</x:v>
      </x:c>
      <x:c r="S96" s="28" t="str">
        <x:v>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</x:v>
      </x:c>
      <x:c r="T96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9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Ваниль относится к группе «Специи и острые компоненты» и даёт профиль «сладкий, сливочный и древесный»; типичные соединения или классы: ванилин, п-гидроксибензальдегид. В рабочих профилях пересекаются: бензальдегид. Общие ароматические направления: сливочный.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96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W96" s="28" t="str">
        <x:v>мёд, цитрус или миндаль</x:v>
      </x:c>
      <x:c r="X96" s="28" t="str">
        <x:v>напиток, соус, десерт или горячее блюдо после пробной дегустации</x:v>
      </x:c>
      <x:c r="Y96" s="28" t="str">
        <x:v>напитки; еда; десерты; соусы/маринады</x:v>
      </x:c>
      <x:c r="Z96" s="28" t="str">
        <x:v>Высокая</x:v>
      </x:c>
      <x:c r="AA96" s="28" t="str">
        <x:v>Таблица сочетания(1).pdf | Тезариус вкусов (Ники Сегнит)(1).pdf</x:v>
      </x:c>
      <x:c r="AB96" s="28" t="str">
        <x:v>Таблица сочетания(1).pdf: 15 | Таблица сочетания(1).pdf: 21 | Тезариус вкусов (Ники Сегнит)(1).pdf: 747 | Тезариус вкусов (Ники Сегнит)(1).pdf: 919</x:v>
      </x:c>
      <x:c r="AC96" s="28" t="str">
        <x:v>Пара указана в строке «Персик» → колонка «Другое». Пара указана в строке «Ваниль»: «персик» находится в колонке «Фрукты». Персик и ваниль. На рубеже XX века ни одна свет-</x:v>
      </x:c>
      <x:c r="AD96" s="28" t="n">
        <x:v>2</x:v>
      </x:c>
      <x:c r="AE96" s="28" t="n">
        <x:v>4</x:v>
      </x:c>
      <x:c r="AF96" s="28" t="n">
        <x:f>IF(Z96="Высокая",3,IF(Z96="Средняя",2,1))+AD96*2+MIN(AE96,3)</x:f>
        <x:v>10</x:v>
      </x:c>
    </x:row>
    <x:row r="97" ht="62" customHeight="1">
      <x:c r="A97" s="28" t="str">
        <x:v>STN-0096</x:v>
      </x:c>
      <x:c r="B97" s="28" t="str">
        <x:v>персик</x:v>
      </x:c>
      <x:c r="C97" s="28" t="str">
        <x:v>Напитки</x:v>
      </x:c>
      <x:c r="D97" s="28" t="str">
        <x:v>персик</x:v>
      </x:c>
      <x:c r="E97" s="28" t="str">
        <x:v>peach</x:v>
      </x:c>
      <x:c r="F97" s="28" t="str">
        <x:v>Косточковые фрукты</x:v>
      </x:c>
      <x:c r="G97" s="28" t="str">
        <x:v>виноград</x:v>
      </x:c>
      <x:c r="H97" s="28" t="str">
        <x:v>виноград</x:v>
      </x:c>
      <x:c r="I97" s="28" t="str">
        <x:v>Алкогольные напитки</x:v>
      </x:c>
      <x:c r="J97" s="28" t="str">
        <x:v>сливочный, персиковый, кокосово-лактонный, цветочный, зелёный</x:v>
      </x:c>
      <x:c r="K97" s="28" t="str">
        <x:v>эфирный, фруктовый, цветочный, древесный или ферментативный</x:v>
      </x:c>
      <x:c r="L97" s="28" t="str">
        <x:v>γ- и δ-декалактон, γ- и δ-додекалактон, линалоол, бензальдегид, гексаналь, цис-3-гексенол</x:v>
      </x:c>
      <x:c r="M97" s="28" t="str">
        <x:v>этиловые эфиры, высшие спирты, альдегиды, дубовые лактоны</x:v>
      </x:c>
      <x:c r="N97" s="28" t="str">
        <x:v>цветочный</x:v>
      </x:c>
      <x:c r="O97" s="28" t="str">
        <x:v>надёжный единичный общий маркер не подтверждён; механизм не сводится к одной молекуле</x:v>
      </x:c>
      <x:c r="P97" s="28" t="str">
        <x:v>комплементарность ароматических семейств, вкусовой контраст и матричный эффект</x:v>
      </x:c>
      <x:c r="Q97" s="28" t="str">
        <x:v>Этанол усиливает летучесть лактонов и терпенов; сахар и кислотность должны быть настроены так, чтобы крепость не маскировала плод.</x:v>
      </x:c>
      <x:c r="R97" s="28" t="str">
        <x:v>обычно слабый; кислота даёт свежесть; партнёр: согревание и жжение этанола</x:v>
      </x:c>
      <x:c r="S97" s="28" t="str">
        <x:v>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</x:v>
      </x:c>
      <x:c r="T97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U9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Виноград относится к группе «Алкогольные напитки» 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По доступным материалам нельзя уверенно свести совместимость к одной общей молекуле. Общие ароматические направления: цветочный.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V97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W97" s="28" t="str">
        <x:v>цитрус, чай или вермут</x:v>
      </x:c>
      <x:c r="X97" s="28" t="str">
        <x:v>коктейль, кордиал, настой, спритц, чайный или кофейный напиток</x:v>
      </x:c>
      <x:c r="Y97" s="28" t="str">
        <x:v>напитки</x:v>
      </x:c>
      <x:c r="Z97" s="28" t="str">
        <x:v>Средняя</x:v>
      </x:c>
      <x:c r="AA97" s="28" t="str">
        <x:v>Тезариус вкусов (Ники Сегнит)(1).pdf</x:v>
      </x:c>
      <x:c r="AB97" s="28" t="str">
        <x:v>Тезариус вкусов (Ники Сегнит)(1).pdf: 748</x:v>
      </x:c>
      <x:c r="AC97" s="28" t="str">
        <x:v>Персик и виноград. Иногда вам может попасться</x:v>
      </x:c>
      <x:c r="AD97" s="28" t="n">
        <x:v>1</x:v>
      </x:c>
      <x:c r="AE97" s="28" t="n">
        <x:v>1</x:v>
      </x:c>
      <x:c r="AF97" s="28" t="n">
        <x:f>IF(Z97="Высокая",3,IF(Z97="Средняя",2,1))+AD97*2+MIN(AE97,3)</x:f>
        <x:v>5</x:v>
      </x:c>
    </x:row>
    <x:row r="98" ht="62" customHeight="1">
      <x:c r="A98" s="28" t="str">
        <x:v>STN-0097</x:v>
      </x:c>
      <x:c r="B98" s="28" t="str">
        <x:v>персик</x:v>
      </x:c>
      <x:c r="C98" s="28" t="str">
        <x:v>Универсальные</x:v>
      </x:c>
      <x:c r="D98" s="28" t="str">
        <x:v>персик</x:v>
      </x:c>
      <x:c r="E98" s="28" t="str">
        <x:v>peach</x:v>
      </x:c>
      <x:c r="F98" s="28" t="str">
        <x:v>Косточковые фрукты</x:v>
      </x:c>
      <x:c r="G98" s="28" t="str">
        <x:v>вишня</x:v>
      </x:c>
      <x:c r="H98" s="28" t="str">
        <x:v>cherry | Вишня | вишня</x:v>
      </x:c>
      <x:c r="I98" s="28" t="str">
        <x:v>Косточковые фрукты</x:v>
      </x:c>
      <x:c r="J98" s="28" t="str">
        <x:v>сливочный, персиковый, кокосово-лактонный, цветочный, зелёный</x:v>
      </x:c>
      <x:c r="K98" s="28" t="str">
        <x:v>цветочный, фруктовый, миндальный и сливочно-лактонный</x:v>
      </x:c>
      <x:c r="L98" s="28" t="str">
        <x:v>γ- и δ-декалактон, γ- и δ-додекалактон, линалоол, бензальдегид, гексаналь, цис-3-гексенол</x:v>
      </x:c>
      <x:c r="M98" s="28" t="str">
        <x:v>лактоны, бензальдегид, эфиры, линалоол</x:v>
      </x:c>
      <x:c r="N98" s="28" t="str">
        <x:v>цветочный, лактонный</x:v>
      </x:c>
      <x:c r="O98" s="28" t="str">
        <x:v>бензальдегид, линалоол</x:v>
      </x:c>
      <x:c r="P98" s="28" t="str">
        <x:v>прямое или классовое перекрытие характерных одорантов + вкусовой баланс</x:v>
      </x:c>
      <x:c r="Q98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сладость и умеренная кислотность. Баланс корректируется сахаром, кислотой, солью и горечью.</x:v>
      </x:c>
      <x:c r="R98" s="28" t="str">
        <x:v>обычно слабый; кислота даёт свежесть; партнёр: слабый</x:v>
      </x:c>
      <x:c r="S98" s="28" t="str">
        <x:v>сочная пектиновая мякоть; кожица несёт зелёные и цветочные ноты; лактоны хорошо удерживаются жиром и этанолом. Партнёр: пектиновая; кожица и косточка могут давать терпкость и миндальные ноты.</x:v>
      </x:c>
      <x:c r="T9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U9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линалоол. Общие ароматические направления: цветочный, лактонный. Базовый фрукт даёт: выраженная сладость, умеренная кислотность; беломякотные сорта обычно слаще и мягче по кислоте. Партнёр добавляет: сладость и умеренная кислотность.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пектиновая; кожица и косточка могут давать терпкость и миндальные ноты.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V9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98" s="28" t="str">
        <x:v>мёд, цитрус или нейтральная жировая основа</x:v>
      </x:c>
      <x:c r="X98" s="28" t="str">
        <x:v>напиток, соус, десерт или горячее блюдо после пробной дегустации</x:v>
      </x:c>
      <x:c r="Y98" s="28" t="str">
        <x:v>напитки; еда; десерты; соусы/маринады</x:v>
      </x:c>
      <x:c r="Z98" s="28" t="str">
        <x:v>Высокая</x:v>
      </x:c>
      <x:c r="AA98" s="28" t="str">
        <x:v>The Art &amp; Science of Foodpairing.pdf | Таблица сочетания(1).pdf | Тезариус вкусов (Ники Сегнит)(1).pdf</x:v>
      </x:c>
      <x:c r="AB98" s="28" t="str">
        <x:v>The Art &amp; Science of Foodpairing.pdf: Тезариус вкусов: 656, 749; The Art &amp; Science of Foodpairing: 260; Таблица сочетаний: 4, 15 | Таблица сочетания(1).pdf: 4 | Таблица сочетания(1).pdf: 15 | Тезариус вкусов (Ники Сегнит)(1).pdf: 656 | Тезариус вкусов (Ники Сегнит)(1).pdf: 749</x:v>
      </x:c>
      <x:c r="AC98" s="28" t="str">
        <x:v>Вишня и персик. См. Персик и вишня | Персик и вишня. Персики, вишни да корочка хле- ба – вот все, что осталось к тому времени, когда на- чинается самое интересное. Это я о картине Эдуарда Мане «Завтрак на траве». Что именно хотел сказать Мане? Это каждый понимает по-своему, но мне ка- жется, что изображенная слева обнаженная женщи- на оживленно беседовала с двумя мужчинами, когда голодный художник прервал ее, чтобы спросить, а не осталось ли у них сыра, ветчины или хотя бы немного ремулада из сельдерея. Это в определенной степе- ни объясняет некоторое замешательство, проскаль- зывающее в ее взгляде, – замешательство, призван- ное скрыть смущение от того, что с самыми лакомыми ку | Вишня: персик | Персик: вишня Пара указана в строке «Вишня»: «персик» находится в колонке «Фрукты». Пара указана в строке «Персик» → колонка «Фрукты».</x:v>
      </x:c>
      <x:c r="AD98" s="28" t="n">
        <x:v>3</x:v>
      </x:c>
      <x:c r="AE98" s="28" t="n">
        <x:v>5</x:v>
      </x:c>
      <x:c r="AF98" s="28" t="n">
        <x:f>IF(Z98="Высокая",3,IF(Z98="Средняя",2,1))+AD98*2+MIN(AE98,3)</x:f>
        <x:v>12</x:v>
      </x:c>
    </x:row>
    <x:row r="99" ht="62" customHeight="1">
      <x:c r="A99" s="28" t="str">
        <x:v>STN-0098</x:v>
      </x:c>
      <x:c r="B99" s="28" t="str">
        <x:v>персик</x:v>
      </x:c>
      <x:c r="C99" s="28" t="str">
        <x:v>Еда и соусы</x:v>
      </x:c>
      <x:c r="D99" s="28" t="str">
        <x:v>персик</x:v>
      </x:c>
      <x:c r="E99" s="28" t="str">
        <x:v>peach</x:v>
      </x:c>
      <x:c r="F99" s="28" t="str">
        <x:v>Косточковые фрукты</x:v>
      </x:c>
      <x:c r="G99" s="28" t="str">
        <x:v>восковая тыква</x:v>
      </x:c>
      <x:c r="H99" s="28" t="str">
        <x:v>wax gourd</x:v>
      </x:c>
      <x:c r="I99" s="28" t="str">
        <x:v>Овощи и корнеплоды</x:v>
      </x:c>
      <x:c r="J99" s="28" t="str">
        <x:v>сливочный, персиковый, кокосово-лактонный, цветочный, зелёный</x:v>
      </x:c>
      <x:c r="K99" s="28" t="str">
        <x:v>зелёный, землистый, сладковатый или сернистый</x:v>
      </x:c>
      <x:c r="L99" s="28" t="str">
        <x:v>γ- и δ-декалактон, γ- и δ-додекалактон, линалоол, бензальдегид, гексаналь, цис-3-гексенол</x:v>
      </x:c>
      <x:c r="M99" s="28" t="str">
        <x:v>C6-альдегиды, метоксипиразины, терпены, сернистые соединения</x:v>
      </x:c>
      <x:c r="N99" s="28" t="str">
        <x:v>зелёный</x:v>
      </x:c>
      <x:c r="O99" s="28" t="str">
        <x:v>надёжный единичный общий маркер не подтверждён; механизм не сводится к одной молекуле</x:v>
      </x:c>
      <x:c r="P99" s="28" t="str">
        <x:v>комплементарность ароматических семейств, вкусовой контраст и матричный эффект</x:v>
      </x:c>
      <x:c r="Q99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</x:v>
      </x:c>
      <x:c r="R99" s="28" t="str">
        <x:v>обычно слабый; кислота даёт свежесть; партнёр: зависит от продукта</x:v>
      </x:c>
      <x:c r="S99" s="28" t="str">
        <x:v>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</x:v>
      </x:c>
      <x:c r="T9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9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Восковая тыква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9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99" s="28" t="str">
        <x:v>мёд, травы или уксус</x:v>
      </x:c>
      <x:c r="X99" s="28" t="str">
        <x:v>соус, глазировка, чатни, маринад, гарнир или основное блюдо</x:v>
      </x:c>
      <x:c r="Y99" s="28" t="str">
        <x:v>еда; соусы/маринады</x:v>
      </x:c>
      <x:c r="Z99" s="28" t="str">
        <x:v>Средняя</x:v>
      </x:c>
      <x:c r="AA99" s="28" t="str">
        <x:v>The Art &amp; Science of Foodpairing.pdf</x:v>
      </x:c>
      <x:c r="AB99" s="28" t="str">
        <x:v>The Art &amp; Science of Foodpairing.pdf: 260–261</x:v>
      </x:c>
      <x:c r="AC99" s="28" t="str">
        <x:v>Ingredient pairings with peach and nectarine: wax gourd.</x:v>
      </x:c>
      <x:c r="AD99" s="28" t="n">
        <x:v>1</x:v>
      </x:c>
      <x:c r="AE99" s="28" t="n">
        <x:v>1</x:v>
      </x:c>
      <x:c r="AF99" s="28" t="n">
        <x:f>IF(Z99="Высокая",3,IF(Z99="Средняя",2,1))+AD99*2+MIN(AE99,3)</x:f>
        <x:v>5</x:v>
      </x:c>
    </x:row>
    <x:row r="100" ht="62" customHeight="1">
      <x:c r="A100" s="28" t="str">
        <x:v>STN-0099</x:v>
      </x:c>
      <x:c r="B100" s="28" t="str">
        <x:v>персик</x:v>
      </x:c>
      <x:c r="C100" s="28" t="str">
        <x:v>Напитки</x:v>
      </x:c>
      <x:c r="D100" s="28" t="str">
        <x:v>персик</x:v>
      </x:c>
      <x:c r="E100" s="28" t="str">
        <x:v>peach</x:v>
      </x:c>
      <x:c r="F100" s="28" t="str">
        <x:v>Косточковые фрукты</x:v>
      </x:c>
      <x:c r="G100" s="28" t="str">
        <x:v>выдержанный хересный уксус</x:v>
      </x:c>
      <x:c r="H100" s="28" t="str">
        <x:v>reserva sherry vinegar</x:v>
      </x:c>
      <x:c r="I100" s="28" t="str">
        <x:v>Алкогольные напитки</x:v>
      </x:c>
      <x:c r="J100" s="28" t="str">
        <x:v>сливочный, персиковый, кокосово-лактонный, цветочный, зелёный</x:v>
      </x:c>
      <x:c r="K100" s="28" t="str">
        <x:v>спиртовой, эфирный, фруктовый или древесный в зависимости от напитка</x:v>
      </x:c>
      <x:c r="L100" s="28" t="str">
        <x:v>γ- и δ-декалактон, γ- и δ-додекалактон, линалоол, бензальдегид, гексаналь, цис-3-гексенол</x:v>
      </x:c>
      <x:c r="M100" s="28" t="str">
        <x:v>этиловые эфиры, высшие спирты, ацетали; для выдержанных напитков — ванилин и дубовые лактоны</x:v>
      </x:c>
      <x:c r="N100" s="28" t="str">
        <x:v>прямое семейное перекрытие не является главным механизмом</x:v>
      </x:c>
      <x:c r="O100" s="28" t="str">
        <x:v>надёжный единичный общий маркер не подтверждён; механизм не сводится к одной молекуле</x:v>
      </x:c>
      <x:c r="P100" s="28" t="str">
        <x:v>комплементарность ароматических семейств, вкусовой контраст и матричный эффект</x:v>
      </x:c>
      <x:c r="Q100" s="28" t="str">
        <x:v>Этанол усиливает летучесть лактонов и терпенов; сахар и кислотность должны быть настроены так, чтобы крепость не маскировала плод.</x:v>
      </x:c>
      <x:c r="R100" s="28" t="str">
        <x:v>обычно слабый; кислота даёт свежесть; партнёр: этанол даёт согревание</x:v>
      </x:c>
      <x:c r="S100" s="28" t="str">
        <x:v>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</x:v>
      </x:c>
      <x:c r="T100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U10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Выдержанный хересный уксус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По доступным материалам нельзя уверенно свести совместимость к одной общей молекуле.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V100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W100" s="28" t="str">
        <x:v>цитрус, чай или вермут</x:v>
      </x:c>
      <x:c r="X100" s="28" t="str">
        <x:v>коктейль, кордиал, настой, спритц, чайный или кофейный напиток</x:v>
      </x:c>
      <x:c r="Y100" s="28" t="str">
        <x:v>напитки</x:v>
      </x:c>
      <x:c r="Z100" s="28" t="str">
        <x:v>Средняя</x:v>
      </x:c>
      <x:c r="AA100" s="28" t="str">
        <x:v>The Art &amp; Science of Foodpairing.pdf</x:v>
      </x:c>
      <x:c r="AB100" s="28" t="str">
        <x:v>The Art &amp; Science of Foodpairing.pdf: 260–261</x:v>
      </x:c>
      <x:c r="AC100" s="28" t="str">
        <x:v>Ingredient pairings with peach and nectarine: reserva sherry vinegar.</x:v>
      </x:c>
      <x:c r="AD100" s="28" t="n">
        <x:v>1</x:v>
      </x:c>
      <x:c r="AE100" s="28" t="n">
        <x:v>1</x:v>
      </x:c>
      <x:c r="AF100" s="28" t="n">
        <x:f>IF(Z100="Высокая",3,IF(Z100="Средняя",2,1))+AD100*2+MIN(AE100,3)</x:f>
        <x:v>5</x:v>
      </x:c>
    </x:row>
    <x:row r="101" ht="62" customHeight="1">
      <x:c r="A101" s="28" t="str">
        <x:v>STN-0100</x:v>
      </x:c>
      <x:c r="B101" s="28" t="str">
        <x:v>персик</x:v>
      </x:c>
      <x:c r="C101" s="28" t="str">
        <x:v>Универсальные</x:v>
      </x:c>
      <x:c r="D101" s="28" t="str">
        <x:v>персик</x:v>
      </x:c>
      <x:c r="E101" s="28" t="str">
        <x:v>peach</x:v>
      </x:c>
      <x:c r="F101" s="28" t="str">
        <x:v>Косточковые фрукты</x:v>
      </x:c>
      <x:c r="G101" s="28" t="str">
        <x:v>гвоздика</x:v>
      </x:c>
      <x:c r="H101" s="28" t="str">
        <x:v>гвоздика | Гвоздика</x:v>
      </x:c>
      <x:c r="I101" s="28" t="str">
        <x:v>Специи и острые компоненты</x:v>
      </x:c>
      <x:c r="J101" s="28" t="str">
        <x:v>сливочный, персиковый, кокосово-лактонный, цветочный, зелёный</x:v>
      </x:c>
      <x:c r="K101" s="28" t="str">
        <x:v>тёплый, фенольный и пряный</x:v>
      </x:c>
      <x:c r="L101" s="28" t="str">
        <x:v>γ- и δ-декалактон, γ- и δ-додекалактон, линалоол, бензальдегид, гексаналь, цис-3-гексенол</x:v>
      </x:c>
      <x:c r="M101" s="28" t="str">
        <x:v>эвгенол, эвгенилацетат</x:v>
      </x:c>
      <x:c r="N101" s="28" t="str">
        <x:v>прямое семейное перекрытие не является главным механизмом</x:v>
      </x:c>
      <x:c r="O101" s="28" t="str">
        <x:v>надёжный единичный общий маркер не подтверждён; механизм не сводится к одной молекуле</x:v>
      </x:c>
      <x:c r="P101" s="28" t="str">
        <x:v>комплементарность ароматических семейств, вкусовой контраст и матричный эффект</x:v>
      </x:c>
      <x:c r="Q101" s="28" t="str">
        <x:v>Сладость и кислота фрукта смягчают остроту и горечь специи, а пряный компонент удлиняет ароматическое послевкусие.</x:v>
      </x:c>
      <x:c r="R101" s="28" t="str">
        <x:v>обычно слабый; кислота даёт свежесть; партнёр: капсаицин, пиперин, гингеролы и камфорные терпены создают жжение, тепло или охлаждение</x:v>
      </x:c>
      <x:c r="S101" s="28" t="str">
        <x:v>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</x:v>
      </x:c>
      <x:c r="T101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10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Гвоздика относится к группе «Специи и острые компоненты» и даёт профиль «тёплый, фенольный и пряный»; типичные соединения или классы: эвгенол, эвгенилацетат.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101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W101" s="28" t="str">
        <x:v>мёд, цитрус или миндаль</x:v>
      </x:c>
      <x:c r="X101" s="28" t="str">
        <x:v>напиток, соус, десерт или горячее блюдо после пробной дегустации</x:v>
      </x:c>
      <x:c r="Y101" s="28" t="str">
        <x:v>напитки; еда; десерты; соусы/маринады</x:v>
      </x:c>
      <x:c r="Z101" s="28" t="str">
        <x:v>Высокая</x:v>
      </x:c>
      <x:c r="AA101" s="28" t="str">
        <x:v>Таблица сочетания(1).pdf | Тезариус вкусов (Ники Сегнит)(1).pdf</x:v>
      </x:c>
      <x:c r="AB101" s="28" t="str">
        <x:v>Таблица сочетания(1).pdf: 15 | Тезариус вкусов (Ники Сегнит)(1).pdf: 584 | Тезариус вкусов (Ники Сегнит)(1).pdf: 750</x:v>
      </x:c>
      <x:c r="AC101" s="28" t="str">
        <x:v>Пара указана в строке «Персик» → колонка «Травы и специи». Гвоздика и персик. Соединение эвгенол, опреде- Персик и гвоздика. См. Гвоздика и персик</x:v>
      </x:c>
      <x:c r="AD101" s="28" t="n">
        <x:v>2</x:v>
      </x:c>
      <x:c r="AE101" s="28" t="n">
        <x:v>3</x:v>
      </x:c>
      <x:c r="AF101" s="28" t="n">
        <x:f>IF(Z101="Высокая",3,IF(Z101="Средняя",2,1))+AD101*2+MIN(AE101,3)</x:f>
        <x:v>10</x:v>
      </x:c>
    </x:row>
    <x:row r="102" ht="62" customHeight="1">
      <x:c r="A102" s="28" t="str">
        <x:v>STN-0101</x:v>
      </x:c>
      <x:c r="B102" s="28" t="str">
        <x:v>персик</x:v>
      </x:c>
      <x:c r="C102" s="28" t="str">
        <x:v>Универсальные</x:v>
      </x:c>
      <x:c r="D102" s="28" t="str">
        <x:v>персик</x:v>
      </x:c>
      <x:c r="E102" s="28" t="str">
        <x:v>peach</x:v>
      </x:c>
      <x:c r="F102" s="28" t="str">
        <x:v>Косточковые фрукты</x:v>
      </x:c>
      <x:c r="G102" s="28" t="str">
        <x:v>гибискус</x:v>
      </x:c>
      <x:c r="H102" s="28" t="str">
        <x:v>Гибискус</x:v>
      </x:c>
      <x:c r="I102" s="28" t="str">
        <x:v>Прочее</x:v>
      </x:c>
      <x:c r="J102" s="28" t="str">
        <x:v>сливочный, персиковый, кокосово-лактонный, цветочный, зелёный</x:v>
      </x:c>
      <x:c r="K102" s="28" t="str">
        <x:v>ароматический профиль зависит от конкретного ингредиента</x:v>
      </x:c>
      <x:c r="L102" s="28" t="str">
        <x:v>γ- и δ-декалактон, γ- и δ-додекалактон, линалоол, бензальдегид, гексаналь, цис-3-гексенол</x:v>
      </x:c>
      <x:c r="M102" s="28" t="str">
        <x:v>летучие соединения конкретного продукта</x:v>
      </x:c>
      <x:c r="N102" s="28" t="str">
        <x:v>прямое семейное перекрытие не является главным механизмом</x:v>
      </x:c>
      <x:c r="O102" s="28" t="str">
        <x:v>надёжный единичный общий маркер не подтверждён; механизм не сводится к одной молекуле</x:v>
      </x:c>
      <x:c r="P102" s="28" t="str">
        <x:v>комплементарность ароматических семейств, вкусовой контраст и матричный эффект</x:v>
      </x:c>
      <x:c r="Q102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</x:v>
      </x:c>
      <x:c r="R102" s="28" t="str">
        <x:v>обычно слабый; кислота даёт свежесть; партнёр: возможен в зависимости от состава</x:v>
      </x:c>
      <x:c r="S102" s="28" t="str">
        <x:v>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</x:v>
      </x:c>
      <x:c r="T10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U10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Гибискус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V10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02" s="28" t="str">
        <x:v>мёд, цитрус или нейтральная жировая основа</x:v>
      </x:c>
      <x:c r="X102" s="28" t="str">
        <x:v>напиток, соус, десерт или горячее блюдо после пробной дегустации</x:v>
      </x:c>
      <x:c r="Y102" s="28" t="str">
        <x:v>напитки; еда; десерты; соусы/маринады</x:v>
      </x:c>
      <x:c r="Z102" s="28" t="str">
        <x:v>Гипотеза / практическая</x:v>
      </x:c>
      <x:c r="AA102" s="28" t="str">
        <x:v>Таблица сочетания(1).pdf</x:v>
      </x:c>
      <x:c r="AB102" s="28" t="str">
        <x:v>Таблица сочетания(1).pdf: 9</x:v>
      </x:c>
      <x:c r="AC102" s="28" t="str">
        <x:v>Пара указана в строке «Гибискус»: «персик» находится в колонке «Фрукты».</x:v>
      </x:c>
      <x:c r="AD102" s="28" t="n">
        <x:v>1</x:v>
      </x:c>
      <x:c r="AE102" s="28" t="n">
        <x:v>1</x:v>
      </x:c>
      <x:c r="AF102" s="28" t="n">
        <x:f>IF(Z102="Высокая",3,IF(Z102="Средняя",2,1))+AD102*2+MIN(AE102,3)</x:f>
        <x:v>4</x:v>
      </x:c>
    </x:row>
    <x:row r="103" ht="62" customHeight="1">
      <x:c r="A103" s="28" t="str">
        <x:v>STN-0102</x:v>
      </x:c>
      <x:c r="B103" s="28" t="str">
        <x:v>персик</x:v>
      </x:c>
      <x:c r="C103" s="28" t="str">
        <x:v>Еда и соусы</x:v>
      </x:c>
      <x:c r="D103" s="28" t="str">
        <x:v>персик</x:v>
      </x:c>
      <x:c r="E103" s="28" t="str">
        <x:v>peach</x:v>
      </x:c>
      <x:c r="F103" s="28" t="str">
        <x:v>Косточковые фрукты</x:v>
      </x:c>
      <x:c r="G103" s="28" t="str">
        <x:v>говяжий бульон</x:v>
      </x:c>
      <x:c r="H103" s="28" t="str">
        <x:v>beef bouillon</x:v>
      </x:c>
      <x:c r="I103" s="28" t="str">
        <x:v>Мясо и птица</x:v>
      </x:c>
      <x:c r="J103" s="28" t="str">
        <x:v>сливочный, персиковый, кокосово-лактонный, цветочный, зелёный</x:v>
      </x:c>
      <x:c r="K103" s="28" t="str">
        <x:v>жареный, мясной, жирный, иногда копчёный и пряный</x:v>
      </x:c>
      <x:c r="L103" s="28" t="str">
        <x:v>γ- и δ-декалактон, γ- и δ-додекалактон, линалоол, бензальдегид, гексаналь, цис-3-гексенол</x:v>
      </x:c>
      <x:c r="M103" s="28" t="str">
        <x:v>пиразины, фураны, сернистые соединения, продукты Майяра, жирные альдегиды</x:v>
      </x:c>
      <x:c r="N103" s="28" t="str">
        <x:v>прямое семейное перекрытие не является главным механизмом</x:v>
      </x:c>
      <x:c r="O103" s="28" t="str">
        <x:v>надёжный единичный общий маркер не подтверждён; механизм не сводится к одной молекуле</x:v>
      </x:c>
      <x:c r="P103" s="28" t="str">
        <x:v>комплементарность ароматических семейств, вкусовой контраст и матричный эффект</x:v>
      </x:c>
      <x:c r="Q103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103" s="28" t="str">
        <x:v>обычно слабый; кислота даёт свежесть; партнёр: тепловой/пряный зависит от обработки</x:v>
      </x:c>
      <x:c r="S103" s="28" t="str">
        <x:v>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</x:v>
      </x:c>
      <x:c r="T103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U10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Говяжий бульон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V103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W103" s="28" t="str">
        <x:v>розмарин, горчица или хересный уксус</x:v>
      </x:c>
      <x:c r="X103" s="28" t="str">
        <x:v>соус, глазировка, чатни, маринад, гарнир или основное блюдо</x:v>
      </x:c>
      <x:c r="Y103" s="28" t="str">
        <x:v>еда; соусы/маринады</x:v>
      </x:c>
      <x:c r="Z103" s="28" t="str">
        <x:v>Средняя</x:v>
      </x:c>
      <x:c r="AA103" s="28" t="str">
        <x:v>The Art &amp; Science of Foodpairing.pdf</x:v>
      </x:c>
      <x:c r="AB103" s="28" t="str">
        <x:v>The Art &amp; Science of Foodpairing.pdf: 260–261</x:v>
      </x:c>
      <x:c r="AC103" s="28" t="str">
        <x:v>Ingredient pairings with peach and nectarine: beef bouillon.</x:v>
      </x:c>
      <x:c r="AD103" s="28" t="n">
        <x:v>1</x:v>
      </x:c>
      <x:c r="AE103" s="28" t="n">
        <x:v>1</x:v>
      </x:c>
      <x:c r="AF103" s="28" t="n">
        <x:f>IF(Z103="Высокая",3,IF(Z103="Средняя",2,1))+AD103*2+MIN(AE103,3)</x:f>
        <x:v>5</x:v>
      </x:c>
    </x:row>
    <x:row r="104" ht="62" customHeight="1">
      <x:c r="A104" s="28" t="str">
        <x:v>STN-0103</x:v>
      </x:c>
      <x:c r="B104" s="28" t="str">
        <x:v>персик</x:v>
      </x:c>
      <x:c r="C104" s="28" t="str">
        <x:v>Десерты и выпечка</x:v>
      </x:c>
      <x:c r="D104" s="28" t="str">
        <x:v>персик</x:v>
      </x:c>
      <x:c r="E104" s="28" t="str">
        <x:v>peach</x:v>
      </x:c>
      <x:c r="F104" s="28" t="str">
        <x:v>Косточковые фрукты</x:v>
      </x:c>
      <x:c r="G104" s="28" t="str">
        <x:v>голубика</x:v>
      </x:c>
      <x:c r="H104" s="28" t="str">
        <x:v>голубика</x:v>
      </x:c>
      <x:c r="I104" s="28" t="str">
        <x:v>Ягоды</x:v>
      </x:c>
      <x:c r="J104" s="28" t="str">
        <x:v>сливочный, персиковый, кокосово-лактонный, цветочный, зелёный</x:v>
      </x:c>
      <x:c r="K104" s="28" t="str">
        <x:v>красно-фруктовый, цветочный, зелёный и иногда сернистый</x:v>
      </x:c>
      <x:c r="L104" s="28" t="str">
        <x:v>γ- и δ-декалактон, γ- и δ-додекалактон, линалоол, бензальдегид, гексаналь, цис-3-гексенол</x:v>
      </x:c>
      <x:c r="M104" s="28" t="str">
        <x:v>фуранеол, эфиры, иононы, зелёные альдегиды</x:v>
      </x:c>
      <x:c r="N104" s="28" t="str">
        <x:v>цветочный, зелёный</x:v>
      </x:c>
      <x:c r="O104" s="28" t="str">
        <x:v>надёжный единичный общий маркер не подтверждён; механизм не сводится к одной молекуле</x:v>
      </x:c>
      <x:c r="P104" s="28" t="str">
        <x:v>комплементарность ароматических семейств, вкусовой контраст и матричный эффект</x:v>
      </x:c>
      <x:c r="Q104" s="28" t="str">
        <x:v>Близкие фруктовые эфиры создают непрерывность, а различия в кислотности, терпкости и сладости формируют контраст.</x:v>
      </x:c>
      <x:c r="R104" s="28" t="str">
        <x:v>обычно слабый; кислота даёт свежесть; партнёр: обычно слабый; кислота усиливает свежесть</x:v>
      </x:c>
      <x:c r="S104" s="28" t="str">
        <x:v>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</x:v>
      </x:c>
      <x:c r="T10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10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10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04" s="28" t="str">
        <x:v>ваниль, мята или миндаль</x:v>
      </x:c>
      <x:c r="X104" s="28" t="str">
        <x:v>сорбет, салат, джем, кордиал, лимонад, коктейль или фруктовый соус</x:v>
      </x:c>
      <x:c r="Y104" s="28" t="str">
        <x:v>напитки; десерты; соусы/маринады</x:v>
      </x:c>
      <x:c r="Z104" s="28" t="str">
        <x:v>Гипотеза / практическая</x:v>
      </x:c>
      <x:c r="AA104" s="28" t="str">
        <x:v>Таблица сочетания(1).pdf</x:v>
      </x:c>
      <x:c r="AB104" s="28" t="str">
        <x:v>Таблица сочетания(1).pdf: Таблица сочетаний: 15 | Таблица сочетания(1).pdf: 15</x:v>
      </x:c>
      <x:c r="AC104" s="28" t="str">
        <x:v>Персик: голубика Пара указана в строке «Персик» → колонка «Фрукты».</x:v>
      </x:c>
      <x:c r="AD104" s="28" t="n">
        <x:v>1</x:v>
      </x:c>
      <x:c r="AE104" s="28" t="n">
        <x:v>2</x:v>
      </x:c>
      <x:c r="AF104" s="28" t="n">
        <x:f>IF(Z104="Высокая",3,IF(Z104="Средняя",2,1))+AD104*2+MIN(AE104,3)</x:f>
        <x:v>5</x:v>
      </x:c>
    </x:row>
    <x:row r="105" ht="62" customHeight="1">
      <x:c r="A105" s="28" t="str">
        <x:v>STN-0104</x:v>
      </x:c>
      <x:c r="B105" s="28" t="str">
        <x:v>персик</x:v>
      </x:c>
      <x:c r="C105" s="28" t="str">
        <x:v>Десерты и выпечка</x:v>
      </x:c>
      <x:c r="D105" s="28" t="str">
        <x:v>персик</x:v>
      </x:c>
      <x:c r="E105" s="28" t="str">
        <x:v>peach</x:v>
      </x:c>
      <x:c r="F105" s="28" t="str">
        <x:v>Косточковые фрукты</x:v>
      </x:c>
      <x:c r="G105" s="28" t="str">
        <x:v>голубой сыр</x:v>
      </x:c>
      <x:c r="H105" s="28" t="str">
        <x:v>Голубой сыр | голубой сыр</x:v>
      </x:c>
      <x:c r="I105" s="28" t="str">
        <x:v>Сыры и молочные продукты</x:v>
      </x:c>
      <x:c r="J105" s="28" t="str">
        <x:v>сливочный, персиковый, кокосово-лактонный, цветочный, зелёный</x:v>
      </x:c>
      <x:c r="K105" s="28" t="str">
        <x:v>пикантный, грибной и сливочный</x:v>
      </x:c>
      <x:c r="L105" s="28" t="str">
        <x:v>γ- и δ-декалактон, γ- и δ-додекалактон, линалоол, бензальдегид, гексаналь, цис-3-гексенол</x:v>
      </x:c>
      <x:c r="M105" s="28" t="str">
        <x:v>2-гептанон, 2-нонанон, короткоцепочечные жирные кислоты</x:v>
      </x:c>
      <x:c r="N105" s="28" t="str">
        <x:v>сливочный</x:v>
      </x:c>
      <x:c r="O105" s="28" t="str">
        <x:v>надёжный единичный общий маркер не подтверждён; механизм не сводится к одной молекуле</x:v>
      </x:c>
      <x:c r="P105" s="28" t="str">
        <x:v>комплементарность ароматических семейств, вкусовой контраст и матричный эффект</x:v>
      </x:c>
      <x:c r="Q105" s="28" t="str">
        <x:v>Фруктовая кислота и сладость освежают жирную молочную матрицу; соль и умами сыра усиливают воспринимаемую фруктовость.</x:v>
      </x:c>
      <x:c r="R105" s="28" t="str">
        <x:v>обычно слабый; кислота даёт свежесть; партнёр: у выдержанных сыров возможна острота аммиака и кислот</x:v>
      </x:c>
      <x:c r="S105" s="28" t="str">
        <x:v>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</x:v>
      </x:c>
      <x:c r="T105" s="28" t="str">
        <x:v>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U10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Голубой сыр относится к группе «Сыры и молочные продукты» и даёт профиль «пикантный, грибной и сливочный»; типичные соединения или классы: 2-гептанон, 2-нонанон, короткоцепочечные жирные кислоты. По доступным материалам нельзя уверенно свести совместимость к одной общей молекуле. Общие ароматические направления: сливочный.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 Обработка: 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V105" s="28" t="str">
        <x:v>незрелый плод ароматически беден; перезрелый быстро окисляется; косточки не использовать без безопасной технологии. Избыток кислоты может свернуть молочную основу; фрукт и сыр проверяют при рабочей температуре.</x:v>
      </x:c>
      <x:c r="W105" s="28" t="str">
        <x:v>миндаль, ваниль или мёд</x:v>
      </x:c>
      <x:c r="X105" s="28" t="str">
        <x:v>тарт, крем, мороженое, выпечка, сырная подача или начинка</x:v>
      </x:c>
      <x:c r="Y105" s="28" t="str">
        <x:v>десерты; еда</x:v>
      </x:c>
      <x:c r="Z105" s="28" t="str">
        <x:v>Средняя</x:v>
      </x:c>
      <x:c r="AA105" s="28" t="str">
        <x:v>Тезариус вкусов (Ники Сегнит)(1).pdf</x:v>
      </x:c>
      <x:c r="AB105" s="28" t="str">
        <x:v>Тезариус вкусов (Ники Сегнит)(1).pdf: 159 | Тезариус вкусов (Ники Сегнит)(1).pdf: 750</x:v>
      </x:c>
      <x:c r="AC105" s="28" t="str">
        <x:v>Голубой сыр и персик. Персик отлично сочетается Персик и голубой сыр. См. Голубой сыр и персик</x:v>
      </x:c>
      <x:c r="AD105" s="28" t="n">
        <x:v>1</x:v>
      </x:c>
      <x:c r="AE105" s="28" t="n">
        <x:v>2</x:v>
      </x:c>
      <x:c r="AF105" s="28" t="n">
        <x:f>IF(Z105="Высокая",3,IF(Z105="Средняя",2,1))+AD105*2+MIN(AE105,3)</x:f>
        <x:v>6</x:v>
      </x:c>
    </x:row>
    <x:row r="106" ht="62" customHeight="1">
      <x:c r="A106" s="28" t="str">
        <x:v>STN-0105</x:v>
      </x:c>
      <x:c r="B106" s="28" t="str">
        <x:v>персик</x:v>
      </x:c>
      <x:c r="C106" s="28" t="str">
        <x:v>Универсальные</x:v>
      </x:c>
      <x:c r="D106" s="28" t="str">
        <x:v>персик</x:v>
      </x:c>
      <x:c r="E106" s="28" t="str">
        <x:v>peach</x:v>
      </x:c>
      <x:c r="F106" s="28" t="str">
        <x:v>Косточковые фрукты</x:v>
      </x:c>
      <x:c r="G106" s="28" t="str">
        <x:v>горгонзола</x:v>
      </x:c>
      <x:c r="H106" s="28" t="str">
        <x:v>Gorgonzola</x:v>
      </x:c>
      <x:c r="I106" s="28" t="str">
        <x:v>Прочее</x:v>
      </x:c>
      <x:c r="J106" s="28" t="str">
        <x:v>сливочный, персиковый, кокосово-лактонный, цветочный, зелёный</x:v>
      </x:c>
      <x:c r="K106" s="28" t="str">
        <x:v>ароматический профиль зависит от конкретного ингредиента</x:v>
      </x:c>
      <x:c r="L106" s="28" t="str">
        <x:v>γ- и δ-декалактон, γ- и δ-додекалактон, линалоол, бензальдегид, гексаналь, цис-3-гексенол</x:v>
      </x:c>
      <x:c r="M106" s="28" t="str">
        <x:v>летучие соединения конкретного продукта</x:v>
      </x:c>
      <x:c r="N106" s="28" t="str">
        <x:v>прямое семейное перекрытие не является главным механизмом</x:v>
      </x:c>
      <x:c r="O106" s="28" t="str">
        <x:v>надёжный единичный общий маркер не подтверждён; механизм не сводится к одной молекуле</x:v>
      </x:c>
      <x:c r="P106" s="28" t="str">
        <x:v>комплементарность ароматических семейств, вкусовой контраст и матричный эффект</x:v>
      </x:c>
      <x:c r="Q106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</x:v>
      </x:c>
      <x:c r="R106" s="28" t="str">
        <x:v>обычно слабый; кислота даёт свежесть; партнёр: возможен в зависимости от состава</x:v>
      </x:c>
      <x:c r="S106" s="28" t="str">
        <x:v>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</x:v>
      </x:c>
      <x:c r="T10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U10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Горгонзола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V10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06" s="28" t="str">
        <x:v>мёд, цитрус или нейтральная жировая основа</x:v>
      </x:c>
      <x:c r="X106" s="28" t="str">
        <x:v>напиток, соус, десерт или горячее блюдо после пробной дегустации</x:v>
      </x:c>
      <x:c r="Y106" s="28" t="str">
        <x:v>напитки; еда; десерты; соусы/маринады</x:v>
      </x:c>
      <x:c r="Z106" s="28" t="str">
        <x:v>Средняя</x:v>
      </x:c>
      <x:c r="AA106" s="28" t="str">
        <x:v>The Art &amp; Science of Foodpairing.pdf</x:v>
      </x:c>
      <x:c r="AB106" s="28" t="str">
        <x:v>The Art &amp; Science of Foodpairing.pdf: 260–261</x:v>
      </x:c>
      <x:c r="AC106" s="28" t="str">
        <x:v>Ingredient pairings with peach and nectarine: Gorgonzola.</x:v>
      </x:c>
      <x:c r="AD106" s="28" t="n">
        <x:v>1</x:v>
      </x:c>
      <x:c r="AE106" s="28" t="n">
        <x:v>1</x:v>
      </x:c>
      <x:c r="AF106" s="28" t="n">
        <x:f>IF(Z106="Высокая",3,IF(Z106="Средняя",2,1))+AD106*2+MIN(AE106,3)</x:f>
        <x:v>5</x:v>
      </x:c>
    </x:row>
    <x:row r="107" ht="62" customHeight="1">
      <x:c r="A107" s="28" t="str">
        <x:v>STN-0106</x:v>
      </x:c>
      <x:c r="B107" s="28" t="str">
        <x:v>персик</x:v>
      </x:c>
      <x:c r="C107" s="28" t="str">
        <x:v>Универсальные</x:v>
      </x:c>
      <x:c r="D107" s="28" t="str">
        <x:v>персик</x:v>
      </x:c>
      <x:c r="E107" s="28" t="str">
        <x:v>peach</x:v>
      </x:c>
      <x:c r="F107" s="28" t="str">
        <x:v>Косточковые фрукты</x:v>
      </x:c>
      <x:c r="G107" s="28" t="str">
        <x:v>гранат</x:v>
      </x:c>
      <x:c r="H107" s="28" t="str">
        <x:v>pomegranate</x:v>
      </x:c>
      <x:c r="I107" s="28" t="str">
        <x:v>Субтропические фрукты</x:v>
      </x:c>
      <x:c r="J107" s="28" t="str">
        <x:v>сливочный, персиковый, кокосово-лактонный, цветочный, зелёный</x:v>
      </x:c>
      <x:c r="K107" s="28" t="str">
        <x:v>красно-фруктовый, цветочный, зелёный и винный</x:v>
      </x:c>
      <x:c r="L107" s="28" t="str">
        <x:v>γ- и δ-декалактон, γ- и δ-додекалактон, линалоол, бензальдегид, гексаналь, цис-3-гексенол</x:v>
      </x:c>
      <x:c r="M107" s="28" t="str">
        <x:v>гексаналь, (E)-2-гексеналь, эфиры, терпены; нелетучие пуникалагины и антоцианы</x:v>
      </x:c>
      <x:c r="N107" s="28" t="str">
        <x:v>цветочный, зелёный</x:v>
      </x:c>
      <x:c r="O107" s="28" t="str">
        <x:v>гексаналь</x:v>
      </x:c>
      <x:c r="P107" s="28" t="str">
        <x:v>прямое или классовое перекрытие характерных одорантов + вкусовой баланс</x:v>
      </x:c>
      <x:c r="Q107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яркая кислотность, сладость и выраженная терпкость. Баланс корректируется сахаром, кислотой, солью и горечью.</x:v>
      </x:c>
      <x:c r="R107" s="28" t="str">
        <x:v>обычно слабый; кислота даёт свежесть; партнёр: кислотное покалывание зависит от плода; специальные эффекты указаны в паспорте</x:v>
      </x:c>
      <x:c r="S107" s="28" t="str">
        <x:v>сочная пектиновая мякоть; кожица несёт зелёные и цветочные ноты; лактоны хорошо удерживаются жиром и этанолом. Партнёр: водный сок с полифенолами; семена дают хруст и лёгкую горечь.</x:v>
      </x:c>
      <x:c r="T10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U10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Гранат относится к группе «Субтропические фрукты» и даёт профиль «красно-фруктовый, цветочный, зелёный и винный»; типичные соединения или классы: гексаналь, (E)-2-гексеналь, эфиры, терпены; нелетучие пуникалагины и антоцианы. В рабочих профилях пересекаются: гексаналь.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яркая кислотность, сладость и выраженная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водный сок с полифенолами; семена дают хруст и лёгкую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V10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07" s="28" t="str">
        <x:v>мёд, цитрус или нейтральная жировая основа</x:v>
      </x:c>
      <x:c r="X107" s="28" t="str">
        <x:v>напиток, соус, десерт или горячее блюдо после пробной дегустации</x:v>
      </x:c>
      <x:c r="Y107" s="28" t="str">
        <x:v>напитки; еда; десерты; соусы/маринады</x:v>
      </x:c>
      <x:c r="Z107" s="28" t="str">
        <x:v>Средняя</x:v>
      </x:c>
      <x:c r="AA107" s="28" t="str">
        <x:v>The Art &amp; Science of Foodpairing.pdf</x:v>
      </x:c>
      <x:c r="AB107" s="28" t="str">
        <x:v>The Art &amp; Science of Foodpairing.pdf: 260–261</x:v>
      </x:c>
      <x:c r="AC107" s="28" t="str">
        <x:v>Ingredient pairings with peach and nectarine: pomegranate.</x:v>
      </x:c>
      <x:c r="AD107" s="28" t="n">
        <x:v>1</x:v>
      </x:c>
      <x:c r="AE107" s="28" t="n">
        <x:v>1</x:v>
      </x:c>
      <x:c r="AF107" s="28" t="n">
        <x:f>IF(Z107="Высокая",3,IF(Z107="Средняя",2,1))+AD107*2+MIN(AE107,3)</x:f>
        <x:v>5</x:v>
      </x:c>
    </x:row>
    <x:row r="108" ht="62" customHeight="1">
      <x:c r="A108" s="28" t="str">
        <x:v>STN-0107</x:v>
      </x:c>
      <x:c r="B108" s="28" t="str">
        <x:v>персик</x:v>
      </x:c>
      <x:c r="C108" s="28" t="str">
        <x:v>Десерты и выпечка</x:v>
      </x:c>
      <x:c r="D108" s="28" t="str">
        <x:v>персик</x:v>
      </x:c>
      <x:c r="E108" s="28" t="str">
        <x:v>peach</x:v>
      </x:c>
      <x:c r="F108" s="28" t="str">
        <x:v>Косточковые фрукты</x:v>
      </x:c>
      <x:c r="G108" s="28" t="str">
        <x:v>грецкий орех</x:v>
      </x:c>
      <x:c r="H108" s="28" t="str">
        <x:v>грецкий орех</x:v>
      </x:c>
      <x:c r="I108" s="28" t="str">
        <x:v>Орехи и семена</x:v>
      </x:c>
      <x:c r="J108" s="28" t="str">
        <x:v>сливочный, персиковый, кокосово-лактонный, цветочный, зелёный</x:v>
      </x:c>
      <x:c r="K108" s="28" t="str">
        <x:v>ореховый, жареный, маслянистый и иногда миндальный</x:v>
      </x:c>
      <x:c r="L108" s="28" t="str">
        <x:v>γ- и δ-декалактон, γ- и δ-додекалактон, линалоол, бензальдегид, гексаналь, цис-3-гексенол</x:v>
      </x:c>
      <x:c r="M108" s="28" t="str">
        <x:v>пиразины, бензальдегид, филбертон, жирные альдегиды</x:v>
      </x:c>
      <x:c r="N108" s="28" t="str">
        <x:v>прямое семейное перекрытие не является главным механизмом</x:v>
      </x:c>
      <x:c r="O108" s="28" t="str">
        <x:v>бензальдегид</x:v>
      </x:c>
      <x:c r="P108" s="28" t="str">
        <x:v>прямое или классовое перекрытие характерных одорантов + вкусовой баланс</x:v>
      </x:c>
      <x:c r="Q108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108" s="28" t="str">
        <x:v>обычно слабый; кислота даёт свежесть; партнёр: обычно отсутствует</x:v>
      </x:c>
      <x:c r="S108" s="28" t="str">
        <x:v>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</x:v>
      </x:c>
      <x:c r="T10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10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Грецкий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108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W108" s="28" t="str">
        <x:v>ваниль, шоколад или корица</x:v>
      </x:c>
      <x:c r="X108" s="28" t="str">
        <x:v>тарт, крем, мороженое, выпечка, сырная подача или начинка</x:v>
      </x:c>
      <x:c r="Y108" s="28" t="str">
        <x:v>десерты; еда</x:v>
      </x:c>
      <x:c r="Z108" s="28" t="str">
        <x:v>Гипотеза / практическая</x:v>
      </x:c>
      <x:c r="AA108" s="28" t="str">
        <x:v>Таблица сочетания(1).pdf</x:v>
      </x:c>
      <x:c r="AB108" s="28" t="str">
        <x:v>Таблица сочетания(1).pdf: 15</x:v>
      </x:c>
      <x:c r="AC108" s="28" t="str">
        <x:v>Пара указана в строке «Персик» → колонка «Другое».</x:v>
      </x:c>
      <x:c r="AD108" s="28" t="n">
        <x:v>1</x:v>
      </x:c>
      <x:c r="AE108" s="28" t="n">
        <x:v>1</x:v>
      </x:c>
      <x:c r="AF108" s="28" t="n">
        <x:f>IF(Z108="Высокая",3,IF(Z108="Средняя",2,1))+AD108*2+MIN(AE108,3)</x:f>
        <x:v>4</x:v>
      </x:c>
    </x:row>
    <x:row r="109" ht="62" customHeight="1">
      <x:c r="A109" s="28" t="str">
        <x:v>STN-0108</x:v>
      </x:c>
      <x:c r="B109" s="28" t="str">
        <x:v>персик</x:v>
      </x:c>
      <x:c r="C109" s="28" t="str">
        <x:v>Универсальные</x:v>
      </x:c>
      <x:c r="D109" s="28" t="str">
        <x:v>персик</x:v>
      </x:c>
      <x:c r="E109" s="28" t="str">
        <x:v>peach</x:v>
      </x:c>
      <x:c r="F109" s="28" t="str">
        <x:v>Косточковые фрукты</x:v>
      </x:c>
      <x:c r="G109" s="28" t="str">
        <x:v>грюйер</x:v>
      </x:c>
      <x:c r="H109" s="28" t="str">
        <x:v>Gruyere</x:v>
      </x:c>
      <x:c r="I109" s="28" t="str">
        <x:v>Молочные продукты и сыры</x:v>
      </x:c>
      <x:c r="J109" s="28" t="str">
        <x:v>сливочный, персиковый, кокосово-лактонный, цветочный, зелёный</x:v>
      </x:c>
      <x:c r="K109" s="28" t="str">
        <x:v>масляный, молочный, сливочный, сырный</x:v>
      </x:c>
      <x:c r="L109" s="28" t="str">
        <x:v>γ- и δ-декалактон, γ- и δ-додекалактон, линалоол, бензальдегид, гексаналь, цис-3-гексенол</x:v>
      </x:c>
      <x:c r="M109" s="28" t="str">
        <x:v>диацетил, жирные кислоты, лактоны</x:v>
      </x:c>
      <x:c r="N109" s="28" t="str">
        <x:v>сливочный</x:v>
      </x:c>
      <x:c r="O109" s="28" t="str">
        <x:v>надёжный единичный общий маркер не подтверждён; механизм не сводится к одной молекуле</x:v>
      </x:c>
      <x:c r="P109" s="28" t="str">
        <x:v>комплементарность ароматических семейств, вкусовой контраст и матричный эффект</x:v>
      </x:c>
      <x:c r="Q109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жирный, кислый/солёный. Баланс корректируется сахаром, кислотой, солью и горечью.</x:v>
      </x:c>
      <x:c r="R109" s="28" t="str">
        <x:v>обычно слабый; кислота даёт свежесть; партнёр: обычно отсутствует; зависит от конкретного продукта</x:v>
      </x:c>
      <x:c r="S109" s="28" t="str">
        <x:v>сочная пектиновая мякоть; кожица несёт зелёные и цветочные ноты; лактоны хорошо удерживаются жиром и этанолом. Партнёр: жировая и белковая матрица смягчает кислотность.</x:v>
      </x:c>
      <x:c r="T10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10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Грюйер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жирный, кислый/солёный.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жировая и белковая матрица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10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09" s="28" t="str">
        <x:v>мёд, цитрус или нейтральная жировая основа</x:v>
      </x:c>
      <x:c r="X109" s="28" t="str">
        <x:v>напиток, соус, десерт или горячее блюдо после пробной дегустации</x:v>
      </x:c>
      <x:c r="Y109" s="28" t="str">
        <x:v>напитки; еда; десерты; соусы/маринады</x:v>
      </x:c>
      <x:c r="Z109" s="28" t="str">
        <x:v>Средняя</x:v>
      </x:c>
      <x:c r="AA109" s="28" t="str">
        <x:v>The Art &amp; Science of Foodpairing.pdf</x:v>
      </x:c>
      <x:c r="AB109" s="28" t="str">
        <x:v>The Art &amp; Science of Foodpairing.pdf: 260–261</x:v>
      </x:c>
      <x:c r="AC109" s="28" t="str">
        <x:v>Ingredient pairings with peach and nectarine: Gruyere.</x:v>
      </x:c>
      <x:c r="AD109" s="28" t="n">
        <x:v>1</x:v>
      </x:c>
      <x:c r="AE109" s="28" t="n">
        <x:v>1</x:v>
      </x:c>
      <x:c r="AF109" s="28" t="n">
        <x:f>IF(Z109="Высокая",3,IF(Z109="Средняя",2,1))+AD109*2+MIN(AE109,3)</x:f>
        <x:v>5</x:v>
      </x:c>
    </x:row>
    <x:row r="110" ht="62" customHeight="1">
      <x:c r="A110" s="28" t="str">
        <x:v>STN-0109</x:v>
      </x:c>
      <x:c r="B110" s="28" t="str">
        <x:v>персик</x:v>
      </x:c>
      <x:c r="C110" s="28" t="str">
        <x:v>Еда и соусы</x:v>
      </x:c>
      <x:c r="D110" s="28" t="str">
        <x:v>персик</x:v>
      </x:c>
      <x:c r="E110" s="28" t="str">
        <x:v>peach</x:v>
      </x:c>
      <x:c r="F110" s="28" t="str">
        <x:v>Косточковые фрукты</x:v>
      </x:c>
      <x:c r="G110" s="28" t="str">
        <x:v>доджанг</x:v>
      </x:c>
      <x:c r="H110" s="28" t="str">
        <x:v>doenjang (Korean fermented soybean paste)</x:v>
      </x:c>
      <x:c r="I110" s="28" t="str">
        <x:v>Ферментированные продукты, соусы и уксусы</x:v>
      </x:c>
      <x:c r="J110" s="28" t="str">
        <x:v>сливочный, персиковый, кокосово-лактонный, цветочный, зелёный</x:v>
      </x:c>
      <x:c r="K110" s="28" t="str">
        <x:v>кислый, умами, ферментированный</x:v>
      </x:c>
      <x:c r="L110" s="28" t="str">
        <x:v>γ- и δ-декалактон, γ- и δ-додекалактон, линалоол, бензальдегид, гексаналь, цис-3-гексенол</x:v>
      </x:c>
      <x:c r="M110" s="28" t="str">
        <x:v>аминокислоты, органические кислоты, эфиры</x:v>
      </x:c>
      <x:c r="N110" s="28" t="str">
        <x:v>прямое семейное перекрытие не является главным механизмом</x:v>
      </x:c>
      <x:c r="O110" s="28" t="str">
        <x:v>надёжный единичный общий маркер не подтверждён; механизм не сводится к одной молекуле</x:v>
      </x:c>
      <x:c r="P110" s="28" t="str">
        <x:v>комплементарность ароматических семейств, вкусовой контраст и матричный эффект</x:v>
      </x:c>
      <x:c r="Q110" s="28" t="str">
        <x:v>Кислота, соль и умами усиливают контраст с фруктовой сладостью; сочетание работает в малой дозировке как приправа.</x:v>
      </x:c>
      <x:c r="R110" s="28" t="str">
        <x:v>обычно слабый; кислота даёт свежесть; партнёр: обычно отсутствует; зависит от конкретного продукта</x:v>
      </x:c>
      <x:c r="S110" s="28" t="str">
        <x:v>сочная пектиновая мякоть; кожица несёт зелёные и цветочные ноты; лактоны хорошо удерживаются жиром и этанолом. Партнёр: вода, соль и продукты ферментации.</x:v>
      </x:c>
      <x:c r="T11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11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Доджанг относится к группе «Ферментированные продукты, соусы и уксусы» и даёт профиль «кислый, умами, ферментированный»; типичные соединения или классы: аминокислоты, органические кислоты, эфиры. По доступным материалам нельзя уверенно свести совместимость к одной общей молекуле. Кислота, соль и умами усиливают контраст с фруктовой сладостью; сочетание работает в малой дозировке как приправа. Матрица пары: сочная пектиновая мякоть; кожица несёт зелёные и цветочные ноты; лактоны хорошо удерживаются жиром и этанолом. Партнёр: вода, соль и продукты ферментации.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110" s="28" t="str">
        <x:v>незрелый плод ароматически беден; перезрелый быстро окисляется; косточки не использовать без безопасной технологии. Соль и кислота быстро становятся доминирующими; используйте как акцент.</x:v>
      </x:c>
      <x:c r="W110" s="28" t="str">
        <x:v>мёд, имбирь или соевый соус</x:v>
      </x:c>
      <x:c r="X110" s="28" t="str">
        <x:v>соус, глазировка, чатни, маринад, гарнир или основное блюдо</x:v>
      </x:c>
      <x:c r="Y110" s="28" t="str">
        <x:v>еда; соусы/маринады</x:v>
      </x:c>
      <x:c r="Z110" s="28" t="str">
        <x:v>Средняя</x:v>
      </x:c>
      <x:c r="AA110" s="28" t="str">
        <x:v>The Art &amp; Science of Foodpairing.pdf</x:v>
      </x:c>
      <x:c r="AB110" s="28" t="str">
        <x:v>The Art &amp; Science of Foodpairing.pdf: 260–261</x:v>
      </x:c>
      <x:c r="AC110" s="28" t="str">
        <x:v>Ingredient pairings with peach and nectarine: doenjang (Korean fermented soybean paste).</x:v>
      </x:c>
      <x:c r="AD110" s="28" t="n">
        <x:v>1</x:v>
      </x:c>
      <x:c r="AE110" s="28" t="n">
        <x:v>1</x:v>
      </x:c>
      <x:c r="AF110" s="28" t="n">
        <x:f>IF(Z110="Высокая",3,IF(Z110="Средняя",2,1))+AD110*2+MIN(AE110,3)</x:f>
        <x:v>5</x:v>
      </x:c>
    </x:row>
    <x:row r="111" ht="62" customHeight="1">
      <x:c r="A111" s="28" t="str">
        <x:v>STN-0110</x:v>
      </x:c>
      <x:c r="B111" s="28" t="str">
        <x:v>персик</x:v>
      </x:c>
      <x:c r="C111" s="28" t="str">
        <x:v>Еда и соусы</x:v>
      </x:c>
      <x:c r="D111" s="28" t="str">
        <x:v>персик</x:v>
      </x:c>
      <x:c r="E111" s="28" t="str">
        <x:v>peach</x:v>
      </x:c>
      <x:c r="F111" s="28" t="str">
        <x:v>Косточковые фрукты</x:v>
      </x:c>
      <x:c r="G111" s="28" t="str">
        <x:v>доенджан</x:v>
      </x:c>
      <x:c r="H111" s="28" t="str">
        <x:v>Doenjang</x:v>
      </x:c>
      <x:c r="I111" s="28" t="str">
        <x:v>Ферментированные продукты, соусы и уксусы</x:v>
      </x:c>
      <x:c r="J111" s="28" t="str">
        <x:v>сливочный, персиковый, кокосово-лактонный, цветочный, зелёный</x:v>
      </x:c>
      <x:c r="K111" s="28" t="str">
        <x:v>умами, ферментированный, солёный, кислый и иногда жареный</x:v>
      </x:c>
      <x:c r="L111" s="28" t="str">
        <x:v>γ- и δ-декалактон, γ- и δ-додекалактон, линалоол, бензальдегид, гексаналь, цис-3-гексенол</x:v>
      </x:c>
      <x:c r="M111" s="28" t="str">
        <x:v>органические кислоты, эфиры, пиразины, сернистые соединения</x:v>
      </x:c>
      <x:c r="N111" s="28" t="str">
        <x:v>прямое семейное перекрытие не является главным механизмом</x:v>
      </x:c>
      <x:c r="O111" s="28" t="str">
        <x:v>надёжный единичный общий маркер не подтверждён; механизм не сводится к одной молекуле</x:v>
      </x:c>
      <x:c r="P111" s="28" t="str">
        <x:v>комплементарность ароматических семейств, вкусовой контраст и матричный эффект</x:v>
      </x:c>
      <x:c r="Q111" s="28" t="str">
        <x:v>Кислота, соль и умами усиливают контраст с фруктовой сладостью; сочетание работает в малой дозировке как приправа.</x:v>
      </x:c>
      <x:c r="R111" s="28" t="str">
        <x:v>обычно слабый; кислота даёт свежесть; партнёр: уксусная кислота даёт резкое покалывание</x:v>
      </x:c>
      <x:c r="S111" s="28" t="str">
        <x:v>сочная пектиновая мякоть; кожица несёт зелёные и цветочные ноты; лактоны хорошо удерживаются жиром и этанолом. Партнёр: часто водная и солёная; концентраты требуют малых доз.</x:v>
      </x:c>
      <x:c r="T11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U11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Доенджан относится к группе «Ферментированные продукты, соусы и уксусы» и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По доступным материалам нельзя уверенно свести совместимость к одной общей молекуле. Кислота, соль и умами усиливают контраст с фруктовой сладостью; сочетание работает в малой дозировке как приправа. Матрица пары: сочная пектиновая мякоть; кожица несёт зелёные и цветочные ноты; лактоны хорошо удерживаются жиром и этанолом. Партнёр: часто водная и солёная; концентраты требуют малых доз.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V111" s="28" t="str">
        <x:v>незрелый плод ароматически беден; перезрелый быстро окисляется; косточки не использовать без безопасной технологии. Соль и кислота быстро становятся доминирующими; используйте как акцент.</x:v>
      </x:c>
      <x:c r="W111" s="28" t="str">
        <x:v>мёд, имбирь или соевый соус</x:v>
      </x:c>
      <x:c r="X111" s="28" t="str">
        <x:v>соус, глазировка, чатни, маринад, гарнир или основное блюдо</x:v>
      </x:c>
      <x:c r="Y111" s="28" t="str">
        <x:v>еда; соусы/маринады</x:v>
      </x:c>
      <x:c r="Z111" s="28" t="str">
        <x:v>Средняя</x:v>
      </x:c>
      <x:c r="AA111" s="28" t="str">
        <x:v>The Art &amp; Science of Foodpairing.pdf</x:v>
      </x:c>
      <x:c r="AB111" s="28" t="str">
        <x:v>The Art &amp; Science of Foodpairing.pdf: 246</x:v>
      </x:c>
      <x:c r="AC111" s="28" t="str">
        <x:v>Ингредиент «peach» указан на странице профиля/сетки сочетаний «Doenjang».</x:v>
      </x:c>
      <x:c r="AD111" s="28" t="n">
        <x:v>1</x:v>
      </x:c>
      <x:c r="AE111" s="28" t="n">
        <x:v>1</x:v>
      </x:c>
      <x:c r="AF111" s="28" t="n">
        <x:f>IF(Z111="Высокая",3,IF(Z111="Средняя",2,1))+AD111*2+MIN(AE111,3)</x:f>
        <x:v>5</x:v>
      </x:c>
    </x:row>
    <x:row r="112" ht="62" customHeight="1">
      <x:c r="A112" s="28" t="str">
        <x:v>STN-0111</x:v>
      </x:c>
      <x:c r="B112" s="28" t="str">
        <x:v>персик</x:v>
      </x:c>
      <x:c r="C112" s="28" t="str">
        <x:v>Десерты и выпечка</x:v>
      </x:c>
      <x:c r="D112" s="28" t="str">
        <x:v>персик</x:v>
      </x:c>
      <x:c r="E112" s="28" t="str">
        <x:v>peach</x:v>
      </x:c>
      <x:c r="F112" s="28" t="str">
        <x:v>Косточковые фрукты</x:v>
      </x:c>
      <x:c r="G112" s="28" t="str">
        <x:v>дыня ханидью</x:v>
      </x:c>
      <x:c r="H112" s="28" t="str">
        <x:v>honeydew melon</x:v>
      </x:c>
      <x:c r="I112" s="28" t="str">
        <x:v>Фрукты</x:v>
      </x:c>
      <x:c r="J112" s="28" t="str">
        <x:v>сливочный, персиковый, кокосово-лактонный, цветочный, зелёный</x:v>
      </x:c>
      <x:c r="K112" s="28" t="str">
        <x:v>фруктовый, цветочный, зелёный или тропический</x:v>
      </x:c>
      <x:c r="L112" s="28" t="str">
        <x:v>γ- и δ-декалактон, γ- и δ-додекалактон, линалоол, бензальдегид, гексаналь, цис-3-гексенол</x:v>
      </x:c>
      <x:c r="M112" s="28" t="str">
        <x:v>фруктовые эфиры, терпены, альдегиды и лактоны</x:v>
      </x:c>
      <x:c r="N112" s="28" t="str">
        <x:v>цветочный, зелёный</x:v>
      </x:c>
      <x:c r="O112" s="28" t="str">
        <x:v>надёжный единичный общий маркер не подтверждён; механизм не сводится к одной молекуле</x:v>
      </x:c>
      <x:c r="P112" s="28" t="str">
        <x:v>комплементарность ароматических семейств, вкусовой контраст и матричный эффект</x:v>
      </x:c>
      <x:c r="Q112" s="28" t="str">
        <x:v>Близкие фруктовые эфиры создают непрерывность, а различия в кислотности, терпкости и сладости формируют контраст.</x:v>
      </x:c>
      <x:c r="R112" s="28" t="str">
        <x:v>обычно слабый; кислота даёт свежесть; партнёр: обычно слабый</x:v>
      </x:c>
      <x:c r="S112" s="28" t="str">
        <x:v>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</x:v>
      </x:c>
      <x:c r="T11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1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Дыня ханидью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1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12" s="28" t="str">
        <x:v>цитрус, мята или ваниль</x:v>
      </x:c>
      <x:c r="X112" s="28" t="str">
        <x:v>сорбет, салат, джем, кордиал, лимонад, коктейль или фруктовый соус</x:v>
      </x:c>
      <x:c r="Y112" s="28" t="str">
        <x:v>напитки; десерты; соусы/маринады</x:v>
      </x:c>
      <x:c r="Z112" s="28" t="str">
        <x:v>Средняя</x:v>
      </x:c>
      <x:c r="AA112" s="28" t="str">
        <x:v>The Art &amp; Science of Foodpairing.pdf</x:v>
      </x:c>
      <x:c r="AB112" s="28" t="str">
        <x:v>The Art &amp; Science of Foodpairing.pdf: 260–261</x:v>
      </x:c>
      <x:c r="AC112" s="28" t="str">
        <x:v>Ingredient pairings with peach and nectarine: honeydew melon.</x:v>
      </x:c>
      <x:c r="AD112" s="28" t="n">
        <x:v>1</x:v>
      </x:c>
      <x:c r="AE112" s="28" t="n">
        <x:v>1</x:v>
      </x:c>
      <x:c r="AF112" s="28" t="n">
        <x:f>IF(Z112="Высокая",3,IF(Z112="Средняя",2,1))+AD112*2+MIN(AE112,3)</x:f>
        <x:v>5</x:v>
      </x:c>
    </x:row>
    <x:row r="113" ht="62" customHeight="1">
      <x:c r="A113" s="28" t="str">
        <x:v>STN-0112</x:v>
      </x:c>
      <x:c r="B113" s="28" t="str">
        <x:v>персик</x:v>
      </x:c>
      <x:c r="C113" s="28" t="str">
        <x:v>Десерты и выпечка</x:v>
      </x:c>
      <x:c r="D113" s="28" t="str">
        <x:v>персик</x:v>
      </x:c>
      <x:c r="E113" s="28" t="str">
        <x:v>peach</x:v>
      </x:c>
      <x:c r="F113" s="28" t="str">
        <x:v>Косточковые фрукты</x:v>
      </x:c>
      <x:c r="G113" s="28" t="str">
        <x:v>ежевика</x:v>
      </x:c>
      <x:c r="H113" s="28" t="str">
        <x:v>blackberry | Ежевика | ежевика</x:v>
      </x:c>
      <x:c r="I113" s="28" t="str">
        <x:v>Ягоды</x:v>
      </x:c>
      <x:c r="J113" s="28" t="str">
        <x:v>сливочный, персиковый, кокосово-лактонный, цветочный, зелёный</x:v>
      </x:c>
      <x:c r="K113" s="28" t="str">
        <x:v>красно-фруктовый, цветочный, зелёный и иногда сернистый</x:v>
      </x:c>
      <x:c r="L113" s="28" t="str">
        <x:v>γ- и δ-декалактон, γ- и δ-додекалактон, линалоол, бензальдегид, гексаналь, цис-3-гексенол</x:v>
      </x:c>
      <x:c r="M113" s="28" t="str">
        <x:v>фуранеол, эфиры, иононы, зелёные альдегиды</x:v>
      </x:c>
      <x:c r="N113" s="28" t="str">
        <x:v>цветочный, зелёный</x:v>
      </x:c>
      <x:c r="O113" s="28" t="str">
        <x:v>надёжный единичный общий маркер не подтверждён; механизм не сводится к одной молекуле</x:v>
      </x:c>
      <x:c r="P113" s="28" t="str">
        <x:v>комплементарность ароматических семейств, вкусовой контраст и матричный эффект</x:v>
      </x:c>
      <x:c r="Q113" s="28" t="str">
        <x:v>Близкие фруктовые эфиры создают непрерывность, а различия в кислотности, терпкости и сладости формируют контраст.</x:v>
      </x:c>
      <x:c r="R113" s="28" t="str">
        <x:v>обычно слабый; кислота даёт свежесть; партнёр: обычно слабый; кислота усиливает свежесть</x:v>
      </x:c>
      <x:c r="S113" s="28" t="str">
        <x:v>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</x:v>
      </x:c>
      <x:c r="T11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11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Ежевика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11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13" s="28" t="str">
        <x:v>ваниль, мята или миндаль</x:v>
      </x:c>
      <x:c r="X113" s="28" t="str">
        <x:v>сорбет, салат, джем, кордиал, лимонад, коктейль или фруктовый соус</x:v>
      </x:c>
      <x:c r="Y113" s="28" t="str">
        <x:v>напитки; десерты; соусы/маринады</x:v>
      </x:c>
      <x:c r="Z113" s="28" t="str">
        <x:v>Высокая</x:v>
      </x:c>
      <x:c r="AA113" s="28" t="str">
        <x:v>The Art &amp; Science of Foodpairing.pdf | Таблица сочетания(1).pdf | Тезариус вкусов (Ники Сегнит)(1).pdf</x:v>
      </x:c>
      <x:c r="AB113" s="28" t="str">
        <x:v>The Art &amp; Science of Foodpairing.pdf: Тезариус вкусов: 750, 882; The Art &amp; Science of Foodpairing: 260; Таблица сочетаний: 2, 15 | Таблица сочетания(1).pdf: 2 | Таблица сочетания(1).pdf: 15 | Тезариус вкусов (Ники Сегнит)(1).pdf: 750 | Тезариус вкусов (Ники Сегнит)(1).pdf: 882 | The Art &amp; Science of Foodpairing.pdf: 260–261</x:v>
      </x:c>
      <x:c r="AC113" s="28" t="str">
        <x:v>Персик и ежевика. В конце лета отварные персики обладают достаточно богатым вкусом, чтобы достой- но встретить тяжелые, пряные вкусы осени, например вкус ежевики. Объедините их в коблере (cobbler) – за- печенном фруктовом пудинге с булочками, которые смотрятся как брусчатка, уложенная на фрукты (ины- ми словами, коблер – это такой крамбл с претензия- ми). Очистите четыре персика, выньте косточки, на- режьте мякоть ломтиками, смешайте с несколькими горстями ежевики и выложите в форму для выпека- ния. Посыпьте 3 ст. л. сахара, в нескольких местах положите маленькие кусочки сливочного масла. В ку- хонный комбайн поместите 200 г простой муки, 4 ч | Ежевика и персик. См. Персик и ежевика | Ежевика: персик | Персик: ежевика Пара указана в строке «Ежевика»: «персик» находится в колонке «Фрукты». Пара указана в строке «Персик» → колонка «Фрукты».</x:v>
      </x:c>
      <x:c r="AD113" s="28" t="n">
        <x:v>3</x:v>
      </x:c>
      <x:c r="AE113" s="28" t="n">
        <x:v>6</x:v>
      </x:c>
      <x:c r="AF113" s="28" t="n">
        <x:f>IF(Z113="Высокая",3,IF(Z113="Средняя",2,1))+AD113*2+MIN(AE113,3)</x:f>
        <x:v>12</x:v>
      </x:c>
    </x:row>
    <x:row r="114" ht="62" customHeight="1">
      <x:c r="A114" s="28" t="str">
        <x:v>STN-0113</x:v>
      </x:c>
      <x:c r="B114" s="28" t="str">
        <x:v>персик</x:v>
      </x:c>
      <x:c r="C114" s="28" t="str">
        <x:v>Универсальные</x:v>
      </x:c>
      <x:c r="D114" s="28" t="str">
        <x:v>персик</x:v>
      </x:c>
      <x:c r="E114" s="28" t="str">
        <x:v>peach</x:v>
      </x:c>
      <x:c r="F114" s="28" t="str">
        <x:v>Косточковые фрукты</x:v>
      </x:c>
      <x:c r="G114" s="28" t="str">
        <x:v>жареное филе куриной грудки</x:v>
      </x:c>
      <x:c r="H114" s="28" t="str">
        <x:v>pan-fried chicken breast fillet</x:v>
      </x:c>
      <x:c r="I114" s="28" t="str">
        <x:v>Прочее</x:v>
      </x:c>
      <x:c r="J114" s="28" t="str">
        <x:v>сливочный, персиковый, кокосово-лактонный, цветочный, зелёный</x:v>
      </x:c>
      <x:c r="K114" s="28" t="str">
        <x:v>ароматический профиль зависит от конкретного ингредиента</x:v>
      </x:c>
      <x:c r="L114" s="28" t="str">
        <x:v>γ- и δ-декалактон, γ- и δ-додекалактон, линалоол, бензальдегид, гексаналь, цис-3-гексенол</x:v>
      </x:c>
      <x:c r="M114" s="28" t="str">
        <x:v>летучие соединения конкретного продукта</x:v>
      </x:c>
      <x:c r="N114" s="28" t="str">
        <x:v>прямое семейное перекрытие не является главным механизмом</x:v>
      </x:c>
      <x:c r="O114" s="28" t="str">
        <x:v>надёжный единичный общий маркер не подтверждён; механизм не сводится к одной молекуле</x:v>
      </x:c>
      <x:c r="P114" s="28" t="str">
        <x:v>комплементарность ароматических семейств, вкусовой контраст и матричный эффект</x:v>
      </x:c>
      <x:c r="Q114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</x:v>
      </x:c>
      <x:c r="R114" s="28" t="str">
        <x:v>обычно слабый; кислота даёт свежесть; партнёр: возможен в зависимости от состава</x:v>
      </x:c>
      <x:c r="S114" s="28" t="str">
        <x:v>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</x:v>
      </x:c>
      <x:c r="T11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U11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Жареное филе куриной грудки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V11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14" s="28" t="str">
        <x:v>мёд, цитрус или нейтральная жировая основа</x:v>
      </x:c>
      <x:c r="X114" s="28" t="str">
        <x:v>напиток, соус, десерт или горячее блюдо после пробной дегустации</x:v>
      </x:c>
      <x:c r="Y114" s="28" t="str">
        <x:v>напитки; еда; десерты; соусы/маринады</x:v>
      </x:c>
      <x:c r="Z114" s="28" t="str">
        <x:v>Средняя</x:v>
      </x:c>
      <x:c r="AA114" s="28" t="str">
        <x:v>The Art &amp; Science of Foodpairing.pdf</x:v>
      </x:c>
      <x:c r="AB114" s="28" t="str">
        <x:v>The Art &amp; Science of Foodpairing.pdf: 260–261</x:v>
      </x:c>
      <x:c r="AC114" s="28" t="str">
        <x:v>Ingredient pairings with peach and nectarine: pan-fried chicken breast fillet.</x:v>
      </x:c>
      <x:c r="AD114" s="28" t="n">
        <x:v>1</x:v>
      </x:c>
      <x:c r="AE114" s="28" t="n">
        <x:v>1</x:v>
      </x:c>
      <x:c r="AF114" s="28" t="n">
        <x:f>IF(Z114="Высокая",3,IF(Z114="Средняя",2,1))+AD114*2+MIN(AE114,3)</x:f>
        <x:v>5</x:v>
      </x:c>
    </x:row>
    <x:row r="115" ht="62" customHeight="1">
      <x:c r="A115" s="28" t="str">
        <x:v>STN-0114</x:v>
      </x:c>
      <x:c r="B115" s="28" t="str">
        <x:v>персик</x:v>
      </x:c>
      <x:c r="C115" s="28" t="str">
        <x:v>Универсальные</x:v>
      </x:c>
      <x:c r="D115" s="28" t="str">
        <x:v>персик</x:v>
      </x:c>
      <x:c r="E115" s="28" t="str">
        <x:v>peach</x:v>
      </x:c>
      <x:c r="F115" s="28" t="str">
        <x:v>Косточковые фрукты</x:v>
      </x:c>
      <x:c r="G115" s="28" t="str">
        <x:v>жасмин</x:v>
      </x:c>
      <x:c r="H115" s="28" t="str">
        <x:v>Жасмин</x:v>
      </x:c>
      <x:c r="I115" s="28" t="str">
        <x:v>Травы и цветы</x:v>
      </x:c>
      <x:c r="J115" s="28" t="str">
        <x:v>сливочный, персиковый, кокосово-лактонный, цветочный, зелёный</x:v>
      </x:c>
      <x:c r="K115" s="28" t="str">
        <x:v>зелёный, цветочный, травянистый и эфирно-масличный</x:v>
      </x:c>
      <x:c r="L115" s="28" t="str">
        <x:v>γ- и δ-декалактон, γ- и δ-додекалактон, линалоол, бензальдегид, гексаналь, цис-3-гексенол</x:v>
      </x:c>
      <x:c r="M115" s="28" t="str">
        <x:v>линалоол, гераниол, эвгенол, 1,8-цинеол</x:v>
      </x:c>
      <x:c r="N115" s="28" t="str">
        <x:v>цветочный, зелёный</x:v>
      </x:c>
      <x:c r="O115" s="28" t="str">
        <x:v>линалоол</x:v>
      </x:c>
      <x:c r="P115" s="28" t="str">
        <x:v>прямое или классовое перекрытие характерных одорантов + вкусовой баланс</x:v>
      </x:c>
      <x:c r="Q115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115" s="28" t="str">
        <x:v>обычно слабый; кислота даёт свежесть; партнёр: у мяты возможен холодящий эффект ментола; у некоторых трав — камфорность</x:v>
      </x:c>
      <x:c r="S115" s="28" t="str">
        <x:v>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</x:v>
      </x:c>
      <x:c r="T11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11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Жасмин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11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15" s="28" t="str">
        <x:v>мёд, цитрус или нейтральная жировая основа</x:v>
      </x:c>
      <x:c r="X115" s="28" t="str">
        <x:v>напиток, соус, десерт или горячее блюдо после пробной дегустации</x:v>
      </x:c>
      <x:c r="Y115" s="28" t="str">
        <x:v>напитки; еда; десерты; соусы/маринады</x:v>
      </x:c>
      <x:c r="Z115" s="28" t="str">
        <x:v>Гипотеза / практическая</x:v>
      </x:c>
      <x:c r="AA115" s="28" t="str">
        <x:v>Таблица сочетания(1).pdf</x:v>
      </x:c>
      <x:c r="AB115" s="28" t="str">
        <x:v>Таблица сочетания(1).pdf: 10</x:v>
      </x:c>
      <x:c r="AC115" s="28" t="str">
        <x:v>Пара указана в строке «Жасмин»: «персик» находится в колонке «Фрукты».</x:v>
      </x:c>
      <x:c r="AD115" s="28" t="n">
        <x:v>1</x:v>
      </x:c>
      <x:c r="AE115" s="28" t="n">
        <x:v>1</x:v>
      </x:c>
      <x:c r="AF115" s="28" t="n">
        <x:f>IF(Z115="Высокая",3,IF(Z115="Средняя",2,1))+AD115*2+MIN(AE115,3)</x:f>
        <x:v>4</x:v>
      </x:c>
    </x:row>
    <x:row r="116" ht="62" customHeight="1">
      <x:c r="A116" s="28" t="str">
        <x:v>STN-0115</x:v>
      </x:c>
      <x:c r="B116" s="28" t="str">
        <x:v>персик</x:v>
      </x:c>
      <x:c r="C116" s="28" t="str">
        <x:v>Еда и соусы</x:v>
      </x:c>
      <x:c r="D116" s="28" t="str">
        <x:v>персик</x:v>
      </x:c>
      <x:c r="E116" s="28" t="str">
        <x:v>peach</x:v>
      </x:c>
      <x:c r="F116" s="28" t="str">
        <x:v>Косточковые фрукты</x:v>
      </x:c>
      <x:c r="G116" s="28" t="str">
        <x:v>запеченная индейка</x:v>
      </x:c>
      <x:c r="H116" s="28" t="str">
        <x:v>roast turkey</x:v>
      </x:c>
      <x:c r="I116" s="28" t="str">
        <x:v>Мясо и птица</x:v>
      </x:c>
      <x:c r="J116" s="28" t="str">
        <x:v>сливочный, персиковый, кокосово-лактонный, цветочный, зелёный</x:v>
      </x:c>
      <x:c r="K116" s="28" t="str">
        <x:v>жареный, мясной, жирный, иногда копчёный и пряный</x:v>
      </x:c>
      <x:c r="L116" s="28" t="str">
        <x:v>γ- и δ-декалактон, γ- и δ-додекалактон, линалоол, бензальдегид, гексаналь, цис-3-гексенол</x:v>
      </x:c>
      <x:c r="M116" s="28" t="str">
        <x:v>пиразины, фураны, сернистые соединения, продукты Майяра, жирные альдегиды</x:v>
      </x:c>
      <x:c r="N116" s="28" t="str">
        <x:v>прямое семейное перекрытие не является главным механизмом</x:v>
      </x:c>
      <x:c r="O116" s="28" t="str">
        <x:v>надёжный единичный общий маркер не подтверждён; механизм не сводится к одной молекуле</x:v>
      </x:c>
      <x:c r="P116" s="28" t="str">
        <x:v>комплементарность ароматических семейств, вкусовой контраст и матричный эффект</x:v>
      </x:c>
      <x:c r="Q116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116" s="28" t="str">
        <x:v>обычно слабый; кислота даёт свежесть; партнёр: тепловой/пряный зависит от обработки</x:v>
      </x:c>
      <x:c r="S116" s="28" t="str">
        <x:v>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</x:v>
      </x:c>
      <x:c r="T116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U11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Запеченная индейка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V116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W116" s="28" t="str">
        <x:v>розмарин, горчица или хересный уксус</x:v>
      </x:c>
      <x:c r="X116" s="28" t="str">
        <x:v>соус, глазировка, чатни, маринад, гарнир или основное блюдо</x:v>
      </x:c>
      <x:c r="Y116" s="28" t="str">
        <x:v>еда; соусы/маринады</x:v>
      </x:c>
      <x:c r="Z116" s="28" t="str">
        <x:v>Средняя</x:v>
      </x:c>
      <x:c r="AA116" s="28" t="str">
        <x:v>The Art &amp; Science of Foodpairing.pdf</x:v>
      </x:c>
      <x:c r="AB116" s="28" t="str">
        <x:v>The Art &amp; Science of Foodpairing.pdf: 260–261</x:v>
      </x:c>
      <x:c r="AC116" s="28" t="str">
        <x:v>Ingredient pairings with peach and nectarine: roast turkey.</x:v>
      </x:c>
      <x:c r="AD116" s="28" t="n">
        <x:v>1</x:v>
      </x:c>
      <x:c r="AE116" s="28" t="n">
        <x:v>1</x:v>
      </x:c>
      <x:c r="AF116" s="28" t="n">
        <x:f>IF(Z116="Высокая",3,IF(Z116="Средняя",2,1))+AD116*2+MIN(AE116,3)</x:f>
        <x:v>5</x:v>
      </x:c>
    </x:row>
    <x:row r="117" ht="62" customHeight="1">
      <x:c r="A117" s="28" t="str">
        <x:v>STN-0116</x:v>
      </x:c>
      <x:c r="B117" s="28" t="str">
        <x:v>персик</x:v>
      </x:c>
      <x:c r="C117" s="28" t="str">
        <x:v>Еда и соусы</x:v>
      </x:c>
      <x:c r="D117" s="28" t="str">
        <x:v>персик</x:v>
      </x:c>
      <x:c r="E117" s="28" t="str">
        <x:v>peach</x:v>
      </x:c>
      <x:c r="F117" s="28" t="str">
        <x:v>Косточковые фрукты</x:v>
      </x:c>
      <x:c r="G117" s="28" t="str">
        <x:v>запеченная кольраби</x:v>
      </x:c>
      <x:c r="H117" s="28" t="str">
        <x:v>baked kohlrabi</x:v>
      </x:c>
      <x:c r="I117" s="28" t="str">
        <x:v>Овощи и корнеплоды</x:v>
      </x:c>
      <x:c r="J117" s="28" t="str">
        <x:v>сливочный, персиковый, кокосово-лактонный, цветочный, зелёный</x:v>
      </x:c>
      <x:c r="K117" s="28" t="str">
        <x:v>зелёный, землистый, сладковатый или сернистый</x:v>
      </x:c>
      <x:c r="L117" s="28" t="str">
        <x:v>γ- и δ-декалактон, γ- и δ-додекалактон, линалоол, бензальдегид, гексаналь, цис-3-гексенол</x:v>
      </x:c>
      <x:c r="M117" s="28" t="str">
        <x:v>C6-альдегиды, метоксипиразины, терпены, сернистые соединения</x:v>
      </x:c>
      <x:c r="N117" s="28" t="str">
        <x:v>зелёный</x:v>
      </x:c>
      <x:c r="O117" s="28" t="str">
        <x:v>надёжный единичный общий маркер не подтверждён; механизм не сводится к одной молекуле</x:v>
      </x:c>
      <x:c r="P117" s="28" t="str">
        <x:v>комплементарность ароматических семейств, вкусовой контраст и матричный эффект</x:v>
      </x:c>
      <x:c r="Q117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</x:v>
      </x:c>
      <x:c r="R117" s="28" t="str">
        <x:v>обычно слабый; кислота даёт свежесть; партнёр: зависит от продукта</x:v>
      </x:c>
      <x:c r="S117" s="28" t="str">
        <x:v>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</x:v>
      </x:c>
      <x:c r="T11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1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Запеченная кольраби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1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17" s="28" t="str">
        <x:v>мёд, травы или уксус</x:v>
      </x:c>
      <x:c r="X117" s="28" t="str">
        <x:v>соус, глазировка, чатни, маринад, гарнир или основное блюдо</x:v>
      </x:c>
      <x:c r="Y117" s="28" t="str">
        <x:v>еда; соусы/маринады</x:v>
      </x:c>
      <x:c r="Z117" s="28" t="str">
        <x:v>Средняя</x:v>
      </x:c>
      <x:c r="AA117" s="28" t="str">
        <x:v>The Art &amp; Science of Foodpairing.pdf</x:v>
      </x:c>
      <x:c r="AB117" s="28" t="str">
        <x:v>The Art &amp; Science of Foodpairing.pdf: 260–261</x:v>
      </x:c>
      <x:c r="AC117" s="28" t="str">
        <x:v>Ingredient pairings with peach and nectarine: baked kohlrabi.</x:v>
      </x:c>
      <x:c r="AD117" s="28" t="n">
        <x:v>1</x:v>
      </x:c>
      <x:c r="AE117" s="28" t="n">
        <x:v>1</x:v>
      </x:c>
      <x:c r="AF117" s="28" t="n">
        <x:f>IF(Z117="Высокая",3,IF(Z117="Средняя",2,1))+AD117*2+MIN(AE117,3)</x:f>
        <x:v>5</x:v>
      </x:c>
    </x:row>
    <x:row r="118" ht="62" customHeight="1">
      <x:c r="A118" s="28" t="str">
        <x:v>STN-0117</x:v>
      </x:c>
      <x:c r="B118" s="28" t="str">
        <x:v>персик</x:v>
      </x:c>
      <x:c r="C118" s="28" t="str">
        <x:v>Еда и соусы</x:v>
      </x:c>
      <x:c r="D118" s="28" t="str">
        <x:v>персик</x:v>
      </x:c>
      <x:c r="E118" s="28" t="str">
        <x:v>peach</x:v>
      </x:c>
      <x:c r="F118" s="28" t="str">
        <x:v>Косточковые фрукты</x:v>
      </x:c>
      <x:c r="G118" s="28" t="str">
        <x:v>запеченный бекон</x:v>
      </x:c>
      <x:c r="H118" s="28" t="str">
        <x:v>oven-cooked bacon</x:v>
      </x:c>
      <x:c r="I118" s="28" t="str">
        <x:v>Мясо и птица</x:v>
      </x:c>
      <x:c r="J118" s="28" t="str">
        <x:v>сливочный, персиковый, кокосово-лактонный, цветочный, зелёный</x:v>
      </x:c>
      <x:c r="K118" s="28" t="str">
        <x:v>жареный, мясной, жирный, иногда копчёный и пряный</x:v>
      </x:c>
      <x:c r="L118" s="28" t="str">
        <x:v>γ- и δ-декалактон, γ- и δ-додекалактон, линалоол, бензальдегид, гексаналь, цис-3-гексенол</x:v>
      </x:c>
      <x:c r="M118" s="28" t="str">
        <x:v>пиразины, фураны, сернистые соединения, продукты Майяра, жирные альдегиды</x:v>
      </x:c>
      <x:c r="N118" s="28" t="str">
        <x:v>прямое семейное перекрытие не является главным механизмом</x:v>
      </x:c>
      <x:c r="O118" s="28" t="str">
        <x:v>надёжный единичный общий маркер не подтверждён; механизм не сводится к одной молекуле</x:v>
      </x:c>
      <x:c r="P118" s="28" t="str">
        <x:v>комплементарность ароматических семейств, вкусовой контраст и матричный эффект</x:v>
      </x:c>
      <x:c r="Q118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118" s="28" t="str">
        <x:v>обычно слабый; кислота даёт свежесть; партнёр: тепловой/пряный зависит от обработки</x:v>
      </x:c>
      <x:c r="S118" s="28" t="str">
        <x:v>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</x:v>
      </x:c>
      <x:c r="T118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U11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Запеченный бекон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V118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W118" s="28" t="str">
        <x:v>розмарин, горчица или хересный уксус</x:v>
      </x:c>
      <x:c r="X118" s="28" t="str">
        <x:v>соус, глазировка, чатни, маринад, гарнир или основное блюдо</x:v>
      </x:c>
      <x:c r="Y118" s="28" t="str">
        <x:v>еда; соусы/маринады</x:v>
      </x:c>
      <x:c r="Z118" s="28" t="str">
        <x:v>Средняя</x:v>
      </x:c>
      <x:c r="AA118" s="28" t="str">
        <x:v>The Art &amp; Science of Foodpairing.pdf</x:v>
      </x:c>
      <x:c r="AB118" s="28" t="str">
        <x:v>The Art &amp; Science of Foodpairing.pdf: 260–261</x:v>
      </x:c>
      <x:c r="AC118" s="28" t="str">
        <x:v>Ingredient pairings with peach and nectarine: oven-cooked bacon.</x:v>
      </x:c>
      <x:c r="AD118" s="28" t="n">
        <x:v>1</x:v>
      </x:c>
      <x:c r="AE118" s="28" t="n">
        <x:v>1</x:v>
      </x:c>
      <x:c r="AF118" s="28" t="n">
        <x:f>IF(Z118="Высокая",3,IF(Z118="Средняя",2,1))+AD118*2+MIN(AE118,3)</x:f>
        <x:v>5</x:v>
      </x:c>
    </x:row>
    <x:row r="119" ht="62" customHeight="1">
      <x:c r="A119" s="28" t="str">
        <x:v>STN-0118</x:v>
      </x:c>
      <x:c r="B119" s="28" t="str">
        <x:v>персик</x:v>
      </x:c>
      <x:c r="C119" s="28" t="str">
        <x:v>Еда и соусы</x:v>
      </x:c>
      <x:c r="D119" s="28" t="str">
        <x:v>персик</x:v>
      </x:c>
      <x:c r="E119" s="28" t="str">
        <x:v>peach</x:v>
      </x:c>
      <x:c r="F119" s="28" t="str">
        <x:v>Косточковые фрукты</x:v>
      </x:c>
      <x:c r="G119" s="28" t="str">
        <x:v>запеченный морской петух</x:v>
      </x:c>
      <x:c r="H119" s="28" t="str">
        <x:v>baked tub gurnard</x:v>
      </x:c>
      <x:c r="I119" s="28" t="str">
        <x:v>Рыба и морепродукты</x:v>
      </x:c>
      <x:c r="J119" s="28" t="str">
        <x:v>сливочный, персиковый, кокосово-лактонный, цветочный, зелёный</x:v>
      </x:c>
      <x:c r="K119" s="28" t="str">
        <x:v>морской, солёный, умами, иногда йодистый и жареный</x:v>
      </x:c>
      <x:c r="L119" s="28" t="str">
        <x:v>γ- и δ-декалактон, γ- и δ-додекалактон, линалоол, бензальдегид, гексаналь, цис-3-гексенол</x:v>
      </x:c>
      <x:c r="M119" s="28" t="str">
        <x:v>амины, бромфенолы, альдегиды жирных кислот, сернистые соединения</x:v>
      </x:c>
      <x:c r="N119" s="28" t="str">
        <x:v>прямое семейное перекрытие не является главным механизмом</x:v>
      </x:c>
      <x:c r="O119" s="28" t="str">
        <x:v>надёжный единичный общий маркер не подтверждён; механизм не сводится к одной молекуле</x:v>
      </x:c>
      <x:c r="P119" s="28" t="str">
        <x:v>комплементарность ароматических семейств, вкусовой контраст и матричный эффект</x:v>
      </x:c>
      <x:c r="Q119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119" s="28" t="str">
        <x:v>обычно слабый; кислота даёт свежесть; партнёр: нет выраженного</x:v>
      </x:c>
      <x:c r="S119" s="28" t="str">
        <x:v>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</x:v>
      </x:c>
      <x:c r="T11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1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Запеченный морской петух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19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W119" s="28" t="str">
        <x:v>цитрус, укроп или оливковое масло</x:v>
      </x:c>
      <x:c r="X119" s="28" t="str">
        <x:v>соус, глазировка, чатни, маринад, гарнир или основное блюдо</x:v>
      </x:c>
      <x:c r="Y119" s="28" t="str">
        <x:v>еда; соусы/маринады</x:v>
      </x:c>
      <x:c r="Z119" s="28" t="str">
        <x:v>Средняя</x:v>
      </x:c>
      <x:c r="AA119" s="28" t="str">
        <x:v>The Art &amp; Science of Foodpairing.pdf</x:v>
      </x:c>
      <x:c r="AB119" s="28" t="str">
        <x:v>The Art &amp; Science of Foodpairing.pdf: 260–261</x:v>
      </x:c>
      <x:c r="AC119" s="28" t="str">
        <x:v>Ingredient pairings with peach and nectarine: baked tub gurnard.</x:v>
      </x:c>
      <x:c r="AD119" s="28" t="n">
        <x:v>1</x:v>
      </x:c>
      <x:c r="AE119" s="28" t="n">
        <x:v>1</x:v>
      </x:c>
      <x:c r="AF119" s="28" t="n">
        <x:f>IF(Z119="Высокая",3,IF(Z119="Средняя",2,1))+AD119*2+MIN(AE119,3)</x:f>
        <x:v>5</x:v>
      </x:c>
    </x:row>
    <x:row r="120" ht="62" customHeight="1">
      <x:c r="A120" s="28" t="str">
        <x:v>STN-0119</x:v>
      </x:c>
      <x:c r="B120" s="28" t="str">
        <x:v>персик</x:v>
      </x:c>
      <x:c r="C120" s="28" t="str">
        <x:v>Еда и соусы</x:v>
      </x:c>
      <x:c r="D120" s="28" t="str">
        <x:v>персик</x:v>
      </x:c>
      <x:c r="E120" s="28" t="str">
        <x:v>peach</x:v>
      </x:c>
      <x:c r="F120" s="28" t="str">
        <x:v>Косточковые фрукты</x:v>
      </x:c>
      <x:c r="G120" s="28" t="str">
        <x:v>запеченный морской язык</x:v>
      </x:c>
      <x:c r="H120" s="28" t="str">
        <x:v>Baked Dover sole</x:v>
      </x:c>
      <x:c r="I120" s="28" t="str">
        <x:v>Рыба и морепродукты</x:v>
      </x:c>
      <x:c r="J120" s="28" t="str">
        <x:v>сливочный, персиковый, кокосово-лактонный, цветочный, зелёный</x:v>
      </x:c>
      <x:c r="K120" s="28" t="str">
        <x:v>морской, солёный, умами, иногда йодистый и жареный</x:v>
      </x:c>
      <x:c r="L120" s="28" t="str">
        <x:v>γ- и δ-декалактон, γ- и δ-додекалактон, линалоол, бензальдегид, гексаналь, цис-3-гексенол</x:v>
      </x:c>
      <x:c r="M120" s="28" t="str">
        <x:v>амины, бромфенолы, альдегиды жирных кислот, сернистые соединения</x:v>
      </x:c>
      <x:c r="N120" s="28" t="str">
        <x:v>прямое семейное перекрытие не является главным механизмом</x:v>
      </x:c>
      <x:c r="O120" s="28" t="str">
        <x:v>надёжный единичный общий маркер не подтверждён; механизм не сводится к одной молекуле</x:v>
      </x:c>
      <x:c r="P120" s="28" t="str">
        <x:v>комплементарность ароматических семейств, вкусовой контраст и матричный эффект</x:v>
      </x:c>
      <x:c r="Q120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120" s="28" t="str">
        <x:v>обычно слабый; кислота даёт свежесть; партнёр: нет выраженного</x:v>
      </x:c>
      <x:c r="S120" s="28" t="str">
        <x:v>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</x:v>
      </x:c>
      <x:c r="T12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2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Запеченный морской язык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20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W120" s="28" t="str">
        <x:v>цитрус, укроп или оливковое масло</x:v>
      </x:c>
      <x:c r="X120" s="28" t="str">
        <x:v>соус, глазировка, чатни, маринад, гарнир или основное блюдо</x:v>
      </x:c>
      <x:c r="Y120" s="28" t="str">
        <x:v>еда; соусы/маринады</x:v>
      </x:c>
      <x:c r="Z120" s="28" t="str">
        <x:v>Средняя</x:v>
      </x:c>
      <x:c r="AA120" s="28" t="str">
        <x:v>The Art &amp; Science of Foodpairing.pdf</x:v>
      </x:c>
      <x:c r="AB120" s="28" t="str">
        <x:v>The Art &amp; Science of Foodpairing.pdf: 103</x:v>
      </x:c>
      <x:c r="AC120" s="28" t="str">
        <x:v>Ингредиент «peach» указан на странице профиля/сетки сочетаний «Baked Dover sole».</x:v>
      </x:c>
      <x:c r="AD120" s="28" t="n">
        <x:v>1</x:v>
      </x:c>
      <x:c r="AE120" s="28" t="n">
        <x:v>1</x:v>
      </x:c>
      <x:c r="AF120" s="28" t="n">
        <x:f>IF(Z120="Высокая",3,IF(Z120="Средняя",2,1))+AD120*2+MIN(AE120,3)</x:f>
        <x:v>5</x:v>
      </x:c>
    </x:row>
    <x:row r="121" ht="62" customHeight="1">
      <x:c r="A121" s="28" t="str">
        <x:v>STN-0120</x:v>
      </x:c>
      <x:c r="B121" s="28" t="str">
        <x:v>персик</x:v>
      </x:c>
      <x:c r="C121" s="28" t="str">
        <x:v>Еда и соусы</x:v>
      </x:c>
      <x:c r="D121" s="28" t="str">
        <x:v>персик</x:v>
      </x:c>
      <x:c r="E121" s="28" t="str">
        <x:v>peach</x:v>
      </x:c>
      <x:c r="F121" s="28" t="str">
        <x:v>Косточковые фрукты</x:v>
      </x:c>
      <x:c r="G121" s="28" t="str">
        <x:v>зеленые водоросли</x:v>
      </x:c>
      <x:c r="H121" s="28" t="str">
        <x:v>Green algae | green algae</x:v>
      </x:c>
      <x:c r="I121" s="28" t="str">
        <x:v>Рыба и морепродукты</x:v>
      </x:c>
      <x:c r="J121" s="28" t="str">
        <x:v>сливочный, персиковый, кокосово-лактонный, цветочный, зелёный</x:v>
      </x:c>
      <x:c r="K121" s="28" t="str">
        <x:v>морской, солёный, умами, иногда йодистый и жареный</x:v>
      </x:c>
      <x:c r="L121" s="28" t="str">
        <x:v>γ- и δ-декалактон, γ- и δ-додекалактон, линалоол, бензальдегид, гексаналь, цис-3-гексенол</x:v>
      </x:c>
      <x:c r="M121" s="28" t="str">
        <x:v>амины, бромфенолы, альдегиды жирных кислот, сернистые соединения</x:v>
      </x:c>
      <x:c r="N121" s="28" t="str">
        <x:v>прямое семейное перекрытие не является главным механизмом</x:v>
      </x:c>
      <x:c r="O121" s="28" t="str">
        <x:v>надёжный единичный общий маркер не подтверждён; механизм не сводится к одной молекуле</x:v>
      </x:c>
      <x:c r="P121" s="28" t="str">
        <x:v>комплементарность ароматических семейств, вкусовой контраст и матричный эффект</x:v>
      </x:c>
      <x:c r="Q121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121" s="28" t="str">
        <x:v>обычно слабый; кислота даёт свежесть; партнёр: нет выраженного</x:v>
      </x:c>
      <x:c r="S121" s="28" t="str">
        <x:v>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</x:v>
      </x:c>
      <x:c r="T12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2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Зеленые водоросли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21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W121" s="28" t="str">
        <x:v>цитрус, укроп или оливковое масло</x:v>
      </x:c>
      <x:c r="X121" s="28" t="str">
        <x:v>соус, глазировка, чатни, маринад, гарнир или основное блюдо</x:v>
      </x:c>
      <x:c r="Y121" s="28" t="str">
        <x:v>еда; соусы/маринады</x:v>
      </x:c>
      <x:c r="Z121" s="28" t="str">
        <x:v>Средняя</x:v>
      </x:c>
      <x:c r="AA121" s="28" t="str">
        <x:v>The Art &amp; Science of Foodpairing.pdf</x:v>
      </x:c>
      <x:c r="AB121" s="28" t="str">
        <x:v>The Art &amp; Science of Foodpairing.pdf: 267 | The Art &amp; Science of Foodpairing.pdf: 260–261</x:v>
      </x:c>
      <x:c r="AC121" s="28" t="str">
        <x:v>Ингредиент «peach» указан на странице профиля/сетки сочетаний «Green algae». Ingredient pairings with peach and nectarine: green algae.</x:v>
      </x:c>
      <x:c r="AD121" s="28" t="n">
        <x:v>1</x:v>
      </x:c>
      <x:c r="AE121" s="28" t="n">
        <x:v>2</x:v>
      </x:c>
      <x:c r="AF121" s="28" t="n">
        <x:f>IF(Z121="Высокая",3,IF(Z121="Средняя",2,1))+AD121*2+MIN(AE121,3)</x:f>
        <x:v>6</x:v>
      </x:c>
    </x:row>
    <x:row r="122" ht="62" customHeight="1">
      <x:c r="A122" s="28" t="str">
        <x:v>STN-0121</x:v>
      </x:c>
      <x:c r="B122" s="28" t="str">
        <x:v>персик</x:v>
      </x:c>
      <x:c r="C122" s="28" t="str">
        <x:v>Еда и соусы</x:v>
      </x:c>
      <x:c r="D122" s="28" t="str">
        <x:v>персик</x:v>
      </x:c>
      <x:c r="E122" s="28" t="str">
        <x:v>peach</x:v>
      </x:c>
      <x:c r="F122" s="28" t="str">
        <x:v>Косточковые фрукты</x:v>
      </x:c>
      <x:c r="G122" s="28" t="str">
        <x:v>зеленые оливки</x:v>
      </x:c>
      <x:c r="H122" s="28" t="str">
        <x:v>green olive</x:v>
      </x:c>
      <x:c r="I122" s="28" t="str">
        <x:v>Овощи и корнеплоды</x:v>
      </x:c>
      <x:c r="J122" s="28" t="str">
        <x:v>сливочный, персиковый, кокосово-лактонный, цветочный, зелёный</x:v>
      </x:c>
      <x:c r="K122" s="28" t="str">
        <x:v>зелёный, землистый, сладковатый или сернистый</x:v>
      </x:c>
      <x:c r="L122" s="28" t="str">
        <x:v>γ- и δ-декалактон, γ- и δ-додекалактон, линалоол, бензальдегид, гексаналь, цис-3-гексенол</x:v>
      </x:c>
      <x:c r="M122" s="28" t="str">
        <x:v>C6-альдегиды, метоксипиразины, терпены, сернистые соединения</x:v>
      </x:c>
      <x:c r="N122" s="28" t="str">
        <x:v>зелёный</x:v>
      </x:c>
      <x:c r="O122" s="28" t="str">
        <x:v>надёжный единичный общий маркер не подтверждён; механизм не сводится к одной молекуле</x:v>
      </x:c>
      <x:c r="P122" s="28" t="str">
        <x:v>комплементарность ароматических семейств, вкусовой контраст и матричный эффект</x:v>
      </x:c>
      <x:c r="Q122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</x:v>
      </x:c>
      <x:c r="R122" s="28" t="str">
        <x:v>обычно слабый; кислота даёт свежесть; партнёр: зависит от продукта</x:v>
      </x:c>
      <x:c r="S122" s="28" t="str">
        <x:v>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</x:v>
      </x:c>
      <x:c r="T12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2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Зеленые оливки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2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22" s="28" t="str">
        <x:v>мёд, травы или уксус</x:v>
      </x:c>
      <x:c r="X122" s="28" t="str">
        <x:v>соус, глазировка, чатни, маринад, гарнир или основное блюдо</x:v>
      </x:c>
      <x:c r="Y122" s="28" t="str">
        <x:v>еда; соусы/маринады</x:v>
      </x:c>
      <x:c r="Z122" s="28" t="str">
        <x:v>Средняя</x:v>
      </x:c>
      <x:c r="AA122" s="28" t="str">
        <x:v>The Art &amp; Science of Foodpairing.pdf</x:v>
      </x:c>
      <x:c r="AB122" s="28" t="str">
        <x:v>The Art &amp; Science of Foodpairing.pdf: 260–261</x:v>
      </x:c>
      <x:c r="AC122" s="28" t="str">
        <x:v>Ingredient pairings with peach and nectarine: green olive.</x:v>
      </x:c>
      <x:c r="AD122" s="28" t="n">
        <x:v>1</x:v>
      </x:c>
      <x:c r="AE122" s="28" t="n">
        <x:v>1</x:v>
      </x:c>
      <x:c r="AF122" s="28" t="n">
        <x:f>IF(Z122="Высокая",3,IF(Z122="Средняя",2,1))+AD122*2+MIN(AE122,3)</x:f>
        <x:v>5</x:v>
      </x:c>
    </x:row>
    <x:row r="123" ht="62" customHeight="1">
      <x:c r="A123" s="28" t="str">
        <x:v>STN-0122</x:v>
      </x:c>
      <x:c r="B123" s="28" t="str">
        <x:v>персик</x:v>
      </x:c>
      <x:c r="C123" s="28" t="str">
        <x:v>Десерты и выпечка</x:v>
      </x:c>
      <x:c r="D123" s="28" t="str">
        <x:v>персик</x:v>
      </x:c>
      <x:c r="E123" s="28" t="str">
        <x:v>peach</x:v>
      </x:c>
      <x:c r="F123" s="28" t="str">
        <x:v>Косточковые фрукты</x:v>
      </x:c>
      <x:c r="G123" s="28" t="str">
        <x:v>изюм</x:v>
      </x:c>
      <x:c r="H123" s="28" t="str">
        <x:v>raisin</x:v>
      </x:c>
      <x:c r="I123" s="28" t="str">
        <x:v>Фрукты</x:v>
      </x:c>
      <x:c r="J123" s="28" t="str">
        <x:v>сливочный, персиковый, кокосово-лактонный, цветочный, зелёный</x:v>
      </x:c>
      <x:c r="K123" s="28" t="str">
        <x:v>зелёный, фруктовый, цветочный</x:v>
      </x:c>
      <x:c r="L123" s="28" t="str">
        <x:v>γ- и δ-декалактон, γ- и δ-додекалактон, линалоол, бензальдегид, гексаналь, цис-3-гексенол</x:v>
      </x:c>
      <x:c r="M123" s="28" t="str">
        <x:v>лактоны, терпены, эфиры</x:v>
      </x:c>
      <x:c r="N123" s="28" t="str">
        <x:v>цветочный, зелёный</x:v>
      </x:c>
      <x:c r="O123" s="28" t="str">
        <x:v>надёжный единичный общий маркер не подтверждён; механизм не сводится к одной молекуле</x:v>
      </x:c>
      <x:c r="P123" s="28" t="str">
        <x:v>комплементарность ароматических семейств, вкусовой контраст и матричный эффект</x:v>
      </x:c>
      <x:c r="Q123" s="28" t="str">
        <x:v>Близкие фруктовые эфиры создают непрерывность, а различия в кислотности, терпкости и сладости формируют контраст.</x:v>
      </x:c>
      <x:c r="R123" s="28" t="str">
        <x:v>обычно слабый; кислота даёт свежесть; партнёр: обычно отсутствует; зависит от конкретного продукта</x:v>
      </x:c>
      <x:c r="S123" s="28" t="str">
        <x:v>сочная пектиновая мякоть; кожица несёт зелёные и цветочные ноты; лактоны хорошо удерживаются жиром и этанолом. Партнёр: водная фруктовая матрица.</x:v>
      </x:c>
      <x:c r="T12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12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Изюм относится к группе «Фрукты» и даёт профиль «зелёный, фруктовый, цветочный»; типичные соединения или классы: лактоны, терпены, эфиры.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фруктовая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12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23" s="28" t="str">
        <x:v>цитрус, мята или ваниль</x:v>
      </x:c>
      <x:c r="X123" s="28" t="str">
        <x:v>сорбет, салат, джем, кордиал, лимонад, коктейль или фруктовый соус</x:v>
      </x:c>
      <x:c r="Y123" s="28" t="str">
        <x:v>напитки; десерты; соусы/маринады</x:v>
      </x:c>
      <x:c r="Z123" s="28" t="str">
        <x:v>Средняя</x:v>
      </x:c>
      <x:c r="AA123" s="28" t="str">
        <x:v>The Art &amp; Science of Foodpairing.pdf</x:v>
      </x:c>
      <x:c r="AB123" s="28" t="str">
        <x:v>The Art &amp; Science of Foodpairing.pdf: 260–261</x:v>
      </x:c>
      <x:c r="AC123" s="28" t="str">
        <x:v>Ingredient pairings with peach and nectarine: raisin.</x:v>
      </x:c>
      <x:c r="AD123" s="28" t="n">
        <x:v>1</x:v>
      </x:c>
      <x:c r="AE123" s="28" t="n">
        <x:v>1</x:v>
      </x:c>
      <x:c r="AF123" s="28" t="n">
        <x:f>IF(Z123="Высокая",3,IF(Z123="Средняя",2,1))+AD123*2+MIN(AE123,3)</x:f>
        <x:v>5</x:v>
      </x:c>
    </x:row>
    <x:row r="124" ht="62" customHeight="1">
      <x:c r="A124" s="28" t="str">
        <x:v>STN-0123</x:v>
      </x:c>
      <x:c r="B124" s="28" t="str">
        <x:v>персик</x:v>
      </x:c>
      <x:c r="C124" s="28" t="str">
        <x:v>Универсальные</x:v>
      </x:c>
      <x:c r="D124" s="28" t="str">
        <x:v>персик</x:v>
      </x:c>
      <x:c r="E124" s="28" t="str">
        <x:v>peach</x:v>
      </x:c>
      <x:c r="F124" s="28" t="str">
        <x:v>Косточковые фрукты</x:v>
      </x:c>
      <x:c r="G124" s="28" t="str">
        <x:v>имбирь</x:v>
      </x:c>
      <x:c r="H124" s="28" t="str">
        <x:v>имбирь</x:v>
      </x:c>
      <x:c r="I124" s="28" t="str">
        <x:v>Специи и острые компоненты</x:v>
      </x:c>
      <x:c r="J124" s="28" t="str">
        <x:v>сливочный, персиковый, кокосово-лактонный, цветочный, зелёный</x:v>
      </x:c>
      <x:c r="K124" s="28" t="str">
        <x:v>цитрусово-пряный, древесный и свежий</x:v>
      </x:c>
      <x:c r="L124" s="28" t="str">
        <x:v>γ- и δ-декалактон, γ- и δ-додекалактон, линалоол, бензальдегид, гексаналь, цис-3-гексенол</x:v>
      </x:c>
      <x:c r="M124" s="28" t="str">
        <x:v>зингиберен, цитраль, гингеролы, шогаолы</x:v>
      </x:c>
      <x:c r="N124" s="28" t="str">
        <x:v>прямое семейное перекрытие не является главным механизмом</x:v>
      </x:c>
      <x:c r="O124" s="28" t="str">
        <x:v>надёжный единичный общий маркер не подтверждён; механизм не сводится к одной молекуле</x:v>
      </x:c>
      <x:c r="P124" s="28" t="str">
        <x:v>комплементарность ароматических семейств, вкусовой контраст и матричный эффект</x:v>
      </x:c>
      <x:c r="Q124" s="28" t="str">
        <x:v>Сладость и кислота фрукта смягчают остроту и горечь специи, а пряный компонент удлиняет ароматическое послевкусие.</x:v>
      </x:c>
      <x:c r="R124" s="28" t="str">
        <x:v>обычно слабый; кислота даёт свежесть; партнёр: гингеролы и шогаолы создают тепло и жжение</x:v>
      </x:c>
      <x:c r="S124" s="28" t="str">
        <x:v>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</x:v>
      </x:c>
      <x:c r="T124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12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124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W124" s="28" t="str">
        <x:v>мёд, цитрус или миндаль</x:v>
      </x:c>
      <x:c r="X124" s="28" t="str">
        <x:v>напиток, соус, десерт или горячее блюдо после пробной дегустации</x:v>
      </x:c>
      <x:c r="Y124" s="28" t="str">
        <x:v>напитки; еда; десерты; соусы/маринады</x:v>
      </x:c>
      <x:c r="Z124" s="28" t="str">
        <x:v>Гипотеза / практическая</x:v>
      </x:c>
      <x:c r="AA124" s="28" t="str">
        <x:v>Таблица сочетания(1).pdf</x:v>
      </x:c>
      <x:c r="AB124" s="28" t="str">
        <x:v>Таблица сочетания(1).pdf: 15</x:v>
      </x:c>
      <x:c r="AC124" s="28" t="str">
        <x:v>Пара указана в строке «Персик» → колонка «Травы и специи».</x:v>
      </x:c>
      <x:c r="AD124" s="28" t="n">
        <x:v>1</x:v>
      </x:c>
      <x:c r="AE124" s="28" t="n">
        <x:v>1</x:v>
      </x:c>
      <x:c r="AF124" s="28" t="n">
        <x:f>IF(Z124="Высокая",3,IF(Z124="Средняя",2,1))+AD124*2+MIN(AE124,3)</x:f>
        <x:v>4</x:v>
      </x:c>
    </x:row>
    <x:row r="125" ht="62" customHeight="1">
      <x:c r="A125" s="28" t="str">
        <x:v>STN-0124</x:v>
      </x:c>
      <x:c r="B125" s="28" t="str">
        <x:v>персик</x:v>
      </x:c>
      <x:c r="C125" s="28" t="str">
        <x:v>Универсальные</x:v>
      </x:c>
      <x:c r="D125" s="28" t="str">
        <x:v>персик</x:v>
      </x:c>
      <x:c r="E125" s="28" t="str">
        <x:v>peach</x:v>
      </x:c>
      <x:c r="F125" s="28" t="str">
        <x:v>Косточковые фрукты</x:v>
      </x:c>
      <x:c r="G125" s="28" t="str">
        <x:v>инжир</x:v>
      </x:c>
      <x:c r="H125" s="28" t="str">
        <x:v>инжир</x:v>
      </x:c>
      <x:c r="I125" s="28" t="str">
        <x:v>Субтропические фрукты</x:v>
      </x:c>
      <x:c r="J125" s="28" t="str">
        <x:v>сливочный, персиковый, кокосово-лактонный, цветочный, зелёный</x:v>
      </x:c>
      <x:c r="K125" s="28" t="str">
        <x:v>медовый, зелёный, ягодный, цветочный, кокосово-лактонный</x:v>
      </x:c>
      <x:c r="L125" s="28" t="str">
        <x:v>γ- и δ-декалактон, γ- и δ-додекалактон, линалоол, бензальдегид, гексаналь, цис-3-гексенол</x:v>
      </x:c>
      <x:c r="M125" s="28" t="str">
        <x:v>бензальдегид, линалоол, фуранеол, лактоны и зелёные альдегиды</x:v>
      </x:c>
      <x:c r="N125" s="28" t="str">
        <x:v>цветочный, лактонный, зелёный</x:v>
      </x:c>
      <x:c r="O125" s="28" t="str">
        <x:v>бензальдегид, линалоол</x:v>
      </x:c>
      <x:c r="P125" s="28" t="str">
        <x:v>прямое или классовое перекрытие характерных одорантов + вкусовой баланс</x:v>
      </x:c>
      <x:c r="Q125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низкая кислотность; семена дают хруст. Баланс корректируется сахаром, кислотой, солью и горечью.</x:v>
      </x:c>
      <x:c r="R125" s="28" t="str">
        <x:v>обычно слабый; кислота даёт свежесть; партнёр: кислотное покалывание зависит от плода; специальные эффекты указаны в паспорте</x:v>
      </x:c>
      <x:c r="S125" s="28" t="str">
        <x:v>сочная пектиновая мякоть; кожица несёт зелёные и цветочные ноты; лактоны хорошо удерживаются жиром и этанолом. Партнёр: пектиновая и сахаристая; сушёный инжир концентрирует сахар, фенолы и карамельные ноты.</x:v>
      </x:c>
      <x:c r="T12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U12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бензальдегид, линалоол. Общие ароматические направления: цветочный, лактонный, зелёный.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низкая кислотность; семена дают хруст.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пектиновая и сахаристая; сушёный инжир концентрирует сахар, фенолы и карамельные ноты.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V12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25" s="28" t="str">
        <x:v>мёд, цитрус или нейтральная жировая основа</x:v>
      </x:c>
      <x:c r="X125" s="28" t="str">
        <x:v>напиток, соус, десерт или горячее блюдо после пробной дегустации</x:v>
      </x:c>
      <x:c r="Y125" s="28" t="str">
        <x:v>напитки; еда; десерты; соусы/маринады</x:v>
      </x:c>
      <x:c r="Z125" s="28" t="str">
        <x:v>Гипотеза / практическая</x:v>
      </x:c>
      <x:c r="AA125" s="28" t="str">
        <x:v>Таблица сочетания(1).pdf</x:v>
      </x:c>
      <x:c r="AB125" s="28" t="str">
        <x:v>Таблица сочетания(1).pdf: Таблица сочетаний: 15 | Таблица сочетания(1).pdf: 15</x:v>
      </x:c>
      <x:c r="AC125" s="28" t="str">
        <x:v>Таблица сочетаний: В строке «Персик» ингредиент «инжир» указан как рекомендуемое сочетание в колонке «Фрукты». Пара указана в строке «Персик» → колонка «Фрукты».</x:v>
      </x:c>
      <x:c r="AD125" s="28" t="n">
        <x:v>1</x:v>
      </x:c>
      <x:c r="AE125" s="28" t="n">
        <x:v>2</x:v>
      </x:c>
      <x:c r="AF125" s="28" t="n">
        <x:f>IF(Z125="Высокая",3,IF(Z125="Средняя",2,1))+AD125*2+MIN(AE125,3)</x:f>
        <x:v>5</x:v>
      </x:c>
    </x:row>
    <x:row r="126" ht="62" customHeight="1">
      <x:c r="A126" s="28" t="str">
        <x:v>STN-0125</x:v>
      </x:c>
      <x:c r="B126" s="28" t="str">
        <x:v>персик</x:v>
      </x:c>
      <x:c r="C126" s="28" t="str">
        <x:v>Десерты и выпечка</x:v>
      </x:c>
      <x:c r="D126" s="28" t="str">
        <x:v>персик</x:v>
      </x:c>
      <x:c r="E126" s="28" t="str">
        <x:v>peach</x:v>
      </x:c>
      <x:c r="F126" s="28" t="str">
        <x:v>Косточковые фрукты</x:v>
      </x:c>
      <x:c r="G126" s="28" t="str">
        <x:v>каламонси</x:v>
      </x:c>
      <x:c r="H126" s="28" t="str">
        <x:v>calamansi</x:v>
      </x:c>
      <x:c r="I126" s="28" t="str">
        <x:v>Цитрусовые</x:v>
      </x:c>
      <x:c r="J126" s="28" t="str">
        <x:v>сливочный, персиковый, кокосово-лактонный, цветочный, зелёный</x:v>
      </x:c>
      <x:c r="K126" s="28" t="str">
        <x:v>цитрусовый, зелёный, травяной, камфорный</x:v>
      </x:c>
      <x:c r="L126" s="28" t="str">
        <x:v>γ- и δ-декалактон, γ- и δ-додекалактон, линалоол, бензальдегид, гексаналь, цис-3-гексенол</x:v>
      </x:c>
      <x:c r="M126" s="28" t="str">
        <x:v>лимонен, гамма-терпинен, цитраль, бета-пинен, линалол</x:v>
      </x:c>
      <x:c r="N126" s="28" t="str">
        <x:v>зелёный</x:v>
      </x:c>
      <x:c r="O126" s="28" t="str">
        <x:v>надёжный единичный общий маркер не подтверждён; механизм не сводится к одной молекуле</x:v>
      </x:c>
      <x:c r="P126" s="28" t="str">
        <x:v>комплементарность ароматических семейств, вкусовой контраст и матричный эффект</x:v>
      </x:c>
      <x:c r="Q126" s="28" t="str">
        <x:v>Близкие фруктовые эфиры создают непрерывность, а различия в кислотности, терпкости и сладости формируют контраст.</x:v>
      </x:c>
      <x:c r="R126" s="28" t="str">
        <x:v>обычно слабый; кислота даёт свежесть; партнёр: кислота усиливает слюноотделение; зелёные терпены создают ощущение прохлады</x:v>
      </x:c>
      <x:c r="S126" s="28" t="str">
        <x:v>сочная пектиновая мякоть; кожица несёт зелёные и цветочные ноты; лактоны хорошо удерживаются жиром и этанолом. Партнёр: сок — водная кислая фаза; цедра — масляная терпеновая.</x:v>
      </x:c>
      <x:c r="T12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Лаймовые цитрусы дают более зелёный и камфорный профиль, чем сладкий апельсин..</x:v>
      </x:c>
      <x:c r="U12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Каламонси относится к группе «Цитрусовые» и даёт профиль «цитрусовый, зелёный, травяной, камфорный»; типичные соединения или классы: лимонен, гамма-терпинен, цитраль, бета-пинен, линалол. По доступным материалам нельзя уверенно свести совместимость к одной общей молекуле. Общие ароматические направления: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— водная кислая фаза; цедра — масляная терпеновая.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Лаймовые цитрусы дают более зелёный и камфорный профиль, чем сладкий апельсин..</x:v>
      </x:c>
      <x:c r="V12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26" s="28" t="str">
        <x:v>ваниль, мёд или розмарин</x:v>
      </x:c>
      <x:c r="X126" s="28" t="str">
        <x:v>сорбет, салат, джем, кордиал, лимонад, коктейль или фруктовый соус</x:v>
      </x:c>
      <x:c r="Y126" s="28" t="str">
        <x:v>напитки; десерты; соусы/маринады</x:v>
      </x:c>
      <x:c r="Z126" s="28" t="str">
        <x:v>Гипотеза / практическая</x:v>
      </x:c>
      <x:c r="AA126" s="28" t="str">
        <x:v>The Art &amp; Science of Foodpairing.pdf</x:v>
      </x:c>
      <x:c r="AB126" s="28" t="str">
        <x:v>The Art &amp; Science of Foodpairing.pdf: The Art &amp; Science of Foodpairing.pdf: 142</x:v>
      </x:c>
      <x:c r="AC126" s="28" t="str">
        <x:v>Пара представлена в ароматической диаграмме Foodpairing на странице 142.</x:v>
      </x:c>
      <x:c r="AD126" s="28" t="n">
        <x:v>1</x:v>
      </x:c>
      <x:c r="AE126" s="28" t="n">
        <x:v>1</x:v>
      </x:c>
      <x:c r="AF126" s="28" t="n">
        <x:f>IF(Z126="Высокая",3,IF(Z126="Средняя",2,1))+AD126*2+MIN(AE126,3)</x:f>
        <x:v>4</x:v>
      </x:c>
    </x:row>
    <x:row r="127" ht="62" customHeight="1">
      <x:c r="A127" s="28" t="str">
        <x:v>STN-0126</x:v>
      </x:c>
      <x:c r="B127" s="28" t="str">
        <x:v>персик</x:v>
      </x:c>
      <x:c r="C127" s="28" t="str">
        <x:v>Универсальные</x:v>
      </x:c>
      <x:c r="D127" s="28" t="str">
        <x:v>персик</x:v>
      </x:c>
      <x:c r="E127" s="28" t="str">
        <x:v>peach</x:v>
      </x:c>
      <x:c r="F127" s="28" t="str">
        <x:v>Косточковые фрукты</x:v>
      </x:c>
      <x:c r="G127" s="28" t="str">
        <x:v>канталупа</x:v>
      </x:c>
      <x:c r="H127" s="28" t="str">
        <x:v>cantaloupe</x:v>
      </x:c>
      <x:c r="I127" s="28" t="str">
        <x:v>Бахчевые</x:v>
      </x:c>
      <x:c r="J127" s="28" t="str">
        <x:v>сливочный, персиковый, кокосово-лактонный, цветочный, зелёный</x:v>
      </x:c>
      <x:c r="K127" s="28" t="str">
        <x:v>интенсивно сладкий, мускусный, цветочный и зелёный</x:v>
      </x:c>
      <x:c r="L127" s="28" t="str">
        <x:v>γ- и δ-декалактон, γ- и δ-додекалактон, линалоол, бензальдегид, гексаналь, цис-3-гексенол</x:v>
      </x:c>
      <x:c r="M127" s="28" t="str">
        <x:v>этил-2-метилбутират, этилбутират, C9-альдегиды, тиоэфиры</x:v>
      </x:c>
      <x:c r="N127" s="28" t="str">
        <x:v>цветочный, зелёный</x:v>
      </x:c>
      <x:c r="O127" s="28" t="str">
        <x:v>надёжный единичный общий маркер не подтверждён; механизм не сводится к одной молекуле</x:v>
      </x:c>
      <x:c r="P127" s="28" t="str">
        <x:v>комплементарность ароматических семейств, вкусовой контраст и матричный эффект</x:v>
      </x:c>
      <x:c r="Q127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выраженная сладость и слабая кислотность. Баланс корректируется сахаром, кислотой, солью и горечью.</x:v>
      </x:c>
      <x:c r="R127" s="28" t="str">
        <x:v>обычно слабый; кислота даёт свежесть; партнёр: кислотное покалывание зависит от плода; специальные эффекты указаны в паспорте</x:v>
      </x:c>
      <x:c r="S127" s="28" t="str">
        <x:v>сочная пектиновая мякоть; кожица несёт зелёные и цветочные ноты; лактоны хорошо удерживаются жиром и этанолом. Партнёр: водная и мягкая; аромат быстро улетучивается после нарезки.</x:v>
      </x:c>
      <x:c r="T12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U12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Канталупа относится к группе «Бахчевые» и даёт профиль «интенсивно сладкий, мускусный, цветочный и зелёный»; типичные соединения или классы: этил-2-метилбутират, этилбутират, C9-альдегиды, тиоэфиры.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выраженная сладость и слабая кислотность.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мягкая; аромат быстро улетучивается после нарезки.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V12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27" s="28" t="str">
        <x:v>мёд, цитрус или нейтральная жировая основа</x:v>
      </x:c>
      <x:c r="X127" s="28" t="str">
        <x:v>напиток, соус, десерт или горячее блюдо после пробной дегустации</x:v>
      </x:c>
      <x:c r="Y127" s="28" t="str">
        <x:v>напитки; еда; десерты; соусы/маринады</x:v>
      </x:c>
      <x:c r="Z127" s="28" t="str">
        <x:v>Средняя</x:v>
      </x:c>
      <x:c r="AA127" s="28" t="str">
        <x:v>The Art &amp; Science of Foodpairing.pdf</x:v>
      </x:c>
      <x:c r="AB127" s="28" t="str">
        <x:v>The Art &amp; Science of Foodpairing.pdf: 260–261</x:v>
      </x:c>
      <x:c r="AC127" s="28" t="str">
        <x:v>Ingredient pairings with peach and nectarine: cantaloupe.</x:v>
      </x:c>
      <x:c r="AD127" s="28" t="n">
        <x:v>1</x:v>
      </x:c>
      <x:c r="AE127" s="28" t="n">
        <x:v>1</x:v>
      </x:c>
      <x:c r="AF127" s="28" t="n">
        <x:f>IF(Z127="Высокая",3,IF(Z127="Средняя",2,1))+AD127*2+MIN(AE127,3)</x:f>
        <x:v>5</x:v>
      </x:c>
    </x:row>
    <x:row r="128" ht="62" customHeight="1">
      <x:c r="A128" s="28" t="str">
        <x:v>STN-0127</x:v>
      </x:c>
      <x:c r="B128" s="28" t="str">
        <x:v>персик</x:v>
      </x:c>
      <x:c r="C128" s="28" t="str">
        <x:v>Универсальные</x:v>
      </x:c>
      <x:c r="D128" s="28" t="str">
        <x:v>персик</x:v>
      </x:c>
      <x:c r="E128" s="28" t="str">
        <x:v>peach</x:v>
      </x:c>
      <x:c r="F128" s="28" t="str">
        <x:v>Косточковые фрукты</x:v>
      </x:c>
      <x:c r="G128" s="28" t="str">
        <x:v>карамель</x:v>
      </x:c>
      <x:c r="H128" s="28" t="str">
        <x:v>карамель</x:v>
      </x:c>
      <x:c r="I128" s="28" t="str">
        <x:v>Сахара, мёд и кондитерские основы</x:v>
      </x:c>
      <x:c r="J128" s="28" t="str">
        <x:v>сливочный, персиковый, кокосово-лактонный, цветочный, зелёный</x:v>
      </x:c>
      <x:c r="K128" s="28" t="str">
        <x:v>жжёный сахар, сливочный и жареный</x:v>
      </x:c>
      <x:c r="L128" s="28" t="str">
        <x:v>γ- и δ-декалактон, γ- и δ-додекалактон, линалоол, бензальдегид, гексаналь, цис-3-гексенол</x:v>
      </x:c>
      <x:c r="M128" s="28" t="str">
        <x:v>мальтол, фурфурол, диацетил</x:v>
      </x:c>
      <x:c r="N128" s="28" t="str">
        <x:v>сливочный</x:v>
      </x:c>
      <x:c r="O128" s="28" t="str">
        <x:v>надёжный единичный общий маркер не подтверждён; механизм не сводится к одной молекуле</x:v>
      </x:c>
      <x:c r="P128" s="28" t="str">
        <x:v>комплементарность ароматических семейств, вкусовой контраст и матричный эффект</x:v>
      </x:c>
      <x:c r="Q128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</x:v>
      </x:c>
      <x:c r="R128" s="28" t="str">
        <x:v>обычно слабый; кислота даёт свежесть; партнёр: отсутствует</x:v>
      </x:c>
      <x:c r="S128" s="28" t="str">
        <x:v>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</x:v>
      </x:c>
      <x:c r="T12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U12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V12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28" s="28" t="str">
        <x:v>мёд, цитрус или нейтральная жировая основа</x:v>
      </x:c>
      <x:c r="X128" s="28" t="str">
        <x:v>напиток, соус, десерт или горячее блюдо после пробной дегустации</x:v>
      </x:c>
      <x:c r="Y128" s="28" t="str">
        <x:v>напитки; еда; десерты; соусы/маринады</x:v>
      </x:c>
      <x:c r="Z128" s="28" t="str">
        <x:v>Гипотеза / практическая</x:v>
      </x:c>
      <x:c r="AA128" s="28" t="str">
        <x:v>Таблица сочетания(1).pdf</x:v>
      </x:c>
      <x:c r="AB128" s="28" t="str">
        <x:v>Таблица сочетания(1).pdf: 15</x:v>
      </x:c>
      <x:c r="AC128" s="28" t="str">
        <x:v>Пара указана в строке «Персик» → колонка «Другое».</x:v>
      </x:c>
      <x:c r="AD128" s="28" t="n">
        <x:v>1</x:v>
      </x:c>
      <x:c r="AE128" s="28" t="n">
        <x:v>1</x:v>
      </x:c>
      <x:c r="AF128" s="28" t="n">
        <x:f>IF(Z128="Высокая",3,IF(Z128="Средняя",2,1))+AD128*2+MIN(AE128,3)</x:f>
        <x:v>4</x:v>
      </x:c>
    </x:row>
    <x:row r="129" ht="62" customHeight="1">
      <x:c r="A129" s="28" t="str">
        <x:v>STN-0128</x:v>
      </x:c>
      <x:c r="B129" s="28" t="str">
        <x:v>персик</x:v>
      </x:c>
      <x:c r="C129" s="28" t="str">
        <x:v>Десерты и выпечка</x:v>
      </x:c>
      <x:c r="D129" s="28" t="str">
        <x:v>персик</x:v>
      </x:c>
      <x:c r="E129" s="28" t="str">
        <x:v>peach</x:v>
      </x:c>
      <x:c r="F129" s="28" t="str">
        <x:v>Косточковые фрукты</x:v>
      </x:c>
      <x:c r="G129" s="28" t="str">
        <x:v>кедровый орех</x:v>
      </x:c>
      <x:c r="H129" s="28" t="str">
        <x:v>Кедровый орех | pine nut</x:v>
      </x:c>
      <x:c r="I129" s="28" t="str">
        <x:v>Орехи и семена</x:v>
      </x:c>
      <x:c r="J129" s="28" t="str">
        <x:v>сливочный, персиковый, кокосово-лактонный, цветочный, зелёный</x:v>
      </x:c>
      <x:c r="K129" s="28" t="str">
        <x:v>ореховый, жареный, маслянистый и иногда миндальный</x:v>
      </x:c>
      <x:c r="L129" s="28" t="str">
        <x:v>γ- и δ-декалактон, γ- и δ-додекалактон, линалоол, бензальдегид, гексаналь, цис-3-гексенол</x:v>
      </x:c>
      <x:c r="M129" s="28" t="str">
        <x:v>пиразины, бензальдегид, филбертон, жирные альдегиды</x:v>
      </x:c>
      <x:c r="N129" s="28" t="str">
        <x:v>прямое семейное перекрытие не является главным механизмом</x:v>
      </x:c>
      <x:c r="O129" s="28" t="str">
        <x:v>бензальдегид</x:v>
      </x:c>
      <x:c r="P129" s="28" t="str">
        <x:v>прямое или классовое перекрытие характерных одорантов + вкусовой баланс</x:v>
      </x:c>
      <x:c r="Q129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129" s="28" t="str">
        <x:v>обычно слабый; кислота даёт свежесть; партнёр: обычно отсутствует</x:v>
      </x:c>
      <x:c r="S129" s="28" t="str">
        <x:v>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</x:v>
      </x:c>
      <x:c r="T12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12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Кедровый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129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W129" s="28" t="str">
        <x:v>ваниль, шоколад или корица</x:v>
      </x:c>
      <x:c r="X129" s="28" t="str">
        <x:v>тарт, крем, мороженое, выпечка, сырная подача или начинка</x:v>
      </x:c>
      <x:c r="Y129" s="28" t="str">
        <x:v>десерты; еда</x:v>
      </x:c>
      <x:c r="Z129" s="28" t="str">
        <x:v>Высокая</x:v>
      </x:c>
      <x:c r="AA129" s="28" t="str">
        <x:v>The Art &amp; Science of Foodpairing.pdf | Таблица сочетания(1).pdf</x:v>
      </x:c>
      <x:c r="AB129" s="28" t="str">
        <x:v>Таблица сочетания(1).pdf: 16 | The Art &amp; Science of Foodpairing.pdf: 260–261</x:v>
      </x:c>
      <x:c r="AC129" s="28" t="str">
        <x:v>Пара указана в строке «Кедровый орех»: «персик» находится в колонке «Фрукты». Ingredient pairings with peach and nectarine: pine nut.</x:v>
      </x:c>
      <x:c r="AD129" s="28" t="n">
        <x:v>2</x:v>
      </x:c>
      <x:c r="AE129" s="28" t="n">
        <x:v>2</x:v>
      </x:c>
      <x:c r="AF129" s="28" t="n">
        <x:f>IF(Z129="Высокая",3,IF(Z129="Средняя",2,1))+AD129*2+MIN(AE129,3)</x:f>
        <x:v>9</x:v>
      </x:c>
    </x:row>
    <x:row r="130" ht="62" customHeight="1">
      <x:c r="A130" s="28" t="str">
        <x:v>STN-0129</x:v>
      </x:c>
      <x:c r="B130" s="28" t="str">
        <x:v>персик</x:v>
      </x:c>
      <x:c r="C130" s="28" t="str">
        <x:v>Еда и соусы</x:v>
      </x:c>
      <x:c r="D130" s="28" t="str">
        <x:v>персик</x:v>
      </x:c>
      <x:c r="E130" s="28" t="str">
        <x:v>peach</x:v>
      </x:c>
      <x:c r="F130" s="28" t="str">
        <x:v>Косточковые фрукты</x:v>
      </x:c>
      <x:c r="G130" s="28" t="str">
        <x:v>кейл на пару</x:v>
      </x:c>
      <x:c r="H130" s="28" t="str">
        <x:v>steamed kale</x:v>
      </x:c>
      <x:c r="I130" s="28" t="str">
        <x:v>Овощи и корнеплоды</x:v>
      </x:c>
      <x:c r="J130" s="28" t="str">
        <x:v>сливочный, персиковый, кокосово-лактонный, цветочный, зелёный</x:v>
      </x:c>
      <x:c r="K130" s="28" t="str">
        <x:v>зелёный, землистый, сладковатый или сернистый</x:v>
      </x:c>
      <x:c r="L130" s="28" t="str">
        <x:v>γ- и δ-декалактон, γ- и δ-додекалактон, линалоол, бензальдегид, гексаналь, цис-3-гексенол</x:v>
      </x:c>
      <x:c r="M130" s="28" t="str">
        <x:v>C6-альдегиды, метоксипиразины, терпены, сернистые соединения</x:v>
      </x:c>
      <x:c r="N130" s="28" t="str">
        <x:v>зелёный</x:v>
      </x:c>
      <x:c r="O130" s="28" t="str">
        <x:v>надёжный единичный общий маркер не подтверждён; механизм не сводится к одной молекуле</x:v>
      </x:c>
      <x:c r="P130" s="28" t="str">
        <x:v>комплементарность ароматических семейств, вкусовой контраст и матричный эффект</x:v>
      </x:c>
      <x:c r="Q130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</x:v>
      </x:c>
      <x:c r="R130" s="28" t="str">
        <x:v>обычно слабый; кислота даёт свежесть; партнёр: зависит от продукта</x:v>
      </x:c>
      <x:c r="S130" s="28" t="str">
        <x:v>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</x:v>
      </x:c>
      <x:c r="T13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3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Кейл на пару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3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30" s="28" t="str">
        <x:v>мёд, травы или уксус</x:v>
      </x:c>
      <x:c r="X130" s="28" t="str">
        <x:v>соус, глазировка, чатни, маринад, гарнир или основное блюдо</x:v>
      </x:c>
      <x:c r="Y130" s="28" t="str">
        <x:v>еда; соусы/маринады</x:v>
      </x:c>
      <x:c r="Z130" s="28" t="str">
        <x:v>Средняя</x:v>
      </x:c>
      <x:c r="AA130" s="28" t="str">
        <x:v>The Art &amp; Science of Foodpairing.pdf</x:v>
      </x:c>
      <x:c r="AB130" s="28" t="str">
        <x:v>The Art &amp; Science of Foodpairing.pdf: 260–261</x:v>
      </x:c>
      <x:c r="AC130" s="28" t="str">
        <x:v>Ingredient pairings with peach and nectarine: steamed kale.</x:v>
      </x:c>
      <x:c r="AD130" s="28" t="n">
        <x:v>1</x:v>
      </x:c>
      <x:c r="AE130" s="28" t="n">
        <x:v>1</x:v>
      </x:c>
      <x:c r="AF130" s="28" t="n">
        <x:f>IF(Z130="Высокая",3,IF(Z130="Средняя",2,1))+AD130*2+MIN(AE130,3)</x:f>
        <x:v>5</x:v>
      </x:c>
    </x:row>
    <x:row r="131" ht="62" customHeight="1">
      <x:c r="A131" s="28" t="str">
        <x:v>STN-0130</x:v>
      </x:c>
      <x:c r="B131" s="28" t="str">
        <x:v>персик</x:v>
      </x:c>
      <x:c r="C131" s="28" t="str">
        <x:v>Десерты и выпечка</x:v>
      </x:c>
      <x:c r="D131" s="28" t="str">
        <x:v>персик</x:v>
      </x:c>
      <x:c r="E131" s="28" t="str">
        <x:v>peach</x:v>
      </x:c>
      <x:c r="F131" s="28" t="str">
        <x:v>Косточковые фрукты</x:v>
      </x:c>
      <x:c r="G131" s="28" t="str">
        <x:v>кефир</x:v>
      </x:c>
      <x:c r="H131" s="28" t="str">
        <x:v>kefir</x:v>
      </x:c>
      <x:c r="I131" s="28" t="str">
        <x:v>Сыры и молочные продукты</x:v>
      </x:c>
      <x:c r="J131" s="28" t="str">
        <x:v>сливочный, персиковый, кокосово-лактонный, цветочный, зелёный</x:v>
      </x:c>
      <x:c r="K131" s="28" t="str">
        <x:v>сливочный, молочный, ферментированный, иногда ореховый или пикантный</x:v>
      </x:c>
      <x:c r="L131" s="28" t="str">
        <x:v>γ- и δ-декалактон, γ- и δ-додекалактон, линалоол, бензальдегид, гексаналь, цис-3-гексенол</x:v>
      </x:c>
      <x:c r="M131" s="28" t="str">
        <x:v>лактоны, диацетил, жирные кислоты, сернистые и аминокислотные продукты ферментации</x:v>
      </x:c>
      <x:c r="N131" s="28" t="str">
        <x:v>сливочный</x:v>
      </x:c>
      <x:c r="O131" s="28" t="str">
        <x:v>надёжный единичный общий маркер не подтверждён; механизм не сводится к одной молекуле</x:v>
      </x:c>
      <x:c r="P131" s="28" t="str">
        <x:v>комплементарность ароматических семейств, вкусовой контраст и матричный эффект</x:v>
      </x:c>
      <x:c r="Q131" s="28" t="str">
        <x:v>Фруктовая кислота и сладость освежают жирную молочную матрицу; соль и умами сыра усиливают воспринимаемую фруктовость.</x:v>
      </x:c>
      <x:c r="R131" s="28" t="str">
        <x:v>обычно слабый; кислота даёт свежесть; партнёр: нет выраженного</x:v>
      </x:c>
      <x:c r="S131" s="28" t="str">
        <x:v>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</x:v>
      </x:c>
      <x:c r="T131" s="28" t="str">
        <x:v>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U13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Кефир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Общие ароматические направления: сливочный.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 Обработка: 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V131" s="28" t="str">
        <x:v>незрелый плод ароматически беден; перезрелый быстро окисляется; косточки не использовать без безопасной технологии. Избыток кислоты может свернуть молочную основу; фрукт и сыр проверяют при рабочей температуре.</x:v>
      </x:c>
      <x:c r="W131" s="28" t="str">
        <x:v>миндаль, ваниль или мёд</x:v>
      </x:c>
      <x:c r="X131" s="28" t="str">
        <x:v>тарт, крем, мороженое, выпечка, сырная подача или начинка</x:v>
      </x:c>
      <x:c r="Y131" s="28" t="str">
        <x:v>десерты; еда</x:v>
      </x:c>
      <x:c r="Z131" s="28" t="str">
        <x:v>Средняя</x:v>
      </x:c>
      <x:c r="AA131" s="28" t="str">
        <x:v>The Art &amp; Science of Foodpairing.pdf</x:v>
      </x:c>
      <x:c r="AB131" s="28" t="str">
        <x:v>The Art &amp; Science of Foodpairing.pdf: 260–261</x:v>
      </x:c>
      <x:c r="AC131" s="28" t="str">
        <x:v>Ingredient pairings with peach and nectarine: kefir.</x:v>
      </x:c>
      <x:c r="AD131" s="28" t="n">
        <x:v>1</x:v>
      </x:c>
      <x:c r="AE131" s="28" t="n">
        <x:v>1</x:v>
      </x:c>
      <x:c r="AF131" s="28" t="n">
        <x:f>IF(Z131="Высокая",3,IF(Z131="Средняя",2,1))+AD131*2+MIN(AE131,3)</x:f>
        <x:v>5</x:v>
      </x:c>
    </x:row>
    <x:row r="132" ht="62" customHeight="1">
      <x:c r="A132" s="28" t="str">
        <x:v>STN-0131</x:v>
      </x:c>
      <x:c r="B132" s="28" t="str">
        <x:v>персик</x:v>
      </x:c>
      <x:c r="C132" s="28" t="str">
        <x:v>Универсальные</x:v>
      </x:c>
      <x:c r="D132" s="28" t="str">
        <x:v>персик</x:v>
      </x:c>
      <x:c r="E132" s="28" t="str">
        <x:v>peach</x:v>
      </x:c>
      <x:c r="F132" s="28" t="str">
        <x:v>Косточковые фрукты</x:v>
      </x:c>
      <x:c r="G132" s="28" t="str">
        <x:v>киви</x:v>
      </x:c>
      <x:c r="H132" s="28" t="str">
        <x:v>papaya</x:v>
      </x:c>
      <x:c r="I132" s="28" t="str">
        <x:v>Тропические и субтропические фрукты</x:v>
      </x:c>
      <x:c r="J132" s="28" t="str">
        <x:v>сливочный, персиковый, кокосово-лактонный, цветочный, зелёный</x:v>
      </x:c>
      <x:c r="K132" s="28" t="str">
        <x:v>зелёный, травянистый, цитрусовый, фруктовый и слегка морской</x:v>
      </x:c>
      <x:c r="L132" s="28" t="str">
        <x:v>γ- и δ-декалактон, γ- и δ-додекалактон, линалоол, бензальдегид, гексаналь, цис-3-гексенол</x:v>
      </x:c>
      <x:c r="M132" s="28" t="str">
        <x:v>гексаналь, (E)-2-гексеналь, этилбутират, метилбутират, линалоол; фермент актинидин</x:v>
      </x:c>
      <x:c r="N132" s="28" t="str">
        <x:v>зелёный</x:v>
      </x:c>
      <x:c r="O132" s="28" t="str">
        <x:v>линалоол, гексаналь</x:v>
      </x:c>
      <x:c r="P132" s="28" t="str">
        <x:v>прямое или классовое перекрытие характерных одорантов + вкусовой баланс</x:v>
      </x:c>
      <x:c r="Q132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высокая кислотность, сладость и выраженная свежесть. Баланс корректируется сахаром, кислотой, солью и горечью.</x:v>
      </x:c>
      <x:c r="R132" s="28" t="str">
        <x:v>обычно слабый; кислота даёт свежесть; партнёр: кислотное покалывание зависит от плода; специальные эффекты указаны в паспорте</x:v>
      </x:c>
      <x:c r="S132" s="28" t="str">
        <x:v>сочная пектиновая мякоть; кожица несёт зелёные и цветочные ноты; лактоны хорошо удерживаются жиром и этанолом. Партнёр: водная; содержит протеазу актинидин и кристаллы оксалата кальция.</x:v>
      </x:c>
      <x:c r="T13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U13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Киви относится к группе «Тропические и субтропические фрукты» и даёт профиль «зелёный, травянистый, цитрусовый, фруктовый и слегка морской»; типичные соединения или классы: гексаналь, (E)-2-гексеналь, этилбутират, метилбутират, линалоол; фермент актинидин. В рабочих профилях пересекаются: линалоол, гексаналь.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высокая кислотность, сладость и выраженная свежесть.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водная; содержит протеазу актинидин и кристаллы оксалата кальция.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V13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32" s="28" t="str">
        <x:v>мёд, цитрус или нейтральная жировая основа</x:v>
      </x:c>
      <x:c r="X132" s="28" t="str">
        <x:v>напиток, соус, десерт или горячее блюдо после пробной дегустации</x:v>
      </x:c>
      <x:c r="Y132" s="28" t="str">
        <x:v>напитки; еда; десерты; соусы/маринады</x:v>
      </x:c>
      <x:c r="Z132" s="28" t="str">
        <x:v>Средняя</x:v>
      </x:c>
      <x:c r="AA132" s="28" t="str">
        <x:v>The Art &amp; Science of Foodpairing.pdf</x:v>
      </x:c>
      <x:c r="AB132" s="28" t="str">
        <x:v>The Art &amp; Science of Foodpairing.pdf: 260–261</x:v>
      </x:c>
      <x:c r="AC132" s="28" t="str">
        <x:v>Ingredient pairings with peach and nectarine: papaya.</x:v>
      </x:c>
      <x:c r="AD132" s="28" t="n">
        <x:v>1</x:v>
      </x:c>
      <x:c r="AE132" s="28" t="n">
        <x:v>1</x:v>
      </x:c>
      <x:c r="AF132" s="28" t="n">
        <x:f>IF(Z132="Высокая",3,IF(Z132="Средняя",2,1))+AD132*2+MIN(AE132,3)</x:f>
        <x:v>5</x:v>
      </x:c>
    </x:row>
    <x:row r="133" ht="62" customHeight="1">
      <x:c r="A133" s="28" t="str">
        <x:v>STN-0132</x:v>
      </x:c>
      <x:c r="B133" s="28" t="str">
        <x:v>персик</x:v>
      </x:c>
      <x:c r="C133" s="28" t="str">
        <x:v>Напитки</x:v>
      </x:c>
      <x:c r="D133" s="28" t="str">
        <x:v>персик</x:v>
      </x:c>
      <x:c r="E133" s="28" t="str">
        <x:v>peach</x:v>
      </x:c>
      <x:c r="F133" s="28" t="str">
        <x:v>Косточковые фрукты</x:v>
      </x:c>
      <x:c r="G133" s="28" t="str">
        <x:v>китайская сенча</x:v>
      </x:c>
      <x:c r="H133" s="28" t="str">
        <x:v>Chinese sencha green tea</x:v>
      </x:c>
      <x:c r="I133" s="28" t="str">
        <x:v>Чай и кофе</x:v>
      </x:c>
      <x:c r="J133" s="28" t="str">
        <x:v>сливочный, персиковый, кокосово-лактонный, цветочный, зелёный</x:v>
      </x:c>
      <x:c r="K133" s="28" t="str">
        <x:v>жареный, травяной, цветочный или терпкий</x:v>
      </x:c>
      <x:c r="L133" s="28" t="str">
        <x:v>γ- и δ-декалактон, γ- и δ-додекалактон, линалоол, бензальдегид, гексаналь, цис-3-гексенол</x:v>
      </x:c>
      <x:c r="M133" s="28" t="str">
        <x:v>пиридины, пиразины, фенолы, линалоол, гераниол, теафлавины</x:v>
      </x:c>
      <x:c r="N133" s="28" t="str">
        <x:v>цветочный</x:v>
      </x:c>
      <x:c r="O133" s="28" t="str">
        <x:v>линалоол</x:v>
      </x:c>
      <x:c r="P133" s="28" t="str">
        <x:v>прямое или классовое перекрытие характерных одорантов + вкусовой баланс</x:v>
      </x:c>
      <x:c r="Q133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горечь, терпкость и иногда сладость. Баланс корректируется сахаром, кислотой, солью и горечью.</x:v>
      </x:c>
      <x:c r="R133" s="28" t="str">
        <x:v>обычно слабый; кислота даёт свежесть; партнёр: кофеин даёт горечь, не тройничный эффект</x:v>
      </x:c>
      <x:c r="S133" s="28" t="str">
        <x:v>сочная пектиновая мякоть; кожица несёт зелёные и цветочные ноты; лактоны хорошо удерживаются жиром и этанолом. Партнёр: водная экстракция; температура сильно меняет летучесть.</x:v>
      </x:c>
      <x:c r="T13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3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Китайская сенча относится к группе «Чай и кофе» и даёт профиль «жареный, травяной, цветочный или терпкий»; типичные соединения или классы: пиридины, пиразины, фенолы, линалоол, гераниол, теафлавины. В рабочих профилях пересекаются: линалоол.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горечь, терпкость и иногда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экстракция; температура сильно меняет летучесть.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3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33" s="28" t="str">
        <x:v>мёд, цитрус или нейтральная жировая основа</x:v>
      </x:c>
      <x:c r="X133" s="28" t="str">
        <x:v>коктейль, кордиал, настой, спритц, чайный или кофейный напиток</x:v>
      </x:c>
      <x:c r="Y133" s="28" t="str">
        <x:v>напитки</x:v>
      </x:c>
      <x:c r="Z133" s="28" t="str">
        <x:v>Средняя</x:v>
      </x:c>
      <x:c r="AA133" s="28" t="str">
        <x:v>The Art &amp; Science of Foodpairing.pdf</x:v>
      </x:c>
      <x:c r="AB133" s="28" t="str">
        <x:v>The Art &amp; Science of Foodpairing.pdf: 364 | The Art &amp; Science of Foodpairing.pdf: 365</x:v>
      </x:c>
      <x:c r="AC133" s="28" t="str">
        <x:v>Ингредиент «peach» указан на странице профиля/сетки сочетаний «Chinese sencha green tea».</x:v>
      </x:c>
      <x:c r="AD133" s="28" t="n">
        <x:v>1</x:v>
      </x:c>
      <x:c r="AE133" s="28" t="n">
        <x:v>2</x:v>
      </x:c>
      <x:c r="AF133" s="28" t="n">
        <x:f>IF(Z133="Высокая",3,IF(Z133="Средняя",2,1))+AD133*2+MIN(AE133,3)</x:f>
        <x:v>6</x:v>
      </x:c>
    </x:row>
    <x:row r="134" ht="62" customHeight="1">
      <x:c r="A134" s="28" t="str">
        <x:v>STN-0133</x:v>
      </x:c>
      <x:c r="B134" s="28" t="str">
        <x:v>персик</x:v>
      </x:c>
      <x:c r="C134" s="28" t="str">
        <x:v>Универсальные</x:v>
      </x:c>
      <x:c r="D134" s="28" t="str">
        <x:v>персик</x:v>
      </x:c>
      <x:c r="E134" s="28" t="str">
        <x:v>peach</x:v>
      </x:c>
      <x:c r="F134" s="28" t="str">
        <x:v>Косточковые фрукты</x:v>
      </x:c>
      <x:c r="G134" s="28" t="str">
        <x:v>кленовый сироп</x:v>
      </x:c>
      <x:c r="H134" s="28" t="str">
        <x:v>кленовый сироп</x:v>
      </x:c>
      <x:c r="I134" s="28" t="str">
        <x:v>Сахара, мёд и кондитерские основы</x:v>
      </x:c>
      <x:c r="J134" s="28" t="str">
        <x:v>сливочный, персиковый, кокосово-лактонный, цветочный, зелёный</x:v>
      </x:c>
      <x:c r="K134" s="28" t="str">
        <x:v>медовый, карамельный, ванильный и жареный</x:v>
      </x:c>
      <x:c r="L134" s="28" t="str">
        <x:v>γ- и δ-декалактон, γ- и δ-додекалактон, линалоол, бензальдегид, гексаналь, цис-3-гексенол</x:v>
      </x:c>
      <x:c r="M134" s="28" t="str">
        <x:v>мальтол, фуранеол, фурфурол, ванилин</x:v>
      </x:c>
      <x:c r="N134" s="28" t="str">
        <x:v>прямое семейное перекрытие не является главным механизмом</x:v>
      </x:c>
      <x:c r="O134" s="28" t="str">
        <x:v>надёжный единичный общий маркер не подтверждён; механизм не сводится к одной молекуле</x:v>
      </x:c>
      <x:c r="P134" s="28" t="str">
        <x:v>комплементарность ароматических семейств, вкусовой контраст и матричный эффект</x:v>
      </x:c>
      <x:c r="Q134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</x:v>
      </x:c>
      <x:c r="R134" s="28" t="str">
        <x:v>обычно слабый; кислота даёт свежесть; партнёр: отсутствует</x:v>
      </x:c>
      <x:c r="S134" s="28" t="str">
        <x:v>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</x:v>
      </x:c>
      <x:c r="T13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U13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V13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34" s="28" t="str">
        <x:v>мёд, цитрус или нейтральная жировая основа</x:v>
      </x:c>
      <x:c r="X134" s="28" t="str">
        <x:v>напиток, соус, десерт или горячее блюдо после пробной дегустации</x:v>
      </x:c>
      <x:c r="Y134" s="28" t="str">
        <x:v>напитки; еда; десерты; соусы/маринады</x:v>
      </x:c>
      <x:c r="Z134" s="28" t="str">
        <x:v>Гипотеза / практическая</x:v>
      </x:c>
      <x:c r="AA134" s="28" t="str">
        <x:v>Таблица сочетания(1).pdf</x:v>
      </x:c>
      <x:c r="AB134" s="28" t="str">
        <x:v>Таблица сочетания(1).pdf: 15</x:v>
      </x:c>
      <x:c r="AC134" s="28" t="str">
        <x:v>Пара указана в строке «Персик» → колонка «Другое».</x:v>
      </x:c>
      <x:c r="AD134" s="28" t="n">
        <x:v>1</x:v>
      </x:c>
      <x:c r="AE134" s="28" t="n">
        <x:v>1</x:v>
      </x:c>
      <x:c r="AF134" s="28" t="n">
        <x:f>IF(Z134="Высокая",3,IF(Z134="Средняя",2,1))+AD134*2+MIN(AE134,3)</x:f>
        <x:v>4</x:v>
      </x:c>
    </x:row>
    <x:row r="135" ht="62" customHeight="1">
      <x:c r="A135" s="28" t="str">
        <x:v>STN-0134</x:v>
      </x:c>
      <x:c r="B135" s="28" t="str">
        <x:v>персик</x:v>
      </x:c>
      <x:c r="C135" s="28" t="str">
        <x:v>Десерты и выпечка</x:v>
      </x:c>
      <x:c r="D135" s="28" t="str">
        <x:v>персик</x:v>
      </x:c>
      <x:c r="E135" s="28" t="str">
        <x:v>peach</x:v>
      </x:c>
      <x:c r="F135" s="28" t="str">
        <x:v>Косточковые фрукты</x:v>
      </x:c>
      <x:c r="G135" s="28" t="str">
        <x:v>клубника</x:v>
      </x:c>
      <x:c r="H135" s="28" t="str">
        <x:v>Strawberry | Клубника | клубника</x:v>
      </x:c>
      <x:c r="I135" s="28" t="str">
        <x:v>Ягоды</x:v>
      </x:c>
      <x:c r="J135" s="28" t="str">
        <x:v>сливочный, персиковый, кокосово-лактонный, цветочный, зелёный</x:v>
      </x:c>
      <x:c r="K135" s="28" t="str">
        <x:v>красно-фруктовый, цветочный, зелёный и иногда сернистый</x:v>
      </x:c>
      <x:c r="L135" s="28" t="str">
        <x:v>γ- и δ-декалактон, γ- и δ-додекалактон, линалоол, бензальдегид, гексаналь, цис-3-гексенол</x:v>
      </x:c>
      <x:c r="M135" s="28" t="str">
        <x:v>фуранеол, эфиры, иононы, зелёные альдегиды</x:v>
      </x:c>
      <x:c r="N135" s="28" t="str">
        <x:v>цветочный, зелёный</x:v>
      </x:c>
      <x:c r="O135" s="28" t="str">
        <x:v>надёжный единичный общий маркер не подтверждён; механизм не сводится к одной молекуле</x:v>
      </x:c>
      <x:c r="P135" s="28" t="str">
        <x:v>комплементарность ароматических семейств, вкусовой контраст и матричный эффект</x:v>
      </x:c>
      <x:c r="Q135" s="28" t="str">
        <x:v>Близкие фруктовые эфиры создают непрерывность, а различия в кислотности, терпкости и сладости формируют контраст.</x:v>
      </x:c>
      <x:c r="R135" s="28" t="str">
        <x:v>обычно слабый; кислота даёт свежесть; партнёр: обычно слабый; кислота усиливает свежесть</x:v>
      </x:c>
      <x:c r="S135" s="28" t="str">
        <x:v>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</x:v>
      </x:c>
      <x:c r="T13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13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13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35" s="28" t="str">
        <x:v>ваниль, мята или миндаль</x:v>
      </x:c>
      <x:c r="X135" s="28" t="str">
        <x:v>сорбет, салат, джем, кордиал, лимонад, коктейль или фруктовый соус</x:v>
      </x:c>
      <x:c r="Y135" s="28" t="str">
        <x:v>напитки; десерты; соусы/маринады</x:v>
      </x:c>
      <x:c r="Z135" s="28" t="str">
        <x:v>Высокая</x:v>
      </x:c>
      <x:c r="AA135" s="28" t="str">
        <x:v>The Art &amp; Science of Foodpairing.pdf | Тезариус вкусов (Ники Сегнит)(1).pdf</x:v>
      </x:c>
      <x:c r="AB135" s="28" t="str">
        <x:v>The Art &amp; Science of Foodpairing.pdf: Тезариус вкусов: 698, 751; The Art &amp; Science of Foodpairing: 71 | Тезариус вкусов (Ники Сегнит)(1).pdf: 698 | Тезариус вкусов (Ники Сегнит)(1).pdf: 751 | The Art &amp; Science of Foodpairing.pdf: 71</x:v>
      </x:c>
      <x:c r="AC135" s="28" t="str">
        <x:v>Клубника и персик. См. Персик и клубника | Персик и клубника. Кто лучший друг сливок – пер- сик или клубника? И тот и другая содержат молоч- ные вкусы, которые дают им естественное сродство со сливками. Оба, смешавшись со взбитыми сливка- ми, образуют простой и вкусный десерт. Не бейтесь над этой проблемой, сделайте прекрасный десерт из слоев вашерена (vacherin) (см. Кофе и черная смо- родина), положив эти свежие фрукты вместо льда | Ingredient pairings with Strawberry: peach Клубника и персик. См. Персик и клубника Персик и клубника. Кто лучший друг сливок – пер-</x:v>
      </x:c>
      <x:c r="AD135" s="28" t="n">
        <x:v>2</x:v>
      </x:c>
      <x:c r="AE135" s="28" t="n">
        <x:v>4</x:v>
      </x:c>
      <x:c r="AF135" s="28" t="n">
        <x:f>IF(Z135="Высокая",3,IF(Z135="Средняя",2,1))+AD135*2+MIN(AE135,3)</x:f>
        <x:v>10</x:v>
      </x:c>
    </x:row>
    <x:row r="136" ht="62" customHeight="1">
      <x:c r="A136" s="28" t="str">
        <x:v>STN-0135</x:v>
      </x:c>
      <x:c r="B136" s="28" t="str">
        <x:v>персик</x:v>
      </x:c>
      <x:c r="C136" s="28" t="str">
        <x:v>Десерты и выпечка</x:v>
      </x:c>
      <x:c r="D136" s="28" t="str">
        <x:v>персик</x:v>
      </x:c>
      <x:c r="E136" s="28" t="str">
        <x:v>peach</x:v>
      </x:c>
      <x:c r="F136" s="28" t="str">
        <x:v>Косточковые фрукты</x:v>
      </x:c>
      <x:c r="G136" s="28" t="str">
        <x:v>клюква</x:v>
      </x:c>
      <x:c r="H136" s="28" t="str">
        <x:v>Клюква</x:v>
      </x:c>
      <x:c r="I136" s="28" t="str">
        <x:v>Ягоды</x:v>
      </x:c>
      <x:c r="J136" s="28" t="str">
        <x:v>сливочный, персиковый, кокосово-лактонный, цветочный, зелёный</x:v>
      </x:c>
      <x:c r="K136" s="28" t="str">
        <x:v>красно-фруктовый, цветочный, зелёный и иногда сернистый</x:v>
      </x:c>
      <x:c r="L136" s="28" t="str">
        <x:v>γ- и δ-декалактон, γ- и δ-додекалактон, линалоол, бензальдегид, гексаналь, цис-3-гексенол</x:v>
      </x:c>
      <x:c r="M136" s="28" t="str">
        <x:v>фуранеол, эфиры, иононы, зелёные альдегиды</x:v>
      </x:c>
      <x:c r="N136" s="28" t="str">
        <x:v>цветочный, зелёный</x:v>
      </x:c>
      <x:c r="O136" s="28" t="str">
        <x:v>надёжный единичный общий маркер не подтверждён; механизм не сводится к одной молекуле</x:v>
      </x:c>
      <x:c r="P136" s="28" t="str">
        <x:v>комплементарность ароматических семейств, вкусовой контраст и матричный эффект</x:v>
      </x:c>
      <x:c r="Q136" s="28" t="str">
        <x:v>Близкие фруктовые эфиры создают непрерывность, а различия в кислотности, терпкости и сладости формируют контраст.</x:v>
      </x:c>
      <x:c r="R136" s="28" t="str">
        <x:v>обычно слабый; кислота даёт свежесть; партнёр: обычно слабый; кислота усиливает свежесть</x:v>
      </x:c>
      <x:c r="S136" s="28" t="str">
        <x:v>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</x:v>
      </x:c>
      <x:c r="T13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13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Клюква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13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36" s="28" t="str">
        <x:v>ваниль, мята или миндаль</x:v>
      </x:c>
      <x:c r="X136" s="28" t="str">
        <x:v>сорбет, салат, джем, кордиал, лимонад, коктейль или фруктовый соус</x:v>
      </x:c>
      <x:c r="Y136" s="28" t="str">
        <x:v>напитки; десерты; соусы/маринады</x:v>
      </x:c>
      <x:c r="Z136" s="28" t="str">
        <x:v>Гипотеза / практическая</x:v>
      </x:c>
      <x:c r="AA136" s="28" t="str">
        <x:v>Таблица сочетания(1).pdf</x:v>
      </x:c>
      <x:c r="AB136" s="28" t="str">
        <x:v>Таблица сочетания(1).pdf: Таблица сочетаний: 6 | Таблица сочетания(1).pdf: 6</x:v>
      </x:c>
      <x:c r="AC136" s="28" t="str">
        <x:v>Клюква: персик Пара указана в строке «Клюква»: «персик» находится в колонке «Фрукты».</x:v>
      </x:c>
      <x:c r="AD136" s="28" t="n">
        <x:v>1</x:v>
      </x:c>
      <x:c r="AE136" s="28" t="n">
        <x:v>2</x:v>
      </x:c>
      <x:c r="AF136" s="28" t="n">
        <x:f>IF(Z136="Высокая",3,IF(Z136="Средняя",2,1))+AD136*2+MIN(AE136,3)</x:f>
        <x:v>5</x:v>
      </x:c>
    </x:row>
    <x:row r="137" ht="62" customHeight="1">
      <x:c r="A137" s="28" t="str">
        <x:v>STN-0136</x:v>
      </x:c>
      <x:c r="B137" s="28" t="str">
        <x:v>персик</x:v>
      </x:c>
      <x:c r="C137" s="28" t="str">
        <x:v>Универсальные</x:v>
      </x:c>
      <x:c r="D137" s="28" t="str">
        <x:v>персик</x:v>
      </x:c>
      <x:c r="E137" s="28" t="str">
        <x:v>peach</x:v>
      </x:c>
      <x:c r="F137" s="28" t="str">
        <x:v>Косточковые фрукты</x:v>
      </x:c>
      <x:c r="G137" s="28" t="str">
        <x:v>кокос</x:v>
      </x:c>
      <x:c r="H137" s="28" t="str">
        <x:v>кокос | Coconut</x:v>
      </x:c>
      <x:c r="I137" s="28" t="str">
        <x:v>Тропические фрукты и жирные матрицы</x:v>
      </x:c>
      <x:c r="J137" s="28" t="str">
        <x:v>сливочный, персиковый, кокосово-лактонный, цветочный, зелёный</x:v>
      </x:c>
      <x:c r="K137" s="28" t="str">
        <x:v>сливочный, молочный, ореховый, сладкий и древесный</x:v>
      </x:c>
      <x:c r="L137" s="28" t="str">
        <x:v>γ- и δ-декалактон, γ- и δ-додекалактон, линалоол, бензальдегид, гексаналь, цис-3-гексенол</x:v>
      </x:c>
      <x:c r="M137" s="28" t="str">
        <x:v>γ-ноналактон, γ-окталактон, δ-декалактон, жирные кислоты; при обжарке — пиразины и фураны</x:v>
      </x:c>
      <x:c r="N137" s="28" t="str">
        <x:v>сливочный</x:v>
      </x:c>
      <x:c r="O137" s="28" t="str">
        <x:v>декалактон</x:v>
      </x:c>
      <x:c r="P137" s="28" t="str">
        <x:v>прямое или классовое перекрытие характерных одорантов + вкусовой баланс</x:v>
      </x:c>
      <x:c r="Q137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мягкая сладость; кокосовая вода минеральнее, мякоть и молоко жирнее. Баланс корректируется сахаром, кислотой, солью и горечью.</x:v>
      </x:c>
      <x:c r="R137" s="28" t="str">
        <x:v>обычно слабый; кислота даёт свежесть; партнёр: кислотное покалывание зависит от плода; специальные эффекты указаны в паспорте</x:v>
      </x:c>
      <x:c r="S137" s="28" t="str">
        <x:v>сочная пектиновая мякоть; кожица несёт зелёные и цветочные ноты; лактоны хорошо удерживаются жиром и этанолом. Партнёр: богатая жиром эмульсия; хорошо растворяет гидрофобные терпены, специи и ароматические масла.</x:v>
      </x:c>
      <x:c r="T13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U13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В рабочих профилях пересекаются: декалактон.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богатая жиром эмульсия; хорошо растворяет гидрофобные терпены, специи и ароматические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V13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37" s="28" t="str">
        <x:v>мёд, цитрус или нейтральная жировая основа</x:v>
      </x:c>
      <x:c r="X137" s="28" t="str">
        <x:v>напиток, соус, десерт или горячее блюдо после пробной дегустации</x:v>
      </x:c>
      <x:c r="Y137" s="28" t="str">
        <x:v>напитки; еда; десерты; соусы/маринады</x:v>
      </x:c>
      <x:c r="Z137" s="28" t="str">
        <x:v>Высокая</x:v>
      </x:c>
      <x:c r="AA137" s="28" t="str">
        <x:v>The Art &amp; Science of Foodpairing.pdf | Таблица сочетания(1).pdf</x:v>
      </x:c>
      <x:c r="AB137" s="28" t="str">
        <x:v>The Art &amp; Science of Foodpairing.pdf: Таблица сочетаний: 15 | The Art &amp; Science of Foodpairing: 134 | Таблица сочетания(1).pdf: 15 | The Art &amp; Science of Foodpairing.pdf: 134</x:v>
      </x:c>
      <x:c r="AC137" s="28" t="str">
        <x:v>Таблица сочетаний: В строке «Персик» ингредиент «кокос» указан как рекомендуемое сочетание в колонке «Фрукты». || The Art &amp; Science of Foodpairing: Ингредиент указан в указателе книги на страницах профиля и pairing grids для «кокос»: 134. Пара указана в строке «Персик» → колонка «Фрукты». Ингредиент «peach» указан на странице профиля/сетки сочетаний «Coconut».</x:v>
      </x:c>
      <x:c r="AD137" s="28" t="n">
        <x:v>2</x:v>
      </x:c>
      <x:c r="AE137" s="28" t="n">
        <x:v>3</x:v>
      </x:c>
      <x:c r="AF137" s="28" t="n">
        <x:f>IF(Z137="Высокая",3,IF(Z137="Средняя",2,1))+AD137*2+MIN(AE137,3)</x:f>
        <x:v>10</x:v>
      </x:c>
    </x:row>
    <x:row r="138" ht="62" customHeight="1">
      <x:c r="A138" s="28" t="str">
        <x:v>STN-0137</x:v>
      </x:c>
      <x:c r="B138" s="28" t="str">
        <x:v>персик</x:v>
      </x:c>
      <x:c r="C138" s="28" t="str">
        <x:v>Универсальные</x:v>
      </x:c>
      <x:c r="D138" s="28" t="str">
        <x:v>персик</x:v>
      </x:c>
      <x:c r="E138" s="28" t="str">
        <x:v>peach</x:v>
      </x:c>
      <x:c r="F138" s="28" t="str">
        <x:v>Косточковые фрукты</x:v>
      </x:c>
      <x:c r="G138" s="28" t="str">
        <x:v>корица</x:v>
      </x:c>
      <x:c r="H138" s="28" t="str">
        <x:v>корица</x:v>
      </x:c>
      <x:c r="I138" s="28" t="str">
        <x:v>Специи и острые компоненты</x:v>
      </x:c>
      <x:c r="J138" s="28" t="str">
        <x:v>сливочный, персиковый, кокосово-лактонный, цветочный, зелёный</x:v>
      </x:c>
      <x:c r="K138" s="28" t="str">
        <x:v>тёплый, древесный и сладко-пряный</x:v>
      </x:c>
      <x:c r="L138" s="28" t="str">
        <x:v>γ- и δ-декалактон, γ- и δ-додекалактон, линалоол, бензальдегид, гексаналь, цис-3-гексенол</x:v>
      </x:c>
      <x:c r="M138" s="28" t="str">
        <x:v>коричный альдегид, эвгенол</x:v>
      </x:c>
      <x:c r="N138" s="28" t="str">
        <x:v>прямое семейное перекрытие не является главным механизмом</x:v>
      </x:c>
      <x:c r="O138" s="28" t="str">
        <x:v>надёжный единичный общий маркер не подтверждён; механизм не сводится к одной молекуле</x:v>
      </x:c>
      <x:c r="P138" s="28" t="str">
        <x:v>комплементарность ароматических семейств, вкусовой контраст и матричный эффект</x:v>
      </x:c>
      <x:c r="Q138" s="28" t="str">
        <x:v>Сладость и кислота фрукта смягчают остроту и горечь специи, а пряный компонент удлиняет ароматическое послевкусие.</x:v>
      </x:c>
      <x:c r="R138" s="28" t="str">
        <x:v>обычно слабый; кислота даёт свежесть; партнёр: капсаицин, пиперин, гингеролы и камфорные терпены создают жжение, тепло или охлаждение</x:v>
      </x:c>
      <x:c r="S138" s="28" t="str">
        <x:v>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</x:v>
      </x:c>
      <x:c r="T138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13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138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W138" s="28" t="str">
        <x:v>мёд, цитрус или миндаль</x:v>
      </x:c>
      <x:c r="X138" s="28" t="str">
        <x:v>напиток, соус, десерт или горячее блюдо после пробной дегустации</x:v>
      </x:c>
      <x:c r="Y138" s="28" t="str">
        <x:v>напитки; еда; десерты; соусы/маринады</x:v>
      </x:c>
      <x:c r="Z138" s="28" t="str">
        <x:v>Гипотеза / практическая</x:v>
      </x:c>
      <x:c r="AA138" s="28" t="str">
        <x:v>Таблица сочетания(1).pdf</x:v>
      </x:c>
      <x:c r="AB138" s="28" t="str">
        <x:v>Таблица сочетания(1).pdf: 15</x:v>
      </x:c>
      <x:c r="AC138" s="28" t="str">
        <x:v>Пара указана в строке «Персик» → колонка «Травы и специи».</x:v>
      </x:c>
      <x:c r="AD138" s="28" t="n">
        <x:v>1</x:v>
      </x:c>
      <x:c r="AE138" s="28" t="n">
        <x:v>1</x:v>
      </x:c>
      <x:c r="AF138" s="28" t="n">
        <x:f>IF(Z138="Высокая",3,IF(Z138="Средняя",2,1))+AD138*2+MIN(AE138,3)</x:f>
        <x:v>4</x:v>
      </x:c>
    </x:row>
    <x:row r="139" ht="62" customHeight="1">
      <x:c r="A139" s="28" t="str">
        <x:v>STN-0138</x:v>
      </x:c>
      <x:c r="B139" s="28" t="str">
        <x:v>персик</x:v>
      </x:c>
      <x:c r="C139" s="28" t="str">
        <x:v>Еда и соусы</x:v>
      </x:c>
      <x:c r="D139" s="28" t="str">
        <x:v>персик</x:v>
      </x:c>
      <x:c r="E139" s="28" t="str">
        <x:v>peach</x:v>
      </x:c>
      <x:c r="F139" s="28" t="str">
        <x:v>Косточковые фрукты</x:v>
      </x:c>
      <x:c r="G139" s="28" t="str">
        <x:v>краснокочанная капуста</x:v>
      </x:c>
      <x:c r="H139" s="28" t="str">
        <x:v>red cabbage</x:v>
      </x:c>
      <x:c r="I139" s="28" t="str">
        <x:v>Овощи и корнеплоды</x:v>
      </x:c>
      <x:c r="J139" s="28" t="str">
        <x:v>сливочный, персиковый, кокосово-лактонный, цветочный, зелёный</x:v>
      </x:c>
      <x:c r="K139" s="28" t="str">
        <x:v>зелёный, землистый, сладковатый или сернистый</x:v>
      </x:c>
      <x:c r="L139" s="28" t="str">
        <x:v>γ- и δ-декалактон, γ- и δ-додекалактон, линалоол, бензальдегид, гексаналь, цис-3-гексенол</x:v>
      </x:c>
      <x:c r="M139" s="28" t="str">
        <x:v>C6-альдегиды, метоксипиразины, терпены, сернистые соединения</x:v>
      </x:c>
      <x:c r="N139" s="28" t="str">
        <x:v>зелёный</x:v>
      </x:c>
      <x:c r="O139" s="28" t="str">
        <x:v>надёжный единичный общий маркер не подтверждён; механизм не сводится к одной молекуле</x:v>
      </x:c>
      <x:c r="P139" s="28" t="str">
        <x:v>комплементарность ароматических семейств, вкусовой контраст и матричный эффект</x:v>
      </x:c>
      <x:c r="Q139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</x:v>
      </x:c>
      <x:c r="R139" s="28" t="str">
        <x:v>обычно слабый; кислота даёт свежесть; партнёр: зависит от продукта</x:v>
      </x:c>
      <x:c r="S139" s="28" t="str">
        <x:v>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</x:v>
      </x:c>
      <x:c r="T13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3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Краснокочанная капуста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3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39" s="28" t="str">
        <x:v>мёд, травы или уксус</x:v>
      </x:c>
      <x:c r="X139" s="28" t="str">
        <x:v>соус, глазировка, чатни, маринад, гарнир или основное блюдо</x:v>
      </x:c>
      <x:c r="Y139" s="28" t="str">
        <x:v>еда; соусы/маринады</x:v>
      </x:c>
      <x:c r="Z139" s="28" t="str">
        <x:v>Средняя</x:v>
      </x:c>
      <x:c r="AA139" s="28" t="str">
        <x:v>The Art &amp; Science of Foodpairing.pdf</x:v>
      </x:c>
      <x:c r="AB139" s="28" t="str">
        <x:v>The Art &amp; Science of Foodpairing.pdf: 260–261</x:v>
      </x:c>
      <x:c r="AC139" s="28" t="str">
        <x:v>Ingredient pairings with peach and nectarine: red cabbage.</x:v>
      </x:c>
      <x:c r="AD139" s="28" t="n">
        <x:v>1</x:v>
      </x:c>
      <x:c r="AE139" s="28" t="n">
        <x:v>1</x:v>
      </x:c>
      <x:c r="AF139" s="28" t="n">
        <x:f>IF(Z139="Высокая",3,IF(Z139="Средняя",2,1))+AD139*2+MIN(AE139,3)</x:f>
        <x:v>5</x:v>
      </x:c>
    </x:row>
    <x:row r="140" ht="62" customHeight="1">
      <x:c r="A140" s="28" t="str">
        <x:v>STN-0139</x:v>
      </x:c>
      <x:c r="B140" s="28" t="str">
        <x:v>персик</x:v>
      </x:c>
      <x:c r="C140" s="28" t="str">
        <x:v>Универсальные</x:v>
      </x:c>
      <x:c r="D140" s="28" t="str">
        <x:v>персик</x:v>
      </x:c>
      <x:c r="E140" s="28" t="str">
        <x:v>peach</x:v>
      </x:c>
      <x:c r="F140" s="28" t="str">
        <x:v>Косточковые фрукты</x:v>
      </x:c>
      <x:c r="G140" s="28" t="str">
        <x:v>красный хабанеро</x:v>
      </x:c>
      <x:c r="H140" s="28" t="str">
        <x:v>Red habanero chilli</x:v>
      </x:c>
      <x:c r="I140" s="28" t="str">
        <x:v>Специи и острые компоненты</x:v>
      </x:c>
      <x:c r="J140" s="28" t="str">
        <x:v>сливочный, персиковый, кокосово-лактонный, цветочный, зелёный</x:v>
      </x:c>
      <x:c r="K140" s="28" t="str">
        <x:v>пряный, древесный, цветочный или жгучий</x:v>
      </x:c>
      <x:c r="L140" s="28" t="str">
        <x:v>γ- и δ-декалактон, γ- и δ-додекалактон, линалоол, бензальдегид, гексаналь, цис-3-гексенол</x:v>
      </x:c>
      <x:c r="M140" s="28" t="str">
        <x:v>эвгенол, циннамальдегид, анетол, терпены, капсаициноиды, пиперин</x:v>
      </x:c>
      <x:c r="N140" s="28" t="str">
        <x:v>цветочный</x:v>
      </x:c>
      <x:c r="O140" s="28" t="str">
        <x:v>надёжный единичный общий маркер не подтверждён; механизм не сводится к одной молекуле</x:v>
      </x:c>
      <x:c r="P140" s="28" t="str">
        <x:v>комплементарность ароматических семейств, вкусовой контраст и матричный эффект</x:v>
      </x:c>
      <x:c r="Q140" s="28" t="str">
        <x:v>Сладость и кислота фрукта смягчают остроту и горечь специи, а пряный компонент удлиняет ароматическое послевкусие.</x:v>
      </x:c>
      <x:c r="R140" s="28" t="str">
        <x:v>обычно слабый; кислота даёт свежесть; партнёр: выраженный: жжение, тепло или покалывание</x:v>
      </x:c>
      <x:c r="S140" s="28" t="str">
        <x:v>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</x:v>
      </x:c>
      <x:c r="T140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U14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Красный хабанеро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V140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W140" s="28" t="str">
        <x:v>мёд, цитрус или миндаль</x:v>
      </x:c>
      <x:c r="X140" s="28" t="str">
        <x:v>напиток, соус, десерт или горячее блюдо после пробной дегустации</x:v>
      </x:c>
      <x:c r="Y140" s="28" t="str">
        <x:v>напитки; еда; десерты; соусы/маринады</x:v>
      </x:c>
      <x:c r="Z140" s="28" t="str">
        <x:v>Средняя</x:v>
      </x:c>
      <x:c r="AA140" s="28" t="str">
        <x:v>The Art &amp; Science of Foodpairing.pdf</x:v>
      </x:c>
      <x:c r="AB140" s="28" t="str">
        <x:v>The Art &amp; Science of Foodpairing.pdf: 94 | The Art &amp; Science of Foodpairing.pdf: 95</x:v>
      </x:c>
      <x:c r="AC140" s="28" t="str">
        <x:v>Ингредиент «peach» указан на странице профиля/сетки сочетаний «Red habanero chilli».</x:v>
      </x:c>
      <x:c r="AD140" s="28" t="n">
        <x:v>1</x:v>
      </x:c>
      <x:c r="AE140" s="28" t="n">
        <x:v>2</x:v>
      </x:c>
      <x:c r="AF140" s="28" t="n">
        <x:f>IF(Z140="Высокая",3,IF(Z140="Средняя",2,1))+AD140*2+MIN(AE140,3)</x:f>
        <x:v>6</x:v>
      </x:c>
    </x:row>
    <x:row r="141" ht="62" customHeight="1">
      <x:c r="A141" s="28" t="str">
        <x:v>STN-0140</x:v>
      </x:c>
      <x:c r="B141" s="28" t="str">
        <x:v>персик</x:v>
      </x:c>
      <x:c r="C141" s="28" t="str">
        <x:v>Универсальные</x:v>
      </x:c>
      <x:c r="D141" s="28" t="str">
        <x:v>персик</x:v>
      </x:c>
      <x:c r="E141" s="28" t="str">
        <x:v>peach</x:v>
      </x:c>
      <x:c r="F141" s="28" t="str">
        <x:v>Косточковые фрукты</x:v>
      </x:c>
      <x:c r="G141" s="28" t="str">
        <x:v>лаванда</x:v>
      </x:c>
      <x:c r="H141" s="28" t="str">
        <x:v>Лаванда</x:v>
      </x:c>
      <x:c r="I141" s="28" t="str">
        <x:v>Травы и цветы</x:v>
      </x:c>
      <x:c r="J141" s="28" t="str">
        <x:v>сливочный, персиковый, кокосово-лактонный, цветочный, зелёный</x:v>
      </x:c>
      <x:c r="K141" s="28" t="str">
        <x:v>зелёный, цветочный, травянистый и эфирно-масличный</x:v>
      </x:c>
      <x:c r="L141" s="28" t="str">
        <x:v>γ- и δ-декалактон, γ- и δ-додекалактон, линалоол, бензальдегид, гексаналь, цис-3-гексенол</x:v>
      </x:c>
      <x:c r="M141" s="28" t="str">
        <x:v>линалоол, гераниол, эвгенол, 1,8-цинеол</x:v>
      </x:c>
      <x:c r="N141" s="28" t="str">
        <x:v>цветочный, зелёный</x:v>
      </x:c>
      <x:c r="O141" s="28" t="str">
        <x:v>линалоол</x:v>
      </x:c>
      <x:c r="P141" s="28" t="str">
        <x:v>прямое или классовое перекрытие характерных одорантов + вкусовой баланс</x:v>
      </x:c>
      <x:c r="Q141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141" s="28" t="str">
        <x:v>обычно слабый; кислота даёт свежесть; партнёр: у мяты возможен холодящий эффект ментола; у некоторых трав — камфорность</x:v>
      </x:c>
      <x:c r="S141" s="28" t="str">
        <x:v>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</x:v>
      </x:c>
      <x:c r="T14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14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Лаванда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14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41" s="28" t="str">
        <x:v>мёд, цитрус или нейтральная жировая основа</x:v>
      </x:c>
      <x:c r="X141" s="28" t="str">
        <x:v>напиток, соус, десерт или горячее блюдо после пробной дегустации</x:v>
      </x:c>
      <x:c r="Y141" s="28" t="str">
        <x:v>напитки; еда; десерты; соусы/маринады</x:v>
      </x:c>
      <x:c r="Z141" s="28" t="str">
        <x:v>Гипотеза / практическая</x:v>
      </x:c>
      <x:c r="AA141" s="28" t="str">
        <x:v>Таблица сочетания(1).pdf</x:v>
      </x:c>
      <x:c r="AB141" s="28" t="str">
        <x:v>Таблица сочетания(1).pdf: 11</x:v>
      </x:c>
      <x:c r="AC141" s="28" t="str">
        <x:v>Пара указана в строке «Лаванда»: «персик» находится в колонке «Фрукты».</x:v>
      </x:c>
      <x:c r="AD141" s="28" t="n">
        <x:v>1</x:v>
      </x:c>
      <x:c r="AE141" s="28" t="n">
        <x:v>1</x:v>
      </x:c>
      <x:c r="AF141" s="28" t="n">
        <x:f>IF(Z141="Высокая",3,IF(Z141="Средняя",2,1))+AD141*2+MIN(AE141,3)</x:f>
        <x:v>4</x:v>
      </x:c>
    </x:row>
    <x:row r="142" ht="62" customHeight="1">
      <x:c r="A142" s="28" t="str">
        <x:v>STN-0141</x:v>
      </x:c>
      <x:c r="B142" s="28" t="str">
        <x:v>персик</x:v>
      </x:c>
      <x:c r="C142" s="28" t="str">
        <x:v>Универсальные</x:v>
      </x:c>
      <x:c r="D142" s="28" t="str">
        <x:v>персик</x:v>
      </x:c>
      <x:c r="E142" s="28" t="str">
        <x:v>peach</x:v>
      </x:c>
      <x:c r="F142" s="28" t="str">
        <x:v>Косточковые фрукты</x:v>
      </x:c>
      <x:c r="G142" s="28" t="str">
        <x:v>лемонграсс</x:v>
      </x:c>
      <x:c r="H142" s="28" t="str">
        <x:v>Лемонграсс | Lemongrass</x:v>
      </x:c>
      <x:c r="I142" s="28" t="str">
        <x:v>Травы и цветы</x:v>
      </x:c>
      <x:c r="J142" s="28" t="str">
        <x:v>сливочный, персиковый, кокосово-лактонный, цветочный, зелёный</x:v>
      </x:c>
      <x:c r="K142" s="28" t="str">
        <x:v>зелёный, цветочный, травянистый и эфирно-масличный</x:v>
      </x:c>
      <x:c r="L142" s="28" t="str">
        <x:v>γ- и δ-декалактон, γ- и δ-додекалактон, линалоол, бензальдегид, гексаналь, цис-3-гексенол</x:v>
      </x:c>
      <x:c r="M142" s="28" t="str">
        <x:v>линалоол, гераниол, эвгенол, 1,8-цинеол</x:v>
      </x:c>
      <x:c r="N142" s="28" t="str">
        <x:v>цветочный, зелёный</x:v>
      </x:c>
      <x:c r="O142" s="28" t="str">
        <x:v>линалоол</x:v>
      </x:c>
      <x:c r="P142" s="28" t="str">
        <x:v>прямое или классовое перекрытие характерных одорантов + вкусовой баланс</x:v>
      </x:c>
      <x:c r="Q142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142" s="28" t="str">
        <x:v>обычно слабый; кислота даёт свежесть; партнёр: у мяты возможен холодящий эффект ментола; у некоторых трав — камфорность</x:v>
      </x:c>
      <x:c r="S142" s="28" t="str">
        <x:v>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</x:v>
      </x:c>
      <x:c r="T14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14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Лемонграсс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14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42" s="28" t="str">
        <x:v>мёд, цитрус или нейтральная жировая основа</x:v>
      </x:c>
      <x:c r="X142" s="28" t="str">
        <x:v>напиток, соус, десерт или горячее блюдо после пробной дегустации</x:v>
      </x:c>
      <x:c r="Y142" s="28" t="str">
        <x:v>напитки; еда; десерты; соусы/маринады</x:v>
      </x:c>
      <x:c r="Z142" s="28" t="str">
        <x:v>Высокая</x:v>
      </x:c>
      <x:c r="AA142" s="28" t="str">
        <x:v>The Art &amp; Science of Foodpairing.pdf | Таблица сочетания(1).pdf</x:v>
      </x:c>
      <x:c r="AB142" s="28" t="str">
        <x:v>Таблица сочетания(1).pdf: 11 | The Art &amp; Science of Foodpairing.pdf: 144</x:v>
      </x:c>
      <x:c r="AC142" s="28" t="str">
        <x:v>Пара указана в строке «Лемонграсс»: «персик» находится в колонке «Фрукты». Ингредиент «peach» указан на странице профиля/сетки сочетаний «Lemongrass».</x:v>
      </x:c>
      <x:c r="AD142" s="28" t="n">
        <x:v>2</x:v>
      </x:c>
      <x:c r="AE142" s="28" t="n">
        <x:v>2</x:v>
      </x:c>
      <x:c r="AF142" s="28" t="n">
        <x:f>IF(Z142="Высокая",3,IF(Z142="Средняя",2,1))+AD142*2+MIN(AE142,3)</x:f>
        <x:v>9</x:v>
      </x:c>
    </x:row>
    <x:row r="143" ht="62" customHeight="1">
      <x:c r="A143" s="28" t="str">
        <x:v>STN-0142</x:v>
      </x:c>
      <x:c r="B143" s="28" t="str">
        <x:v>персик</x:v>
      </x:c>
      <x:c r="C143" s="28" t="str">
        <x:v>Напитки</x:v>
      </x:c>
      <x:c r="D143" s="28" t="str">
        <x:v>персик</x:v>
      </x:c>
      <x:c r="E143" s="28" t="str">
        <x:v>peach</x:v>
      </x:c>
      <x:c r="F143" s="28" t="str">
        <x:v>Косточковые фрукты</x:v>
      </x:c>
      <x:c r="G143" s="28" t="str">
        <x:v>ликер ириска</x:v>
      </x:c>
      <x:c r="H143" s="28" t="str">
        <x:v>butterscotch liqueur</x:v>
      </x:c>
      <x:c r="I143" s="28" t="str">
        <x:v>Алкогольные напитки</x:v>
      </x:c>
      <x:c r="J143" s="28" t="str">
        <x:v>сливочный, персиковый, кокосово-лактонный, цветочный, зелёный</x:v>
      </x:c>
      <x:c r="K143" s="28" t="str">
        <x:v>спиртовой, эфирный, фруктовый или древесный в зависимости от напитка</x:v>
      </x:c>
      <x:c r="L143" s="28" t="str">
        <x:v>γ- и δ-декалактон, γ- и δ-додекалактон, линалоол, бензальдегид, гексаналь, цис-3-гексенол</x:v>
      </x:c>
      <x:c r="M143" s="28" t="str">
        <x:v>этиловые эфиры, высшие спирты, ацетали; для выдержанных напитков — ванилин и дубовые лактоны</x:v>
      </x:c>
      <x:c r="N143" s="28" t="str">
        <x:v>прямое семейное перекрытие не является главным механизмом</x:v>
      </x:c>
      <x:c r="O143" s="28" t="str">
        <x:v>надёжный единичный общий маркер не подтверждён; механизм не сводится к одной молекуле</x:v>
      </x:c>
      <x:c r="P143" s="28" t="str">
        <x:v>комплементарность ароматических семейств, вкусовой контраст и матричный эффект</x:v>
      </x:c>
      <x:c r="Q143" s="28" t="str">
        <x:v>Этанол усиливает летучесть лактонов и терпенов; сахар и кислотность должны быть настроены так, чтобы крепость не маскировала плод.</x:v>
      </x:c>
      <x:c r="R143" s="28" t="str">
        <x:v>обычно слабый; кислота даёт свежесть; партнёр: этанол даёт согревание</x:v>
      </x:c>
      <x:c r="S143" s="28" t="str">
        <x:v>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</x:v>
      </x:c>
      <x:c r="T143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U14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Ликер ириска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По доступным материалам нельзя уверенно свести совместимость к одной общей молекуле.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V143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W143" s="28" t="str">
        <x:v>цитрус, чай или вермут</x:v>
      </x:c>
      <x:c r="X143" s="28" t="str">
        <x:v>коктейль, кордиал, настой, спритц, чайный или кофейный напиток</x:v>
      </x:c>
      <x:c r="Y143" s="28" t="str">
        <x:v>напитки</x:v>
      </x:c>
      <x:c r="Z143" s="28" t="str">
        <x:v>Средняя</x:v>
      </x:c>
      <x:c r="AA143" s="28" t="str">
        <x:v>The Art &amp; Science of Foodpairing.pdf</x:v>
      </x:c>
      <x:c r="AB143" s="28" t="str">
        <x:v>The Art &amp; Science of Foodpairing.pdf: 260–261</x:v>
      </x:c>
      <x:c r="AC143" s="28" t="str">
        <x:v>Ingredient pairings with peach and nectarine: butterscotch liqueur.</x:v>
      </x:c>
      <x:c r="AD143" s="28" t="n">
        <x:v>1</x:v>
      </x:c>
      <x:c r="AE143" s="28" t="n">
        <x:v>1</x:v>
      </x:c>
      <x:c r="AF143" s="28" t="n">
        <x:f>IF(Z143="Высокая",3,IF(Z143="Средняя",2,1))+AD143*2+MIN(AE143,3)</x:f>
        <x:v>5</x:v>
      </x:c>
    </x:row>
    <x:row r="144" ht="62" customHeight="1">
      <x:c r="A144" s="28" t="str">
        <x:v>STN-0143</x:v>
      </x:c>
      <x:c r="B144" s="28" t="str">
        <x:v>персик</x:v>
      </x:c>
      <x:c r="C144" s="28" t="str">
        <x:v>Универсальные</x:v>
      </x:c>
      <x:c r="D144" s="28" t="str">
        <x:v>персик</x:v>
      </x:c>
      <x:c r="E144" s="28" t="str">
        <x:v>peach</x:v>
      </x:c>
      <x:c r="F144" s="28" t="str">
        <x:v>Косточковые фрукты</x:v>
      </x:c>
      <x:c r="G144" s="28" t="str">
        <x:v>лист шисо</x:v>
      </x:c>
      <x:c r="H144" s="28" t="str">
        <x:v>shiso leaf</x:v>
      </x:c>
      <x:c r="I144" s="28" t="str">
        <x:v>Травы, листья и цветы</x:v>
      </x:c>
      <x:c r="J144" s="28" t="str">
        <x:v>сливочный, персиковый, кокосово-лактонный, цветочный, зелёный</x:v>
      </x:c>
      <x:c r="K144" s="28" t="str">
        <x:v>зелёный, цветочный, цитрусовый или анисовый</x:v>
      </x:c>
      <x:c r="L144" s="28" t="str">
        <x:v>γ- и δ-декалактон, γ- и δ-додекалактон, линалоол, бензальдегид, гексаналь, цис-3-гексенол</x:v>
      </x:c>
      <x:c r="M144" s="28" t="str">
        <x:v>терпены, линалоол, гераниол, эвгенол, анетол, C6-альдегиды</x:v>
      </x:c>
      <x:c r="N144" s="28" t="str">
        <x:v>цветочный, зелёный</x:v>
      </x:c>
      <x:c r="O144" s="28" t="str">
        <x:v>линалоол</x:v>
      </x:c>
      <x:c r="P144" s="28" t="str">
        <x:v>прямое или классовое перекрытие характерных одорантов + вкусовой баланс</x:v>
      </x:c>
      <x:c r="Q144" s="28" t="str">
        <x:v>Цветочные и зелёные ноты расширяют верхнюю часть аромата; фруктовая сладость смягчает травяную горечь.</x:v>
      </x:c>
      <x:c r="R144" s="28" t="str">
        <x:v>обычно слабый; кислота даёт свежесть; партнёр: часто охлаждение/покалывание у мяты и хвои</x:v>
      </x:c>
      <x:c r="S144" s="28" t="str">
        <x:v>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</x:v>
      </x:c>
      <x:c r="T144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U14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Лист шисо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V14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44" s="28" t="str">
        <x:v>лимон, мёд или ваниль</x:v>
      </x:c>
      <x:c r="X144" s="28" t="str">
        <x:v>напиток, соус, десерт или горячее блюдо после пробной дегустации</x:v>
      </x:c>
      <x:c r="Y144" s="28" t="str">
        <x:v>напитки; еда; десерты; соусы/маринады</x:v>
      </x:c>
      <x:c r="Z144" s="28" t="str">
        <x:v>Средняя</x:v>
      </x:c>
      <x:c r="AA144" s="28" t="str">
        <x:v>The Art &amp; Science of Foodpairing.pdf</x:v>
      </x:c>
      <x:c r="AB144" s="28" t="str">
        <x:v>The Art &amp; Science of Foodpairing.pdf: 260–261</x:v>
      </x:c>
      <x:c r="AC144" s="28" t="str">
        <x:v>Ingredient pairings with peach and nectarine: shiso leaf.</x:v>
      </x:c>
      <x:c r="AD144" s="28" t="n">
        <x:v>1</x:v>
      </x:c>
      <x:c r="AE144" s="28" t="n">
        <x:v>1</x:v>
      </x:c>
      <x:c r="AF144" s="28" t="n">
        <x:f>IF(Z144="Высокая",3,IF(Z144="Средняя",2,1))+AD144*2+MIN(AE144,3)</x:f>
        <x:v>5</x:v>
      </x:c>
    </x:row>
    <x:row r="145" ht="62" customHeight="1">
      <x:c r="A145" s="28" t="str">
        <x:v>STN-0144</x:v>
      </x:c>
      <x:c r="B145" s="28" t="str">
        <x:v>персик</x:v>
      </x:c>
      <x:c r="C145" s="28" t="str">
        <x:v>Универсальные</x:v>
      </x:c>
      <x:c r="D145" s="28" t="str">
        <x:v>персик</x:v>
      </x:c>
      <x:c r="E145" s="28" t="str">
        <x:v>peach</x:v>
      </x:c>
      <x:c r="F145" s="28" t="str">
        <x:v>Косточковые фрукты</x:v>
      </x:c>
      <x:c r="G145" s="28" t="str">
        <x:v>листья кориандра</x:v>
      </x:c>
      <x:c r="H145" s="28" t="str">
        <x:v>Coriander leaves | coriander leaves</x:v>
      </x:c>
      <x:c r="I145" s="28" t="str">
        <x:v>Травы/пряности</x:v>
      </x:c>
      <x:c r="J145" s="28" t="str">
        <x:v>сливочный, персиковый, кокосово-лактонный, цветочный, зелёный</x:v>
      </x:c>
      <x:c r="K145" s="28" t="str">
        <x:v>цитрусовый, зелёный, цветочный</x:v>
      </x:c>
      <x:c r="L145" s="28" t="str">
        <x:v>γ- и δ-декалактон, γ- и δ-додекалактон, линалоол, бензальдегид, гексаналь, цис-3-гексенол</x:v>
      </x:c>
      <x:c r="M145" s="28" t="str">
        <x:v>линалол, деканаль, додеканаль</x:v>
      </x:c>
      <x:c r="N145" s="28" t="str">
        <x:v>цветочный, зелёный</x:v>
      </x:c>
      <x:c r="O145" s="28" t="str">
        <x:v>надёжный единичный общий маркер не подтверждён; механизм не сводится к одной молекуле</x:v>
      </x:c>
      <x:c r="P145" s="28" t="str">
        <x:v>комплементарность ароматических семейств, вкусовой контраст и матричный эффект</x:v>
      </x:c>
      <x:c r="Q145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травяной, слегка горький. Баланс корректируется сахаром, кислотой, солью и горечью.</x:v>
      </x:c>
      <x:c r="R145" s="28" t="str">
        <x:v>обычно слабый; кислота даёт свежесть; партнёр: нет выраженного</x:v>
      </x:c>
      <x:c r="S145" s="28" t="str">
        <x:v>сочная пектиновая мякоть; кожица несёт зелёные и цветочные ноты; лактоны хорошо удерживаются жиром и этанолом. Партнёр: листья чувствительны к нагреву; семена устойчивее и слаще.</x:v>
      </x:c>
      <x:c r="T14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U14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Листья кориандра относится к группе «Травы/пряности» и даёт профиль «цитрусовый, зелёный, цветочный»; типичные соединения или классы: линалол, деканаль, додеканаль.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травяной, слегка горький.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листья чувствительны к нагреву; семена устойчивее и слаще.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V14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45" s="28" t="str">
        <x:v>мёд, цитрус или нейтральная жировая основа</x:v>
      </x:c>
      <x:c r="X145" s="28" t="str">
        <x:v>напиток, соус, десерт или горячее блюдо после пробной дегустации</x:v>
      </x:c>
      <x:c r="Y145" s="28" t="str">
        <x:v>напитки; еда; десерты; соусы/маринады</x:v>
      </x:c>
      <x:c r="Z145" s="28" t="str">
        <x:v>Средняя</x:v>
      </x:c>
      <x:c r="AA145" s="28" t="str">
        <x:v>The Art &amp; Science of Foodpairing.pdf</x:v>
      </x:c>
      <x:c r="AB145" s="28" t="str">
        <x:v>The Art &amp; Science of Foodpairing.pdf: 98 | The Art &amp; Science of Foodpairing.pdf: 260–261</x:v>
      </x:c>
      <x:c r="AC145" s="28" t="str">
        <x:v>Ингредиент «peach» указан на странице профиля/сетки сочетаний «Coriander leaves». Ingredient pairings with peach and nectarine: coriander leaves.</x:v>
      </x:c>
      <x:c r="AD145" s="28" t="n">
        <x:v>1</x:v>
      </x:c>
      <x:c r="AE145" s="28" t="n">
        <x:v>2</x:v>
      </x:c>
      <x:c r="AF145" s="28" t="n">
        <x:f>IF(Z145="Высокая",3,IF(Z145="Средняя",2,1))+AD145*2+MIN(AE145,3)</x:f>
        <x:v>6</x:v>
      </x:c>
    </x:row>
    <x:row r="146" ht="62" customHeight="1">
      <x:c r="A146" s="28" t="str">
        <x:v>STN-0145</x:v>
      </x:c>
      <x:c r="B146" s="28" t="str">
        <x:v>персик</x:v>
      </x:c>
      <x:c r="C146" s="28" t="str">
        <x:v>Универсальные</x:v>
      </x:c>
      <x:c r="D146" s="28" t="str">
        <x:v>персик</x:v>
      </x:c>
      <x:c r="E146" s="28" t="str">
        <x:v>peach</x:v>
      </x:c>
      <x:c r="F146" s="28" t="str">
        <x:v>Косточковые фрукты</x:v>
      </x:c>
      <x:c r="G146" s="28" t="str">
        <x:v>листья пажитника</x:v>
      </x:c>
      <x:c r="H146" s="28" t="str">
        <x:v>fenugreek leaf</x:v>
      </x:c>
      <x:c r="I146" s="28" t="str">
        <x:v>Травы и цветы</x:v>
      </x:c>
      <x:c r="J146" s="28" t="str">
        <x:v>сливочный, персиковый, кокосово-лактонный, цветочный, зелёный</x:v>
      </x:c>
      <x:c r="K146" s="28" t="str">
        <x:v>зелёный, цветочный, травянистый и эфирно-масличный</x:v>
      </x:c>
      <x:c r="L146" s="28" t="str">
        <x:v>γ- и δ-декалактон, γ- и δ-додекалактон, линалоол, бензальдегид, гексаналь, цис-3-гексенол</x:v>
      </x:c>
      <x:c r="M146" s="28" t="str">
        <x:v>линалоол, гераниол, эвгенол, 1,8-цинеол</x:v>
      </x:c>
      <x:c r="N146" s="28" t="str">
        <x:v>цветочный, зелёный</x:v>
      </x:c>
      <x:c r="O146" s="28" t="str">
        <x:v>линалоол</x:v>
      </x:c>
      <x:c r="P146" s="28" t="str">
        <x:v>прямое или классовое перекрытие характерных одорантов + вкусовой баланс</x:v>
      </x:c>
      <x:c r="Q146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146" s="28" t="str">
        <x:v>обычно слабый; кислота даёт свежесть; партнёр: у мяты возможен холодящий эффект ментола; у некоторых трав — камфорность</x:v>
      </x:c>
      <x:c r="S146" s="28" t="str">
        <x:v>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</x:v>
      </x:c>
      <x:c r="T14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14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Листья пажитника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14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46" s="28" t="str">
        <x:v>мёд, цитрус или нейтральная жировая основа</x:v>
      </x:c>
      <x:c r="X146" s="28" t="str">
        <x:v>напиток, соус, десерт или горячее блюдо после пробной дегустации</x:v>
      </x:c>
      <x:c r="Y146" s="28" t="str">
        <x:v>напитки; еда; десерты; соусы/маринады</x:v>
      </x:c>
      <x:c r="Z146" s="28" t="str">
        <x:v>Средняя</x:v>
      </x:c>
      <x:c r="AA146" s="28" t="str">
        <x:v>The Art &amp; Science of Foodpairing.pdf</x:v>
      </x:c>
      <x:c r="AB146" s="28" t="str">
        <x:v>The Art &amp; Science of Foodpairing.pdf: 260–261</x:v>
      </x:c>
      <x:c r="AC146" s="28" t="str">
        <x:v>Ingredient pairings with peach and nectarine: fenugreek leaf.</x:v>
      </x:c>
      <x:c r="AD146" s="28" t="n">
        <x:v>1</x:v>
      </x:c>
      <x:c r="AE146" s="28" t="n">
        <x:v>1</x:v>
      </x:c>
      <x:c r="AF146" s="28" t="n">
        <x:f>IF(Z146="Высокая",3,IF(Z146="Средняя",2,1))+AD146*2+MIN(AE146,3)</x:f>
        <x:v>5</x:v>
      </x:c>
    </x:row>
    <x:row r="147" ht="62" customHeight="1">
      <x:c r="A147" s="28" t="str">
        <x:v>STN-0146</x:v>
      </x:c>
      <x:c r="B147" s="28" t="str">
        <x:v>персик</x:v>
      </x:c>
      <x:c r="C147" s="28" t="str">
        <x:v>Универсальные</x:v>
      </x:c>
      <x:c r="D147" s="28" t="str">
        <x:v>персик</x:v>
      </x:c>
      <x:c r="E147" s="28" t="str">
        <x:v>peach</x:v>
      </x:c>
      <x:c r="F147" s="28" t="str">
        <x:v>Косточковые фрукты</x:v>
      </x:c>
      <x:c r="G147" s="28" t="str">
        <x:v>личи</x:v>
      </x:c>
      <x:c r="H147" s="28" t="str">
        <x:v>lychee</x:v>
      </x:c>
      <x:c r="I147" s="28" t="str">
        <x:v>Тропические фрукты</x:v>
      </x:c>
      <x:c r="J147" s="28" t="str">
        <x:v>сливочный, персиковый, кокосово-лактонный, цветочный, зелёный</x:v>
      </x:c>
      <x:c r="K147" s="28" t="str">
        <x:v>розовый, цветочный, виноградный и цитрусовый</x:v>
      </x:c>
      <x:c r="L147" s="28" t="str">
        <x:v>γ- и δ-декалактон, γ- и δ-додекалактон, линалоол, бензальдегид, гексаналь, цис-3-гексенол</x:v>
      </x:c>
      <x:c r="M147" s="28" t="str">
        <x:v>цис- и транс-розовый оксид, линалоол, гераниол, цитронеллол</x:v>
      </x:c>
      <x:c r="N147" s="28" t="str">
        <x:v>цветочный</x:v>
      </x:c>
      <x:c r="O147" s="28" t="str">
        <x:v>линалоол</x:v>
      </x:c>
      <x:c r="P147" s="28" t="str">
        <x:v>прямое или классовое перекрытие характерных одорантов + вкусовой баланс</x:v>
      </x:c>
      <x:c r="Q147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чистая сладость, мягкая кислотность. Баланс корректируется сахаром, кислотой, солью и горечью.</x:v>
      </x:c>
      <x:c r="R147" s="28" t="str">
        <x:v>обычно слабый; кислота даёт свежесть; партнёр: кислотное покалывание зависит от плода; специальные эффекты указаны в паспорте</x:v>
      </x:c>
      <x:c r="S147" s="28" t="str">
        <x:v>сочная пектиновая мякоть; кожица несёт зелёные и цветочные ноты; лактоны хорошо удерживаются жиром и этанолом. Партнёр: водная; цветочные терпены чувствительны к нагреву.</x:v>
      </x:c>
      <x:c r="T14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U14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Личи относится к группе «Тропические фрукты» и даёт профиль «розовый, цветочный, виноградный и цитрусовый»; типичные соединения или классы: цис- и транс-розовый оксид, линалоол, гераниол, цитронеллол. В рабочих профилях пересекаются: линалоол.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чистая сладость, мягкая кислотность.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водная; цветочные терпены чувствительны к нагреву.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V14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47" s="28" t="str">
        <x:v>мёд, цитрус или нейтральная жировая основа</x:v>
      </x:c>
      <x:c r="X147" s="28" t="str">
        <x:v>напиток, соус, десерт или горячее блюдо после пробной дегустации</x:v>
      </x:c>
      <x:c r="Y147" s="28" t="str">
        <x:v>напитки; еда; десерты; соусы/маринады</x:v>
      </x:c>
      <x:c r="Z147" s="28" t="str">
        <x:v>Средняя</x:v>
      </x:c>
      <x:c r="AA147" s="28" t="str">
        <x:v>The Art &amp; Science of Foodpairing.pdf</x:v>
      </x:c>
      <x:c r="AB147" s="28" t="str">
        <x:v>The Art &amp; Science of Foodpairing.pdf: 260–261</x:v>
      </x:c>
      <x:c r="AC147" s="28" t="str">
        <x:v>Ingredient pairings with peach and nectarine: lychee.</x:v>
      </x:c>
      <x:c r="AD147" s="28" t="n">
        <x:v>1</x:v>
      </x:c>
      <x:c r="AE147" s="28" t="n">
        <x:v>1</x:v>
      </x:c>
      <x:c r="AF147" s="28" t="n">
        <x:f>IF(Z147="Высокая",3,IF(Z147="Средняя",2,1))+AD147*2+MIN(AE147,3)</x:f>
        <x:v>5</x:v>
      </x:c>
    </x:row>
    <x:row r="148" ht="62" customHeight="1">
      <x:c r="A148" s="28" t="str">
        <x:v>STN-0147</x:v>
      </x:c>
      <x:c r="B148" s="28" t="str">
        <x:v>персик</x:v>
      </x:c>
      <x:c r="C148" s="28" t="str">
        <x:v>Десерты и выпечка</x:v>
      </x:c>
      <x:c r="D148" s="28" t="str">
        <x:v>персик</x:v>
      </x:c>
      <x:c r="E148" s="28" t="str">
        <x:v>peach</x:v>
      </x:c>
      <x:c r="F148" s="28" t="str">
        <x:v>Косточковые фрукты</x:v>
      </x:c>
      <x:c r="G148" s="28" t="str">
        <x:v>макадамия</x:v>
      </x:c>
      <x:c r="H148" s="28" t="str">
        <x:v>Макадамия</x:v>
      </x:c>
      <x:c r="I148" s="28" t="str">
        <x:v>Орехи и семена</x:v>
      </x:c>
      <x:c r="J148" s="28" t="str">
        <x:v>сливочный, персиковый, кокосово-лактонный, цветочный, зелёный</x:v>
      </x:c>
      <x:c r="K148" s="28" t="str">
        <x:v>ореховый, жареный, маслянистый и иногда миндальный</x:v>
      </x:c>
      <x:c r="L148" s="28" t="str">
        <x:v>γ- и δ-декалактон, γ- и δ-додекалактон, линалоол, бензальдегид, гексаналь, цис-3-гексенол</x:v>
      </x:c>
      <x:c r="M148" s="28" t="str">
        <x:v>пиразины, бензальдегид, филбертон, жирные альдегиды</x:v>
      </x:c>
      <x:c r="N148" s="28" t="str">
        <x:v>прямое семейное перекрытие не является главным механизмом</x:v>
      </x:c>
      <x:c r="O148" s="28" t="str">
        <x:v>бензальдегид</x:v>
      </x:c>
      <x:c r="P148" s="28" t="str">
        <x:v>прямое или классовое перекрытие характерных одорантов + вкусовой баланс</x:v>
      </x:c>
      <x:c r="Q148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148" s="28" t="str">
        <x:v>обычно слабый; кислота даёт свежесть; партнёр: обычно отсутствует</x:v>
      </x:c>
      <x:c r="S148" s="28" t="str">
        <x:v>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</x:v>
      </x:c>
      <x:c r="T14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14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Макадамия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148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W148" s="28" t="str">
        <x:v>ваниль, шоколад или корица</x:v>
      </x:c>
      <x:c r="X148" s="28" t="str">
        <x:v>тарт, крем, мороженое, выпечка, сырная подача или начинка</x:v>
      </x:c>
      <x:c r="Y148" s="28" t="str">
        <x:v>десерты; еда</x:v>
      </x:c>
      <x:c r="Z148" s="28" t="str">
        <x:v>Гипотеза / практическая</x:v>
      </x:c>
      <x:c r="AA148" s="28" t="str">
        <x:v>Таблица сочетания(1).pdf</x:v>
      </x:c>
      <x:c r="AB148" s="28" t="str">
        <x:v>Таблица сочетания(1).pdf: 12</x:v>
      </x:c>
      <x:c r="AC148" s="28" t="str">
        <x:v>Пара указана в строке «Макадамия»: «персик» находится в колонке «Фрукты».</x:v>
      </x:c>
      <x:c r="AD148" s="28" t="n">
        <x:v>1</x:v>
      </x:c>
      <x:c r="AE148" s="28" t="n">
        <x:v>1</x:v>
      </x:c>
      <x:c r="AF148" s="28" t="n">
        <x:f>IF(Z148="Высокая",3,IF(Z148="Средняя",2,1))+AD148*2+MIN(AE148,3)</x:f>
        <x:v>4</x:v>
      </x:c>
    </x:row>
    <x:row r="149" ht="62" customHeight="1">
      <x:c r="A149" s="28" t="str">
        <x:v>STN-0148</x:v>
      </x:c>
      <x:c r="B149" s="28" t="str">
        <x:v>персик</x:v>
      </x:c>
      <x:c r="C149" s="28" t="str">
        <x:v>Десерты и выпечка</x:v>
      </x:c>
      <x:c r="D149" s="28" t="str">
        <x:v>персик</x:v>
      </x:c>
      <x:c r="E149" s="28" t="str">
        <x:v>peach</x:v>
      </x:c>
      <x:c r="F149" s="28" t="str">
        <x:v>Косточковые фрукты</x:v>
      </x:c>
      <x:c r="G149" s="28" t="str">
        <x:v>малина</x:v>
      </x:c>
      <x:c r="H149" s="28" t="str">
        <x:v>raspberry | Малина | малина | Raspberry</x:v>
      </x:c>
      <x:c r="I149" s="28" t="str">
        <x:v>Ягоды</x:v>
      </x:c>
      <x:c r="J149" s="28" t="str">
        <x:v>сливочный, персиковый, кокосово-лактонный, цветочный, зелёный</x:v>
      </x:c>
      <x:c r="K149" s="28" t="str">
        <x:v>красно-фруктовый, цветочный, зелёный и иногда сернистый</x:v>
      </x:c>
      <x:c r="L149" s="28" t="str">
        <x:v>γ- и δ-декалактон, γ- и δ-додекалактон, линалоол, бензальдегид, гексаналь, цис-3-гексенол</x:v>
      </x:c>
      <x:c r="M149" s="28" t="str">
        <x:v>фуранеол, эфиры, иононы, зелёные альдегиды</x:v>
      </x:c>
      <x:c r="N149" s="28" t="str">
        <x:v>цветочный, зелёный</x:v>
      </x:c>
      <x:c r="O149" s="28" t="str">
        <x:v>надёжный единичный общий маркер не подтверждён; механизм не сводится к одной молекуле</x:v>
      </x:c>
      <x:c r="P149" s="28" t="str">
        <x:v>комплементарность ароматических семейств, вкусовой контраст и матричный эффект</x:v>
      </x:c>
      <x:c r="Q149" s="28" t="str">
        <x:v>Близкие фруктовые эфиры создают непрерывность, а различия в кислотности, терпкости и сладости формируют контраст.</x:v>
      </x:c>
      <x:c r="R149" s="28" t="str">
        <x:v>обычно слабый; кислота даёт свежесть; партнёр: обычно слабый; кислота усиливает свежесть</x:v>
      </x:c>
      <x:c r="S149" s="28" t="str">
        <x:v>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</x:v>
      </x:c>
      <x:c r="T14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14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14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49" s="28" t="str">
        <x:v>ваниль, мята или миндаль</x:v>
      </x:c>
      <x:c r="X149" s="28" t="str">
        <x:v>сорбет, салат, джем, кордиал, лимонад, коктейль или фруктовый соус</x:v>
      </x:c>
      <x:c r="Y149" s="28" t="str">
        <x:v>напитки; десерты; соусы/маринады</x:v>
      </x:c>
      <x:c r="Z149" s="28" t="str">
        <x:v>Высокая</x:v>
      </x:c>
      <x:c r="AA149" s="28" t="str">
        <x:v>The Art &amp; Science of Foodpairing.pdf | Таблица сочетания(1).pdf | Тезариус вкусов (Ники Сегнит)(1).pdf</x:v>
      </x:c>
      <x:c r="AB149" s="28" t="str">
        <x:v>The Art &amp; Science of Foodpairing.pdf: Тезариус вкусов: 751, 889; The Art &amp; Science of Foodpairing: 261; Таблица сочетаний: 19 | Таблица сочетания(1).pdf: 19 | Тезариус вкусов (Ники Сегнит)(1).pdf: 751 | Тезариус вкусов (Ники Сегнит)(1).pdf: 889 | The Art &amp; Science of Foodpairing.pdf: 338 | The Art &amp; Science of Foodpairing.pdf: 260–261</x:v>
      </x:c>
      <x:c r="AC149" s="28" t="str">
        <x:v>Персик и малина. См. Малина и персик | Малина и персик. Великий французский шеф-по- вар Огюст Эскофье (Auguste Escoffier) создал десерт «Персик Мельба» для кавалерственной дамы Нелли Мельба, австралийской оперной певицы. По-видимо- му, эта идея пришла к нему в голову, когда он запи- сывал рецепт pêches cardinal au coulis de framboise, который заказала ему великая дива. «Персик Мель- ба» представляет собой практически то же самое, что и данный десерт, то есть персики с малиновым сиро- пом, посыпанные свежим миндалем (если у него се- зон), но с добавлением ванильного мороженого. См. также Персик и ваниль | Малина: персик | Ingredient pairings with Peach: raspberry Пара указана в строке «Малина»: «персик» находится в колонке «Фрукты». Персик и малина. См. Малина и персик</x:v>
      </x:c>
      <x:c r="AD149" s="28" t="n">
        <x:v>3</x:v>
      </x:c>
      <x:c r="AE149" s="28" t="n">
        <x:v>6</x:v>
      </x:c>
      <x:c r="AF149" s="28" t="n">
        <x:f>IF(Z149="Высокая",3,IF(Z149="Средняя",2,1))+AD149*2+MIN(AE149,3)</x:f>
        <x:v>12</x:v>
      </x:c>
    </x:row>
    <x:row r="150" ht="62" customHeight="1">
      <x:c r="A150" s="28" t="str">
        <x:v>STN-0149</x:v>
      </x:c>
      <x:c r="B150" s="28" t="str">
        <x:v>персик</x:v>
      </x:c>
      <x:c r="C150" s="28" t="str">
        <x:v>Универсальные</x:v>
      </x:c>
      <x:c r="D150" s="28" t="str">
        <x:v>персик</x:v>
      </x:c>
      <x:c r="E150" s="28" t="str">
        <x:v>peach</x:v>
      </x:c>
      <x:c r="F150" s="28" t="str">
        <x:v>Косточковые фрукты</x:v>
      </x:c>
      <x:c r="G150" s="28" t="str">
        <x:v>манго</x:v>
      </x:c>
      <x:c r="H150" s="28" t="str">
        <x:v>Манго | манго</x:v>
      </x:c>
      <x:c r="I150" s="28" t="str">
        <x:v>Тропические фрукты</x:v>
      </x:c>
      <x:c r="J150" s="28" t="str">
        <x:v>сливочный, персиковый, кокосово-лактонный, цветочный, зелёный</x:v>
      </x:c>
      <x:c r="K150" s="28" t="str">
        <x:v>тропический, смолистый, цитрусовый, цветочный, сливочный; сильно зависит от сорта</x:v>
      </x:c>
      <x:c r="L150" s="28" t="str">
        <x:v>γ- и δ-декалактон, γ- и δ-додекалактон, линалоол, бензальдегид, гексаналь, цис-3-гексенол</x:v>
      </x:c>
      <x:c r="M150" s="28" t="str">
        <x:v>δ-3-карен, лимонен, мирцен, линалоол, γ- и δ-лактоны, фруктовые эфиры</x:v>
      </x:c>
      <x:c r="N150" s="28" t="str">
        <x:v>цветочный, сливочный</x:v>
      </x:c>
      <x:c r="O150" s="28" t="str">
        <x:v>линалоол</x:v>
      </x:c>
      <x:c r="P150" s="28" t="str">
        <x:v>прямое или классовое перекрытие характерных одорантов + вкусовой баланс</x:v>
      </x:c>
      <x:c r="Q150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умеренная кислотность, иногда смолистая горечь кожицы. Баланс корректируется сахаром, кислотой, солью и горечью.</x:v>
      </x:c>
      <x:c r="R150" s="28" t="str">
        <x:v>обычно слабый; кислота даёт свежесть; партнёр: кислотное покалывание зависит от плода; специальные эффекты указаны в паспорте</x:v>
      </x:c>
      <x:c r="S150" s="28" t="str">
        <x:v>сочная пектиновая мякоть; кожица несёт зелёные и цветочные ноты; лактоны хорошо удерживаются жиром и этанолом. Партнёр: мякоть вязкая и богатая каротиноидами; ароматические терпены и лактоны хорошо переходят в жир и этанол.</x:v>
      </x:c>
      <x:c r="T15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U15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Манго относится к группе «Тропические фрукты» и даёт профиль «тропический, смолистый, цитрусовый, цветочный, сливочный; сильно зависит от сорта»; типичные соединения или классы: δ-3-карен, лимонен, мирцен, линалоол, γ- и δ-лактоны, фруктовые эфиры. В рабочих профилях пересекаются: линалоол. Общие ароматические направления: цветочный, сливочный.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умеренная кислотность, иногда смолистая горечь кожицы.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мякоть вязкая и богатая каротиноидами; ароматические терпены и лактоны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V15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50" s="28" t="str">
        <x:v>мёд, цитрус или нейтральная жировая основа</x:v>
      </x:c>
      <x:c r="X150" s="28" t="str">
        <x:v>напиток, соус, десерт или горячее блюдо после пробной дегустации</x:v>
      </x:c>
      <x:c r="Y150" s="28" t="str">
        <x:v>напитки; еда; десерты; соусы/маринады</x:v>
      </x:c>
      <x:c r="Z150" s="28" t="str">
        <x:v>Средняя</x:v>
      </x:c>
      <x:c r="AA150" s="28" t="str">
        <x:v>Тезариус вкусов (Ники Сегнит)(1).pdf</x:v>
      </x:c>
      <x:c r="AB150" s="28" t="str">
        <x:v>Тезариус вкусов (Ники Сегнит)(1).pdf: Тезаурус вкусов: 767, 751 | Тезариус вкусов (Ники Сегнит)(1).pdf: 751 | Тезариус вкусов (Ники Сегнит)(1).pdf: 767</x:v>
      </x:c>
      <x:c r="AC150" s="28" t="str">
        <x:v>Тезаурус вкусов: Персик и манго. См. || Тезаурус вкусов: Манго и персик. Оба фигурируют в качестве вкусо- вых дескрипторов шардоне – по крайней мере, в Персик и манго. См. Манго и персик Манго и персик. Оба фигурируют в качестве вкусо-</x:v>
      </x:c>
      <x:c r="AD150" s="28" t="n">
        <x:v>1</x:v>
      </x:c>
      <x:c r="AE150" s="28" t="n">
        <x:v>3</x:v>
      </x:c>
      <x:c r="AF150" s="28" t="n">
        <x:f>IF(Z150="Высокая",3,IF(Z150="Средняя",2,1))+AD150*2+MIN(AE150,3)</x:f>
        <x:v>7</x:v>
      </x:c>
    </x:row>
    <x:row r="151" ht="62" customHeight="1">
      <x:c r="A151" s="28" t="str">
        <x:v>STN-0150</x:v>
      </x:c>
      <x:c r="B151" s="28" t="str">
        <x:v>персик</x:v>
      </x:c>
      <x:c r="C151" s="28" t="str">
        <x:v>Десерты и выпечка</x:v>
      </x:c>
      <x:c r="D151" s="28" t="str">
        <x:v>персик</x:v>
      </x:c>
      <x:c r="E151" s="28" t="str">
        <x:v>peach</x:v>
      </x:c>
      <x:c r="F151" s="28" t="str">
        <x:v>Косточковые фрукты</x:v>
      </x:c>
      <x:c r="G151" s="28" t="str">
        <x:v>мандарин</x:v>
      </x:c>
      <x:c r="H151" s="28" t="str">
        <x:v>mandarin</x:v>
      </x:c>
      <x:c r="I151" s="28" t="str">
        <x:v>Цитрусовые</x:v>
      </x:c>
      <x:c r="J151" s="28" t="str">
        <x:v>сливочный, персиковый, кокосово-лактонный, цветочный, зелёный</x:v>
      </x:c>
      <x:c r="K151" s="28" t="str">
        <x:v>цитрусовый, свежий, зелёный и цветочный</x:v>
      </x:c>
      <x:c r="L151" s="28" t="str">
        <x:v>γ- и δ-декалактон, γ- и δ-додекалактон, линалоол, бензальдегид, гексаналь, цис-3-гексенол</x:v>
      </x:c>
      <x:c r="M151" s="28" t="str">
        <x:v>лимонен, цитраль, линалоол, γ-терпинен</x:v>
      </x:c>
      <x:c r="N151" s="28" t="str">
        <x:v>цветочный, зелёный</x:v>
      </x:c>
      <x:c r="O151" s="28" t="str">
        <x:v>линалоол</x:v>
      </x:c>
      <x:c r="P151" s="28" t="str">
        <x:v>прямое или классовое перекрытие характерных одорантов + вкусовой баланс</x:v>
      </x:c>
      <x:c r="Q151" s="28" t="str">
        <x:v>Близкие фруктовые эфиры создают непрерывность, а различия в кислотности, терпкости и сладости формируют контраст.</x:v>
      </x:c>
      <x:c r="R151" s="28" t="str">
        <x:v>обычно слабый; кислота даёт свежесть; партнёр: кислота даёт покалывание и ощущение свежести</x:v>
      </x:c>
      <x:c r="S151" s="28" t="str">
        <x:v>сочная пектиновая мякоть; кожица несёт зелёные и цветочные ноты; лактоны хорошо удерживаются жиром и этанолом. Партнёр: сок водный и кислый, цедра содержит гидрофобные эфирные масла.</x:v>
      </x:c>
      <x:c r="T15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15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Мандарин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 и кислый, цедра содержит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15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51" s="28" t="str">
        <x:v>ваниль, мёд или розмарин</x:v>
      </x:c>
      <x:c r="X151" s="28" t="str">
        <x:v>сорбет, салат, джем, кордиал, лимонад, коктейль или фруктовый соус</x:v>
      </x:c>
      <x:c r="Y151" s="28" t="str">
        <x:v>напитки; десерты; соусы/маринады</x:v>
      </x:c>
      <x:c r="Z151" s="28" t="str">
        <x:v>Средняя</x:v>
      </x:c>
      <x:c r="AA151" s="28" t="str">
        <x:v>The Art &amp; Science of Foodpairing.pdf</x:v>
      </x:c>
      <x:c r="AB151" s="28" t="str">
        <x:v>The Art &amp; Science of Foodpairing.pdf: 260–261</x:v>
      </x:c>
      <x:c r="AC151" s="28" t="str">
        <x:v>Ingredient pairings with peach and nectarine: mandarin.</x:v>
      </x:c>
      <x:c r="AD151" s="28" t="n">
        <x:v>1</x:v>
      </x:c>
      <x:c r="AE151" s="28" t="n">
        <x:v>1</x:v>
      </x:c>
      <x:c r="AF151" s="28" t="n">
        <x:f>IF(Z151="Высокая",3,IF(Z151="Средняя",2,1))+AD151*2+MIN(AE151,3)</x:f>
        <x:v>5</x:v>
      </x:c>
    </x:row>
    <x:row r="152" ht="62" customHeight="1">
      <x:c r="A152" s="28" t="str">
        <x:v>STN-0151</x:v>
      </x:c>
      <x:c r="B152" s="28" t="str">
        <x:v>персик</x:v>
      </x:c>
      <x:c r="C152" s="28" t="str">
        <x:v>Универсальные</x:v>
      </x:c>
      <x:c r="D152" s="28" t="str">
        <x:v>персик</x:v>
      </x:c>
      <x:c r="E152" s="28" t="str">
        <x:v>peach</x:v>
      </x:c>
      <x:c r="F152" s="28" t="str">
        <x:v>Косточковые фрукты</x:v>
      </x:c>
      <x:c r="G152" s="28" t="str">
        <x:v>мед</x:v>
      </x:c>
      <x:c r="H152" s="28" t="str">
        <x:v>Мёд | мёд</x:v>
      </x:c>
      <x:c r="I152" s="28" t="str">
        <x:v>Сахара, мёд и кондитерские основы</x:v>
      </x:c>
      <x:c r="J152" s="28" t="str">
        <x:v>сливочный, персиковый, кокосово-лактонный, цветочный, зелёный</x:v>
      </x:c>
      <x:c r="K152" s="28" t="str">
        <x:v>цветочный, восковой и карамельный</x:v>
      </x:c>
      <x:c r="L152" s="28" t="str">
        <x:v>γ- и δ-декалактон, γ- и δ-додекалактон, линалоол, бензальдегид, гексаналь, цис-3-гексенол</x:v>
      </x:c>
      <x:c r="M152" s="28" t="str">
        <x:v>фенилуксусная кислота, фураны, терпены, зависящие от ботанического происхождения</x:v>
      </x:c>
      <x:c r="N152" s="28" t="str">
        <x:v>цветочный</x:v>
      </x:c>
      <x:c r="O152" s="28" t="str">
        <x:v>надёжный единичный общий маркер не подтверждён; механизм не сводится к одной молекуле</x:v>
      </x:c>
      <x:c r="P152" s="28" t="str">
        <x:v>комплементарность ароматических семейств, вкусовой контраст и матричный эффект</x:v>
      </x:c>
      <x:c r="Q152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</x:v>
      </x:c>
      <x:c r="R152" s="28" t="str">
        <x:v>обычно слабый; кислота даёт свежесть; партнёр: отсутствует</x:v>
      </x:c>
      <x:c r="S152" s="28" t="str">
        <x:v>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</x:v>
      </x:c>
      <x:c r="T15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U15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V15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52" s="28" t="str">
        <x:v>мёд, цитрус или нейтральная жировая основа</x:v>
      </x:c>
      <x:c r="X152" s="28" t="str">
        <x:v>напиток, соус, десерт или горячее блюдо после пробной дегустации</x:v>
      </x:c>
      <x:c r="Y152" s="28" t="str">
        <x:v>напитки; еда; десерты; соусы/маринады</x:v>
      </x:c>
      <x:c r="Z152" s="28" t="str">
        <x:v>Гипотеза / практическая</x:v>
      </x:c>
      <x:c r="AA152" s="28" t="str">
        <x:v>Таблица сочетания(1).pdf</x:v>
      </x:c>
      <x:c r="AB152" s="28" t="str">
        <x:v>Таблица сочетания(1).pdf: 9 | Таблица сочетания(1).pdf: 15</x:v>
      </x:c>
      <x:c r="AC152" s="28" t="str">
        <x:v>Пара указана в строке «Мёд»: «персик» находится в колонке «Фрукты». Пара указана в строке «Персик» → колонка «Другое».</x:v>
      </x:c>
      <x:c r="AD152" s="28" t="n">
        <x:v>1</x:v>
      </x:c>
      <x:c r="AE152" s="28" t="n">
        <x:v>2</x:v>
      </x:c>
      <x:c r="AF152" s="28" t="n">
        <x:f>IF(Z152="Высокая",3,IF(Z152="Средняя",2,1))+AD152*2+MIN(AE152,3)</x:f>
        <x:v>5</x:v>
      </x:c>
    </x:row>
    <x:row r="153" ht="62" customHeight="1">
      <x:c r="A153" s="28" t="str">
        <x:v>STN-0152</x:v>
      </x:c>
      <x:c r="B153" s="28" t="str">
        <x:v>персик</x:v>
      </x:c>
      <x:c r="C153" s="28" t="str">
        <x:v>Десерты и выпечка</x:v>
      </x:c>
      <x:c r="D153" s="28" t="str">
        <x:v>персик</x:v>
      </x:c>
      <x:c r="E153" s="28" t="str">
        <x:v>peach</x:v>
      </x:c>
      <x:c r="F153" s="28" t="str">
        <x:v>Косточковые фрукты</x:v>
      </x:c>
      <x:c r="G153" s="28" t="str">
        <x:v>миндаль</x:v>
      </x:c>
      <x:c r="H153" s="28" t="str">
        <x:v>Миндаль | миндаль | almond</x:v>
      </x:c>
      <x:c r="I153" s="28" t="str">
        <x:v>Орехи и семена</x:v>
      </x:c>
      <x:c r="J153" s="28" t="str">
        <x:v>сливочный, персиковый, кокосово-лактонный, цветочный, зелёный</x:v>
      </x:c>
      <x:c r="K153" s="28" t="str">
        <x:v>марципановый и ореховый</x:v>
      </x:c>
      <x:c r="L153" s="28" t="str">
        <x:v>γ- и δ-декалактон, γ- и δ-додекалактон, линалоол, бензальдегид, гексаналь, цис-3-гексенол</x:v>
      </x:c>
      <x:c r="M153" s="28" t="str">
        <x:v>бензальдегид, пиразины после обжарки</x:v>
      </x:c>
      <x:c r="N153" s="28" t="str">
        <x:v>прямое семейное перекрытие не является главным механизмом</x:v>
      </x:c>
      <x:c r="O153" s="28" t="str">
        <x:v>бензальдегид</x:v>
      </x:c>
      <x:c r="P153" s="28" t="str">
        <x:v>прямое или классовое перекрытие характерных одорантов + вкусовой баланс</x:v>
      </x:c>
      <x:c r="Q153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153" s="28" t="str">
        <x:v>обычно слабый; кислота даёт свежесть; партнёр: обычно отсутствует</x:v>
      </x:c>
      <x:c r="S153" s="28" t="str">
        <x:v>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</x:v>
      </x:c>
      <x:c r="T15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15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Миндаль относится к группе «Орехи и семена» и даёт профиль «марципановый и ореховый»; типичные соединения или классы: бензальдегид, пиразины после обжарки.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153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W153" s="28" t="str">
        <x:v>ваниль, шоколад или корица</x:v>
      </x:c>
      <x:c r="X153" s="28" t="str">
        <x:v>тарт, крем, мороженое, выпечка, сырная подача или начинка</x:v>
      </x:c>
      <x:c r="Y153" s="28" t="str">
        <x:v>десерты; еда</x:v>
      </x:c>
      <x:c r="Z153" s="28" t="str">
        <x:v>Высокая</x:v>
      </x:c>
      <x:c r="AA153" s="28" t="str">
        <x:v>The Art &amp; Science of Foodpairing.pdf | Таблица сочетания(1).pdf | Тезариус вкусов (Ники Сегнит)(1).pdf</x:v>
      </x:c>
      <x:c r="AB153" s="28" t="str">
        <x:v>Таблица сочетания(1).pdf: 1 | Таблица сочетания(1).pdf: 15 | Тезариус вкусов (Ники Сегнит)(1).pdf: 646 | Тезариус вкусов (Ники Сегнит)(1).pdf: 751 | The Art &amp; Science of Foodpairing.pdf: 260–261</x:v>
      </x:c>
      <x:c r="AC153" s="28" t="str">
        <x:v>Пара указана в строке «Миндаль»: «персик» находится в колонке «Фрукты». Пара указана в строке «Персик» → колонка «Другое». Миндаль и персик. В этом классическом итальян-</x:v>
      </x:c>
      <x:c r="AD153" s="28" t="n">
        <x:v>3</x:v>
      </x:c>
      <x:c r="AE153" s="28" t="n">
        <x:v>5</x:v>
      </x:c>
      <x:c r="AF153" s="28" t="n">
        <x:f>IF(Z153="Высокая",3,IF(Z153="Средняя",2,1))+AD153*2+MIN(AE153,3)</x:f>
        <x:v>12</x:v>
      </x:c>
    </x:row>
    <x:row r="154" ht="62" customHeight="1">
      <x:c r="A154" s="28" t="str">
        <x:v>STN-0153</x:v>
      </x:c>
      <x:c r="B154" s="28" t="str">
        <x:v>персик</x:v>
      </x:c>
      <x:c r="C154" s="28" t="str">
        <x:v>Десерты и выпечка</x:v>
      </x:c>
      <x:c r="D154" s="28" t="str">
        <x:v>персик</x:v>
      </x:c>
      <x:c r="E154" s="28" t="str">
        <x:v>peach</x:v>
      </x:c>
      <x:c r="F154" s="28" t="str">
        <x:v>Косточковые фрукты</x:v>
      </x:c>
      <x:c r="G154" s="28" t="str">
        <x:v>момбин желтый</x:v>
      </x:c>
      <x:c r="H154" s="28" t="str">
        <x:v>hog plum</x:v>
      </x:c>
      <x:c r="I154" s="28" t="str">
        <x:v>Фрукты</x:v>
      </x:c>
      <x:c r="J154" s="28" t="str">
        <x:v>сливочный, персиковый, кокосово-лактонный, цветочный, зелёный</x:v>
      </x:c>
      <x:c r="K154" s="28" t="str">
        <x:v>фруктовый, цветочный, зелёный или тропический</x:v>
      </x:c>
      <x:c r="L154" s="28" t="str">
        <x:v>γ- и δ-декалактон, γ- и δ-додекалактон, линалоол, бензальдегид, гексаналь, цис-3-гексенол</x:v>
      </x:c>
      <x:c r="M154" s="28" t="str">
        <x:v>фруктовые эфиры, терпены, альдегиды и лактоны</x:v>
      </x:c>
      <x:c r="N154" s="28" t="str">
        <x:v>цветочный, зелёный</x:v>
      </x:c>
      <x:c r="O154" s="28" t="str">
        <x:v>надёжный единичный общий маркер не подтверждён; механизм не сводится к одной молекуле</x:v>
      </x:c>
      <x:c r="P154" s="28" t="str">
        <x:v>комплементарность ароматических семейств, вкусовой контраст и матричный эффект</x:v>
      </x:c>
      <x:c r="Q154" s="28" t="str">
        <x:v>Близкие фруктовые эфиры создают непрерывность, а различия в кислотности, терпкости и сладости формируют контраст.</x:v>
      </x:c>
      <x:c r="R154" s="28" t="str">
        <x:v>обычно слабый; кислота даёт свежесть; партнёр: обычно слабый</x:v>
      </x:c>
      <x:c r="S154" s="28" t="str">
        <x:v>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</x:v>
      </x:c>
      <x:c r="T15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5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Момбин желтый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5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54" s="28" t="str">
        <x:v>цитрус, мята или ваниль</x:v>
      </x:c>
      <x:c r="X154" s="28" t="str">
        <x:v>сорбет, салат, джем, кордиал, лимонад, коктейль или фруктовый соус</x:v>
      </x:c>
      <x:c r="Y154" s="28" t="str">
        <x:v>напитки; десерты; соусы/маринады</x:v>
      </x:c>
      <x:c r="Z154" s="28" t="str">
        <x:v>Средняя</x:v>
      </x:c>
      <x:c r="AA154" s="28" t="str">
        <x:v>The Art &amp; Science of Foodpairing.pdf</x:v>
      </x:c>
      <x:c r="AB154" s="28" t="str">
        <x:v>The Art &amp; Science of Foodpairing.pdf: 260–261</x:v>
      </x:c>
      <x:c r="AC154" s="28" t="str">
        <x:v>Ingredient pairings with peach and nectarine: hog plum.</x:v>
      </x:c>
      <x:c r="AD154" s="28" t="n">
        <x:v>1</x:v>
      </x:c>
      <x:c r="AE154" s="28" t="n">
        <x:v>1</x:v>
      </x:c>
      <x:c r="AF154" s="28" t="n">
        <x:f>IF(Z154="Высокая",3,IF(Z154="Средняя",2,1))+AD154*2+MIN(AE154,3)</x:f>
        <x:v>5</x:v>
      </x:c>
    </x:row>
    <x:row r="155" ht="62" customHeight="1">
      <x:c r="A155" s="28" t="str">
        <x:v>STN-0154</x:v>
      </x:c>
      <x:c r="B155" s="28" t="str">
        <x:v>персик</x:v>
      </x:c>
      <x:c r="C155" s="28" t="str">
        <x:v>Десерты и выпечка</x:v>
      </x:c>
      <x:c r="D155" s="28" t="str">
        <x:v>персик</x:v>
      </x:c>
      <x:c r="E155" s="28" t="str">
        <x:v>peach</x:v>
      </x:c>
      <x:c r="F155" s="28" t="str">
        <x:v>Косточковые фрукты</x:v>
      </x:c>
      <x:c r="G155" s="28" t="str">
        <x:v>моцарелла из коровьего молока</x:v>
      </x:c>
      <x:c r="H155" s="28" t="str">
        <x:v>cow's milk mozzarella</x:v>
      </x:c>
      <x:c r="I155" s="28" t="str">
        <x:v>Сыры и молочные продукты</x:v>
      </x:c>
      <x:c r="J155" s="28" t="str">
        <x:v>сливочный, персиковый, кокосово-лактонный, цветочный, зелёный</x:v>
      </x:c>
      <x:c r="K155" s="28" t="str">
        <x:v>сливочный, молочный, ферментированный, иногда ореховый или пикантный</x:v>
      </x:c>
      <x:c r="L155" s="28" t="str">
        <x:v>γ- и δ-декалактон, γ- и δ-додекалактон, линалоол, бензальдегид, гексаналь, цис-3-гексенол</x:v>
      </x:c>
      <x:c r="M155" s="28" t="str">
        <x:v>лактоны, диацетил, жирные кислоты, сернистые и аминокислотные продукты ферментации</x:v>
      </x:c>
      <x:c r="N155" s="28" t="str">
        <x:v>сливочный</x:v>
      </x:c>
      <x:c r="O155" s="28" t="str">
        <x:v>надёжный единичный общий маркер не подтверждён; механизм не сводится к одной молекуле</x:v>
      </x:c>
      <x:c r="P155" s="28" t="str">
        <x:v>комплементарность ароматических семейств, вкусовой контраст и матричный эффект</x:v>
      </x:c>
      <x:c r="Q155" s="28" t="str">
        <x:v>Фруктовая кислота и сладость освежают жирную молочную матрицу; соль и умами сыра усиливают воспринимаемую фруктовость.</x:v>
      </x:c>
      <x:c r="R155" s="28" t="str">
        <x:v>обычно слабый; кислота даёт свежесть; партнёр: нет выраженного</x:v>
      </x:c>
      <x:c r="S155" s="28" t="str">
        <x:v>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</x:v>
      </x:c>
      <x:c r="T155" s="28" t="str">
        <x:v>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U15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Моцарелла из коровьего молока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Общие ароматические направления: сливочный.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 Обработка: 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V155" s="28" t="str">
        <x:v>незрелый плод ароматически беден; перезрелый быстро окисляется; косточки не использовать без безопасной технологии. Избыток кислоты может свернуть молочную основу; фрукт и сыр проверяют при рабочей температуре.</x:v>
      </x:c>
      <x:c r="W155" s="28" t="str">
        <x:v>миндаль, ваниль или мёд</x:v>
      </x:c>
      <x:c r="X155" s="28" t="str">
        <x:v>тарт, крем, мороженое, выпечка, сырная подача или начинка</x:v>
      </x:c>
      <x:c r="Y155" s="28" t="str">
        <x:v>десерты; еда</x:v>
      </x:c>
      <x:c r="Z155" s="28" t="str">
        <x:v>Средняя</x:v>
      </x:c>
      <x:c r="AA155" s="28" t="str">
        <x:v>The Art &amp; Science of Foodpairing.pdf</x:v>
      </x:c>
      <x:c r="AB155" s="28" t="str">
        <x:v>The Art &amp; Science of Foodpairing.pdf: 260–261</x:v>
      </x:c>
      <x:c r="AC155" s="28" t="str">
        <x:v>Ingredient pairings with peach and nectarine: cow's milk mozzarella.</x:v>
      </x:c>
      <x:c r="AD155" s="28" t="n">
        <x:v>1</x:v>
      </x:c>
      <x:c r="AE155" s="28" t="n">
        <x:v>1</x:v>
      </x:c>
      <x:c r="AF155" s="28" t="n">
        <x:f>IF(Z155="Высокая",3,IF(Z155="Средняя",2,1))+AD155*2+MIN(AE155,3)</x:f>
        <x:v>5</x:v>
      </x:c>
    </x:row>
    <x:row r="156" ht="62" customHeight="1">
      <x:c r="A156" s="28" t="str">
        <x:v>STN-0155</x:v>
      </x:c>
      <x:c r="B156" s="28" t="str">
        <x:v>персик</x:v>
      </x:c>
      <x:c r="C156" s="28" t="str">
        <x:v>Десерты и выпечка</x:v>
      </x:c>
      <x:c r="D156" s="28" t="str">
        <x:v>персик</x:v>
      </x:c>
      <x:c r="E156" s="28" t="str">
        <x:v>peach</x:v>
      </x:c>
      <x:c r="F156" s="28" t="str">
        <x:v>Косточковые фрукты</x:v>
      </x:c>
      <x:c r="G156" s="28" t="str">
        <x:v>мускатный орех</x:v>
      </x:c>
      <x:c r="H156" s="28" t="str">
        <x:v>nutmeg</x:v>
      </x:c>
      <x:c r="I156" s="28" t="str">
        <x:v>Орехи и семена</x:v>
      </x:c>
      <x:c r="J156" s="28" t="str">
        <x:v>сливочный, персиковый, кокосово-лактонный, цветочный, зелёный</x:v>
      </x:c>
      <x:c r="K156" s="28" t="str">
        <x:v>ореховый, жареный, маслянистый и иногда миндальный</x:v>
      </x:c>
      <x:c r="L156" s="28" t="str">
        <x:v>γ- и δ-декалактон, γ- и δ-додекалактон, линалоол, бензальдегид, гексаналь, цис-3-гексенол</x:v>
      </x:c>
      <x:c r="M156" s="28" t="str">
        <x:v>пиразины, бензальдегид, филбертон, жирные альдегиды</x:v>
      </x:c>
      <x:c r="N156" s="28" t="str">
        <x:v>прямое семейное перекрытие не является главным механизмом</x:v>
      </x:c>
      <x:c r="O156" s="28" t="str">
        <x:v>бензальдегид</x:v>
      </x:c>
      <x:c r="P156" s="28" t="str">
        <x:v>прямое или классовое перекрытие характерных одорантов + вкусовой баланс</x:v>
      </x:c>
      <x:c r="Q156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156" s="28" t="str">
        <x:v>обычно слабый; кислота даёт свежесть; партнёр: обычно отсутствует</x:v>
      </x:c>
      <x:c r="S156" s="28" t="str">
        <x:v>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</x:v>
      </x:c>
      <x:c r="T15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15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Мускатный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156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W156" s="28" t="str">
        <x:v>ваниль, шоколад или корица</x:v>
      </x:c>
      <x:c r="X156" s="28" t="str">
        <x:v>тарт, крем, мороженое, выпечка, сырная подача или начинка</x:v>
      </x:c>
      <x:c r="Y156" s="28" t="str">
        <x:v>десерты; еда</x:v>
      </x:c>
      <x:c r="Z156" s="28" t="str">
        <x:v>Средняя</x:v>
      </x:c>
      <x:c r="AA156" s="28" t="str">
        <x:v>The Art &amp; Science of Foodpairing.pdf</x:v>
      </x:c>
      <x:c r="AB156" s="28" t="str">
        <x:v>The Art &amp; Science of Foodpairing.pdf: 260–261</x:v>
      </x:c>
      <x:c r="AC156" s="28" t="str">
        <x:v>Ingredient pairings with peach and nectarine: nutmeg.</x:v>
      </x:c>
      <x:c r="AD156" s="28" t="n">
        <x:v>1</x:v>
      </x:c>
      <x:c r="AE156" s="28" t="n">
        <x:v>1</x:v>
      </x:c>
      <x:c r="AF156" s="28" t="n">
        <x:f>IF(Z156="Высокая",3,IF(Z156="Средняя",2,1))+AD156*2+MIN(AE156,3)</x:f>
        <x:v>5</x:v>
      </x:c>
    </x:row>
    <x:row r="157" ht="62" customHeight="1">
      <x:c r="A157" s="28" t="str">
        <x:v>STN-0156</x:v>
      </x:c>
      <x:c r="B157" s="28" t="str">
        <x:v>персик</x:v>
      </x:c>
      <x:c r="C157" s="28" t="str">
        <x:v>Десерты и выпечка</x:v>
      </x:c>
      <x:c r="D157" s="28" t="str">
        <x:v>персик</x:v>
      </x:c>
      <x:c r="E157" s="28" t="str">
        <x:v>peach</x:v>
      </x:c>
      <x:c r="F157" s="28" t="str">
        <x:v>Косточковые фрукты</x:v>
      </x:c>
      <x:c r="G157" s="28" t="str">
        <x:v>мушмула японская</x:v>
      </x:c>
      <x:c r="H157" s="28" t="str">
        <x:v>loquat</x:v>
      </x:c>
      <x:c r="I157" s="28" t="str">
        <x:v>Фрукты</x:v>
      </x:c>
      <x:c r="J157" s="28" t="str">
        <x:v>сливочный, персиковый, кокосово-лактонный, цветочный, зелёный</x:v>
      </x:c>
      <x:c r="K157" s="28" t="str">
        <x:v>фруктовый, цветочный, зелёный или тропический</x:v>
      </x:c>
      <x:c r="L157" s="28" t="str">
        <x:v>γ- и δ-декалактон, γ- и δ-додекалактон, линалоол, бензальдегид, гексаналь, цис-3-гексенол</x:v>
      </x:c>
      <x:c r="M157" s="28" t="str">
        <x:v>фруктовые эфиры, терпены, альдегиды и лактоны</x:v>
      </x:c>
      <x:c r="N157" s="28" t="str">
        <x:v>цветочный, зелёный</x:v>
      </x:c>
      <x:c r="O157" s="28" t="str">
        <x:v>надёжный единичный общий маркер не подтверждён; механизм не сводится к одной молекуле</x:v>
      </x:c>
      <x:c r="P157" s="28" t="str">
        <x:v>комплементарность ароматических семейств, вкусовой контраст и матричный эффект</x:v>
      </x:c>
      <x:c r="Q157" s="28" t="str">
        <x:v>Близкие фруктовые эфиры создают непрерывность, а различия в кислотности, терпкости и сладости формируют контраст.</x:v>
      </x:c>
      <x:c r="R157" s="28" t="str">
        <x:v>обычно слабый; кислота даёт свежесть; партнёр: обычно слабый</x:v>
      </x:c>
      <x:c r="S157" s="28" t="str">
        <x:v>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</x:v>
      </x:c>
      <x:c r="T15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5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Мушмула японская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5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57" s="28" t="str">
        <x:v>цитрус, мята или ваниль</x:v>
      </x:c>
      <x:c r="X157" s="28" t="str">
        <x:v>сорбет, салат, джем, кордиал, лимонад, коктейль или фруктовый соус</x:v>
      </x:c>
      <x:c r="Y157" s="28" t="str">
        <x:v>напитки; десерты; соусы/маринады</x:v>
      </x:c>
      <x:c r="Z157" s="28" t="str">
        <x:v>Средняя</x:v>
      </x:c>
      <x:c r="AA157" s="28" t="str">
        <x:v>The Art &amp; Science of Foodpairing.pdf</x:v>
      </x:c>
      <x:c r="AB157" s="28" t="str">
        <x:v>The Art &amp; Science of Foodpairing.pdf: 260–261</x:v>
      </x:c>
      <x:c r="AC157" s="28" t="str">
        <x:v>Ingredient pairings with peach and nectarine: loquat.</x:v>
      </x:c>
      <x:c r="AD157" s="28" t="n">
        <x:v>1</x:v>
      </x:c>
      <x:c r="AE157" s="28" t="n">
        <x:v>1</x:v>
      </x:c>
      <x:c r="AF157" s="28" t="n">
        <x:f>IF(Z157="Высокая",3,IF(Z157="Средняя",2,1))+AD157*2+MIN(AE157,3)</x:f>
        <x:v>5</x:v>
      </x:c>
    </x:row>
    <x:row r="158" ht="62" customHeight="1">
      <x:c r="A158" s="28" t="str">
        <x:v>STN-0157</x:v>
      </x:c>
      <x:c r="B158" s="28" t="str">
        <x:v>персик</x:v>
      </x:c>
      <x:c r="C158" s="28" t="str">
        <x:v>Универсальные</x:v>
      </x:c>
      <x:c r="D158" s="28" t="str">
        <x:v>персик</x:v>
      </x:c>
      <x:c r="E158" s="28" t="str">
        <x:v>peach</x:v>
      </x:c>
      <x:c r="F158" s="28" t="str">
        <x:v>Косточковые фрукты</x:v>
      </x:c>
      <x:c r="G158" s="28" t="str">
        <x:v>мята</x:v>
      </x:c>
      <x:c r="H158" s="28" t="str">
        <x:v>Мята | мята</x:v>
      </x:c>
      <x:c r="I158" s="28" t="str">
        <x:v>Травы и цветы</x:v>
      </x:c>
      <x:c r="J158" s="28" t="str">
        <x:v>сливочный, персиковый, кокосово-лактонный, цветочный, зелёный</x:v>
      </x:c>
      <x:c r="K158" s="28" t="str">
        <x:v>свежий мятный</x:v>
      </x:c>
      <x:c r="L158" s="28" t="str">
        <x:v>γ- и δ-декалактон, γ- и δ-додекалактон, линалоол, бензальдегид, гексаналь, цис-3-гексенол</x:v>
      </x:c>
      <x:c r="M158" s="28" t="str">
        <x:v>ментол, ментон</x:v>
      </x:c>
      <x:c r="N158" s="28" t="str">
        <x:v>прямое семейное перекрытие не является главным механизмом</x:v>
      </x:c>
      <x:c r="O158" s="28" t="str">
        <x:v>надёжный единичный общий маркер не подтверждён; механизм не сводится к одной молекуле</x:v>
      </x:c>
      <x:c r="P158" s="28" t="str">
        <x:v>комплементарность ароматических семейств, вкусовой контраст и матричный эффект</x:v>
      </x:c>
      <x:c r="Q158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158" s="28" t="str">
        <x:v>обычно слабый; кислота даёт свежесть; партнёр: ментол активирует холодовые рецепторы</x:v>
      </x:c>
      <x:c r="S158" s="28" t="str">
        <x:v>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</x:v>
      </x:c>
      <x:c r="T15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15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15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58" s="28" t="str">
        <x:v>мёд, цитрус или нейтральная жировая основа</x:v>
      </x:c>
      <x:c r="X158" s="28" t="str">
        <x:v>напиток, соус, десерт или горячее блюдо после пробной дегустации</x:v>
      </x:c>
      <x:c r="Y158" s="28" t="str">
        <x:v>напитки; еда; десерты; соусы/маринады</x:v>
      </x:c>
      <x:c r="Z158" s="28" t="str">
        <x:v>Гипотеза / практическая</x:v>
      </x:c>
      <x:c r="AA158" s="28" t="str">
        <x:v>Таблица сочетания(1).pdf</x:v>
      </x:c>
      <x:c r="AB158" s="28" t="str">
        <x:v>Таблица сочетания(1).pdf: 13 | Таблица сочетания(1).pdf: 15</x:v>
      </x:c>
      <x:c r="AC158" s="28" t="str">
        <x:v>Пара указана в строке «Мята»: «персик» находится в колонке «Фрукты». Пара указана в строке «Персик» → колонка «Травы и специи».</x:v>
      </x:c>
      <x:c r="AD158" s="28" t="n">
        <x:v>1</x:v>
      </x:c>
      <x:c r="AE158" s="28" t="n">
        <x:v>2</x:v>
      </x:c>
      <x:c r="AF158" s="28" t="n">
        <x:f>IF(Z158="Высокая",3,IF(Z158="Средняя",2,1))+AD158*2+MIN(AE158,3)</x:f>
        <x:v>5</x:v>
      </x:c>
    </x:row>
    <x:row r="159" ht="62" customHeight="1">
      <x:c r="A159" s="28" t="str">
        <x:v>STN-0158</x:v>
      </x:c>
      <x:c r="B159" s="28" t="str">
        <x:v>персик</x:v>
      </x:c>
      <x:c r="C159" s="28" t="str">
        <x:v>Универсальные</x:v>
      </x:c>
      <x:c r="D159" s="28" t="str">
        <x:v>персик</x:v>
      </x:c>
      <x:c r="E159" s="28" t="str">
        <x:v>peach</x:v>
      </x:c>
      <x:c r="F159" s="28" t="str">
        <x:v>Косточковые фрукты</x:v>
      </x:c>
      <x:c r="G159" s="28" t="str">
        <x:v>нектарин</x:v>
      </x:c>
      <x:c r="H159" s="28" t="str">
        <x:v>персик | Нектарин | нектарин | Персик | Peach | nectarine</x:v>
      </x:c>
      <x:c r="I159" s="28" t="str">
        <x:v>Косточковые фрукты</x:v>
      </x:c>
      <x:c r="J159" s="28" t="str">
        <x:v>сливочный, персиковый, кокосово-лактонный, цветочный, зелёный</x:v>
      </x:c>
      <x:c r="K159" s="28" t="str">
        <x:v>персиковый, фруктовый, цветочный, зелёный, сливочно-лактонный</x:v>
      </x:c>
      <x:c r="L159" s="28" t="str">
        <x:v>γ- и δ-декалактон, γ- и δ-додекалактон, линалоол, бензальдегид, гексаналь, цис-3-гексенол</x:v>
      </x:c>
      <x:c r="M159" s="28" t="str">
        <x:v>γ- и δ-декалактон, γ- и δ-додекалактон, фруктовые эфиры, линалоол, бензальдегид, C6-альдегиды</x:v>
      </x:c>
      <x:c r="N159" s="28" t="str">
        <x:v>цветочный, лактонный, зелёный</x:v>
      </x:c>
      <x:c r="O159" s="28" t="str">
        <x:v>бензальдегид, линалоол, декалактон, додекалактон</x:v>
      </x:c>
      <x:c r="P159" s="28" t="str">
        <x:v>прямое или классовое перекрытие характерных одорантов + вкусовой баланс</x:v>
      </x:c>
      <x:c r="Q159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сладкий, сочный, с умеренной кислотностью; профиль близок к персику, но кожица гладкая и часто более ярко-фруктовая. Баланс корректируется сахаром, кислотой, солью и горечью.</x:v>
      </x:c>
      <x:c r="R159" s="28" t="str">
        <x:v>обычно слабый; кислота даёт свежесть; партнёр: слабый; кислотность усиливает свежесть</x:v>
      </x:c>
      <x:c r="S159" s="28" t="str">
        <x:v>сочная пектиновая мякоть; кожица несёт зелёные и цветочные ноты; лактоны хорошо удерживаются жиром и этанолом. Партнёр: водно-пектиновая; гидрофобные лактоны лучше проявляются в жире и этаноле.</x:v>
      </x:c>
      <x:c r="T15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U15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Нектарин относится к группе «Косточковые фрукты» и даёт профиль «персиковый, фруктовый, цветочный, зелёный, сливочно-лактонный»; типичные соединения или классы: γ- и δ-декалактон, γ- и δ-додекалактон, фруктовые эфиры, линалоол, бензальдегид, C6-альдегиды. В рабочих профилях пересекаются: бензальдегид, линалоол, декалактон, додекалактон. Общие ароматические направления: цветочный, лактонный, зелёный. Базовый фрукт даёт: выраженная сладость, умеренная кислотность; беломякотные сорта обычно слаще и мягче по кислоте. Партнёр добавляет: сладкий, сочный, с умеренной кислотностью; профиль близок к персику, но кожица гладкая и часто более ярко-фруктовая.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водно-пектиновая; гидрофобные лактоны лучше проявляются в жире 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V15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59" s="28" t="str">
        <x:v>мёд, цитрус или нейтральная жировая основа</x:v>
      </x:c>
      <x:c r="X159" s="28" t="str">
        <x:v>напиток, соус, десерт или горячее блюдо после пробной дегустации</x:v>
      </x:c>
      <x:c r="Y159" s="28" t="str">
        <x:v>напитки; еда; десерты; соусы/маринады</x:v>
      </x:c>
      <x:c r="Z159" s="28" t="str">
        <x:v>Высокая</x:v>
      </x:c>
      <x:c r="AA159" s="28" t="str">
        <x:v>The Art &amp; Science of Foodpairing.pdf | Таблица сочетания(1).pdf</x:v>
      </x:c>
      <x:c r="AB159" s="28" t="str">
        <x:v>Таблица сочетания(1).pdf: 14 | Таблица сочетания(1).pdf: 15 | The Art &amp; Science of Foodpairing.pdf: 260 | The Art &amp; Science of Foodpairing.pdf: 260–261</x:v>
      </x:c>
      <x:c r="AC159" s="28" t="str">
        <x:v>Пара указана в строке «Нектарин» → колонка «Фрукты». Пара указана в строке «Нектарин»: «персик» находится в колонке «Фрукты». Пара указана в строке «Персик» → колонка «Фрукты».</x:v>
      </x:c>
      <x:c r="AD159" s="28" t="n">
        <x:v>2</x:v>
      </x:c>
      <x:c r="AE159" s="28" t="n">
        <x:v>6</x:v>
      </x:c>
      <x:c r="AF159" s="28" t="n">
        <x:f>IF(Z159="Высокая",3,IF(Z159="Средняя",2,1))+AD159*2+MIN(AE159,3)</x:f>
        <x:v>10</x:v>
      </x:c>
    </x:row>
    <x:row r="160" ht="62" customHeight="1">
      <x:c r="A160" s="28" t="str">
        <x:v>STN-0159</x:v>
      </x:c>
      <x:c r="B160" s="28" t="str">
        <x:v>персик</x:v>
      </x:c>
      <x:c r="C160" s="28" t="str">
        <x:v>Десерты и выпечка</x:v>
      </x:c>
      <x:c r="D160" s="28" t="str">
        <x:v>персик</x:v>
      </x:c>
      <x:c r="E160" s="28" t="str">
        <x:v>peach</x:v>
      </x:c>
      <x:c r="F160" s="28" t="str">
        <x:v>Косточковые фрукты</x:v>
      </x:c>
      <x:c r="G160" s="28" t="str">
        <x:v>обжаренные миндальные лепестки</x:v>
      </x:c>
      <x:c r="H160" s="28" t="str">
        <x:v>toasted flaked almonds</x:v>
      </x:c>
      <x:c r="I160" s="28" t="str">
        <x:v>Орехи и семена</x:v>
      </x:c>
      <x:c r="J160" s="28" t="str">
        <x:v>сливочный, персиковый, кокосово-лактонный, цветочный, зелёный</x:v>
      </x:c>
      <x:c r="K160" s="28" t="str">
        <x:v>ореховый, жареный, древесный, иногда миндальный</x:v>
      </x:c>
      <x:c r="L160" s="28" t="str">
        <x:v>γ- и δ-декалактон, γ- и δ-додекалактон, линалоол, бензальдегид, гексаналь, цис-3-гексенол</x:v>
      </x:c>
      <x:c r="M160" s="28" t="str">
        <x:v>бензальдегид, пиразины, фураны, лактоны и липидные альдегиды</x:v>
      </x:c>
      <x:c r="N160" s="28" t="str">
        <x:v>прямое семейное перекрытие не является главным механизмом</x:v>
      </x:c>
      <x:c r="O160" s="28" t="str">
        <x:v>бензальдегид</x:v>
      </x:c>
      <x:c r="P160" s="28" t="str">
        <x:v>прямое или классовое перекрытие характерных одорантов + вкусовой баланс</x:v>
      </x:c>
      <x:c r="Q160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160" s="28" t="str">
        <x:v>обычно слабый; кислота даёт свежесть; партнёр: нет выраженного</x:v>
      </x:c>
      <x:c r="S160" s="28" t="str">
        <x:v>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</x:v>
      </x:c>
      <x:c r="T16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6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Обжаренные миндальные лепестки относится к группе «Орехи и семена» и даёт профиль «ореховый, жареный, древесный, иногда миндальный»; типичные соединения или классы: бензальдегид, пиразины, фураны, лактоны и липидные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60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W160" s="28" t="str">
        <x:v>ваниль, шоколад или корица</x:v>
      </x:c>
      <x:c r="X160" s="28" t="str">
        <x:v>тарт, крем, мороженое, выпечка, сырная подача или начинка</x:v>
      </x:c>
      <x:c r="Y160" s="28" t="str">
        <x:v>десерты; еда</x:v>
      </x:c>
      <x:c r="Z160" s="28" t="str">
        <x:v>Средняя</x:v>
      </x:c>
      <x:c r="AA160" s="28" t="str">
        <x:v>The Art &amp; Science of Foodpairing.pdf</x:v>
      </x:c>
      <x:c r="AB160" s="28" t="str">
        <x:v>The Art &amp; Science of Foodpairing.pdf: 260–261</x:v>
      </x:c>
      <x:c r="AC160" s="28" t="str">
        <x:v>Ingredient pairings with peach and nectarine: toasted flaked almonds.</x:v>
      </x:c>
      <x:c r="AD160" s="28" t="n">
        <x:v>1</x:v>
      </x:c>
      <x:c r="AE160" s="28" t="n">
        <x:v>1</x:v>
      </x:c>
      <x:c r="AF160" s="28" t="n">
        <x:f>IF(Z160="Высокая",3,IF(Z160="Средняя",2,1))+AD160*2+MIN(AE160,3)</x:f>
        <x:v>5</x:v>
      </x:c>
    </x:row>
    <x:row r="161" ht="62" customHeight="1">
      <x:c r="A161" s="28" t="str">
        <x:v>STN-0160</x:v>
      </x:c>
      <x:c r="B161" s="28" t="str">
        <x:v>персик</x:v>
      </x:c>
      <x:c r="C161" s="28" t="str">
        <x:v>Универсальные</x:v>
      </x:c>
      <x:c r="D161" s="28" t="str">
        <x:v>персик</x:v>
      </x:c>
      <x:c r="E161" s="28" t="str">
        <x:v>peach</x:v>
      </x:c>
      <x:c r="F161" s="28" t="str">
        <x:v>Косточковые фрукты</x:v>
      </x:c>
      <x:c r="G161" s="28" t="str">
        <x:v>обжаренный bacon</x:v>
      </x:c>
      <x:c r="H161" s="28" t="str">
        <x:v>pan-fried bacon</x:v>
      </x:c>
      <x:c r="I161" s="28" t="str">
        <x:v>Прочее</x:v>
      </x:c>
      <x:c r="J161" s="28" t="str">
        <x:v>сливочный, персиковый, кокосово-лактонный, цветочный, зелёный</x:v>
      </x:c>
      <x:c r="K161" s="28" t="str">
        <x:v>комплексный</x:v>
      </x:c>
      <x:c r="L161" s="28" t="str">
        <x:v>γ- и δ-декалактон, γ- и δ-додекалактон, линалоол, бензальдегид, гексаналь, цис-3-гексенол</x:v>
      </x:c>
      <x:c r="M161" s="28" t="str">
        <x:v>не конкретизированы</x:v>
      </x:c>
      <x:c r="N161" s="28" t="str">
        <x:v>прямое семейное перекрытие не является главным механизмом</x:v>
      </x:c>
      <x:c r="O161" s="28" t="str">
        <x:v>надёжный единичный общий маркер не подтверждён; механизм не сводится к одной молекуле</x:v>
      </x:c>
      <x:c r="P161" s="28" t="str">
        <x:v>комплементарность ароматических семейств, вкусовой контраст и матричный эффект</x:v>
      </x:c>
      <x:c r="Q161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</x:v>
      </x:c>
      <x:c r="R161" s="28" t="str">
        <x:v>обычно слабый; кислота даёт свежесть; партнёр: обычно отсутствует; зависит от конкретного продукта</x:v>
      </x:c>
      <x:c r="S161" s="28" t="str">
        <x:v>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</x:v>
      </x:c>
      <x:c r="T16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16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bacon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16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61" s="28" t="str">
        <x:v>мёд, цитрус или нейтральная жировая основа</x:v>
      </x:c>
      <x:c r="X161" s="28" t="str">
        <x:v>напиток, соус, десерт или горячее блюдо после пробной дегустации</x:v>
      </x:c>
      <x:c r="Y161" s="28" t="str">
        <x:v>напитки; еда; десерты; соусы/маринады</x:v>
      </x:c>
      <x:c r="Z161" s="28" t="str">
        <x:v>Средняя</x:v>
      </x:c>
      <x:c r="AA161" s="28" t="str">
        <x:v>The Art &amp; Science of Foodpairing.pdf</x:v>
      </x:c>
      <x:c r="AB161" s="28" t="str">
        <x:v>The Art &amp; Science of Foodpairing.pdf: 260–261</x:v>
      </x:c>
      <x:c r="AC161" s="28" t="str">
        <x:v>Ingredient pairings with peach and nectarine: pan-fried bacon.</x:v>
      </x:c>
      <x:c r="AD161" s="28" t="n">
        <x:v>1</x:v>
      </x:c>
      <x:c r="AE161" s="28" t="n">
        <x:v>1</x:v>
      </x:c>
      <x:c r="AF161" s="28" t="n">
        <x:f>IF(Z161="Высокая",3,IF(Z161="Средняя",2,1))+AD161*2+MIN(AE161,3)</x:f>
        <x:v>5</x:v>
      </x:c>
    </x:row>
    <x:row r="162" ht="62" customHeight="1">
      <x:c r="A162" s="28" t="str">
        <x:v>STN-0161</x:v>
      </x:c>
      <x:c r="B162" s="28" t="str">
        <x:v>персик</x:v>
      </x:c>
      <x:c r="C162" s="28" t="str">
        <x:v>Универсальные</x:v>
      </x:c>
      <x:c r="D162" s="28" t="str">
        <x:v>персик</x:v>
      </x:c>
      <x:c r="E162" s="28" t="str">
        <x:v>peach</x:v>
      </x:c>
      <x:c r="F162" s="28" t="str">
        <x:v>Косточковые фрукты</x:v>
      </x:c>
      <x:c r="G162" s="28" t="str">
        <x:v>обжаренный duck breast</x:v>
      </x:c>
      <x:c r="H162" s="28" t="str">
        <x:v>pan-fried duck breast</x:v>
      </x:c>
      <x:c r="I162" s="28" t="str">
        <x:v>Прочее</x:v>
      </x:c>
      <x:c r="J162" s="28" t="str">
        <x:v>сливочный, персиковый, кокосово-лактонный, цветочный, зелёный</x:v>
      </x:c>
      <x:c r="K162" s="28" t="str">
        <x:v>комплексный</x:v>
      </x:c>
      <x:c r="L162" s="28" t="str">
        <x:v>γ- и δ-декалактон, γ- и δ-додекалактон, линалоол, бензальдегид, гексаналь, цис-3-гексенол</x:v>
      </x:c>
      <x:c r="M162" s="28" t="str">
        <x:v>не конкретизированы</x:v>
      </x:c>
      <x:c r="N162" s="28" t="str">
        <x:v>прямое семейное перекрытие не является главным механизмом</x:v>
      </x:c>
      <x:c r="O162" s="28" t="str">
        <x:v>надёжный единичный общий маркер не подтверждён; механизм не сводится к одной молекуле</x:v>
      </x:c>
      <x:c r="P162" s="28" t="str">
        <x:v>комплементарность ароматических семейств, вкусовой контраст и матричный эффект</x:v>
      </x:c>
      <x:c r="Q162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</x:v>
      </x:c>
      <x:c r="R162" s="28" t="str">
        <x:v>обычно слабый; кислота даёт свежесть; партнёр: обычно отсутствует; зависит от конкретного продукта</x:v>
      </x:c>
      <x:c r="S162" s="28" t="str">
        <x:v>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</x:v>
      </x:c>
      <x:c r="T16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16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duck breast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16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62" s="28" t="str">
        <x:v>мёд, цитрус или нейтральная жировая основа</x:v>
      </x:c>
      <x:c r="X162" s="28" t="str">
        <x:v>напиток, соус, десерт или горячее блюдо после пробной дегустации</x:v>
      </x:c>
      <x:c r="Y162" s="28" t="str">
        <x:v>напитки; еда; десерты; соусы/маринады</x:v>
      </x:c>
      <x:c r="Z162" s="28" t="str">
        <x:v>Средняя</x:v>
      </x:c>
      <x:c r="AA162" s="28" t="str">
        <x:v>The Art &amp; Science of Foodpairing.pdf</x:v>
      </x:c>
      <x:c r="AB162" s="28" t="str">
        <x:v>The Art &amp; Science of Foodpairing.pdf: 260–261</x:v>
      </x:c>
      <x:c r="AC162" s="28" t="str">
        <x:v>Ingredient pairings with peach and nectarine: pan-fried duck breast.</x:v>
      </x:c>
      <x:c r="AD162" s="28" t="n">
        <x:v>1</x:v>
      </x:c>
      <x:c r="AE162" s="28" t="n">
        <x:v>1</x:v>
      </x:c>
      <x:c r="AF162" s="28" t="n">
        <x:f>IF(Z162="Высокая",3,IF(Z162="Средняя",2,1))+AD162*2+MIN(AE162,3)</x:f>
        <x:v>5</x:v>
      </x:c>
    </x:row>
    <x:row r="163" ht="62" customHeight="1">
      <x:c r="A163" s="28" t="str">
        <x:v>STN-0162</x:v>
      </x:c>
      <x:c r="B163" s="28" t="str">
        <x:v>персик</x:v>
      </x:c>
      <x:c r="C163" s="28" t="str">
        <x:v>Десерты и выпечка</x:v>
      </x:c>
      <x:c r="D163" s="28" t="str">
        <x:v>персик</x:v>
      </x:c>
      <x:c r="E163" s="28" t="str">
        <x:v>peach</x:v>
      </x:c>
      <x:c r="F163" s="28" t="str">
        <x:v>Косточковые фрукты</x:v>
      </x:c>
      <x:c r="G163" s="28" t="str">
        <x:v>обжаренный кунжут</x:v>
      </x:c>
      <x:c r="H163" s="28" t="str">
        <x:v>Toasted sesame seeds</x:v>
      </x:c>
      <x:c r="I163" s="28" t="str">
        <x:v>Орехи и семена</x:v>
      </x:c>
      <x:c r="J163" s="28" t="str">
        <x:v>сливочный, персиковый, кокосово-лактонный, цветочный, зелёный</x:v>
      </x:c>
      <x:c r="K163" s="28" t="str">
        <x:v>ореховый, жареный, древесный, иногда миндальный</x:v>
      </x:c>
      <x:c r="L163" s="28" t="str">
        <x:v>γ- и δ-декалактон, γ- и δ-додекалактон, линалоол, бензальдегид, гексаналь, цис-3-гексенол</x:v>
      </x:c>
      <x:c r="M163" s="28" t="str">
        <x:v>бензальдегид, пиразины, фураны, лактоны и липидные альдегиды</x:v>
      </x:c>
      <x:c r="N163" s="28" t="str">
        <x:v>прямое семейное перекрытие не является главным механизмом</x:v>
      </x:c>
      <x:c r="O163" s="28" t="str">
        <x:v>бензальдегид</x:v>
      </x:c>
      <x:c r="P163" s="28" t="str">
        <x:v>прямое или классовое перекрытие характерных одорантов + вкусовой баланс</x:v>
      </x:c>
      <x:c r="Q163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163" s="28" t="str">
        <x:v>обычно слабый; кислота даёт свежесть; партнёр: нет выраженного</x:v>
      </x:c>
      <x:c r="S163" s="28" t="str">
        <x:v>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</x:v>
      </x:c>
      <x:c r="T16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6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кунжут относится к группе «Орехи и семена» и даёт профиль «ореховый, жареный, древесный, иногда миндальный»; типичные соединения или классы: бензальдегид, пиразины, фураны, лактоны и липидные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63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W163" s="28" t="str">
        <x:v>ваниль, шоколад или корица</x:v>
      </x:c>
      <x:c r="X163" s="28" t="str">
        <x:v>тарт, крем, мороженое, выпечка, сырная подача или начинка</x:v>
      </x:c>
      <x:c r="Y163" s="28" t="str">
        <x:v>десерты; еда</x:v>
      </x:c>
      <x:c r="Z163" s="28" t="str">
        <x:v>Средняя</x:v>
      </x:c>
      <x:c r="AA163" s="28" t="str">
        <x:v>The Art &amp; Science of Foodpairing.pdf</x:v>
      </x:c>
      <x:c r="AB163" s="28" t="str">
        <x:v>The Art &amp; Science of Foodpairing.pdf: 309</x:v>
      </x:c>
      <x:c r="AC163" s="28" t="str">
        <x:v>Ингредиент «peach» указан на странице профиля/сетки сочетаний «Toasted sesame seeds».</x:v>
      </x:c>
      <x:c r="AD163" s="28" t="n">
        <x:v>1</x:v>
      </x:c>
      <x:c r="AE163" s="28" t="n">
        <x:v>1</x:v>
      </x:c>
      <x:c r="AF163" s="28" t="n">
        <x:f>IF(Z163="Высокая",3,IF(Z163="Средняя",2,1))+AD163*2+MIN(AE163,3)</x:f>
        <x:v>5</x:v>
      </x:c>
    </x:row>
    <x:row r="164" ht="62" customHeight="1">
      <x:c r="A164" s="28" t="str">
        <x:v>STN-0163</x:v>
      </x:c>
      <x:c r="B164" s="28" t="str">
        <x:v>персик</x:v>
      </x:c>
      <x:c r="C164" s="28" t="str">
        <x:v>Еда и соусы</x:v>
      </x:c>
      <x:c r="D164" s="28" t="str">
        <x:v>персик</x:v>
      </x:c>
      <x:c r="E164" s="28" t="str">
        <x:v>peach</x:v>
      </x:c>
      <x:c r="F164" s="28" t="str">
        <x:v>Косточковые фрукты</x:v>
      </x:c>
      <x:c r="G164" s="28" t="str">
        <x:v>обжаренный страус</x:v>
      </x:c>
      <x:c r="H164" s="28" t="str">
        <x:v>pan-fried ostrich</x:v>
      </x:c>
      <x:c r="I164" s="28" t="str">
        <x:v>Мясо и птица</x:v>
      </x:c>
      <x:c r="J164" s="28" t="str">
        <x:v>сливочный, персиковый, кокосово-лактонный, цветочный, зелёный</x:v>
      </x:c>
      <x:c r="K164" s="28" t="str">
        <x:v>жареный, мясной, сернистый, жирный</x:v>
      </x:c>
      <x:c r="L164" s="28" t="str">
        <x:v>γ- и δ-декалактон, γ- и δ-додекалактон, линалоол, бензальдегид, гексаналь, цис-3-гексенол</x:v>
      </x:c>
      <x:c r="M164" s="28" t="str">
        <x:v>пиразины, тиазолы, альдегиды жиров, сернистые соединения</x:v>
      </x:c>
      <x:c r="N164" s="28" t="str">
        <x:v>прямое семейное перекрытие не является главным механизмом</x:v>
      </x:c>
      <x:c r="O164" s="28" t="str">
        <x:v>надёжный единичный общий маркер не подтверждён; механизм не сводится к одной молекуле</x:v>
      </x:c>
      <x:c r="P164" s="28" t="str">
        <x:v>комплементарность ароматических семейств, вкусовой контраст и матричный эффект</x:v>
      </x:c>
      <x:c r="Q164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164" s="28" t="str">
        <x:v>обычно слабый; кислота даёт свежесть; партнёр: нет выраженного</x:v>
      </x:c>
      <x:c r="S164" s="28" t="str">
        <x:v>сочная пектиновая мякоть; кожица несёт зелёные и цветочные ноты; лактоны хорошо удерживаются жиром и этанолом. Партнёр: жир удерживает терпеновые масла; кислота снижает ощущение жирности.</x:v>
      </x:c>
      <x:c r="T164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U16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страус относится к группе «Мясо и птица» и даёт профиль «жареный, мясной, сернистый, жирный»; типичные соединения или классы: пиразины, тиазолы, альдегиды жиров,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терпеновые масла; кислота снижает ощущение жирности.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V164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W164" s="28" t="str">
        <x:v>розмарин, горчица или хересный уксус</x:v>
      </x:c>
      <x:c r="X164" s="28" t="str">
        <x:v>соус, глазировка, чатни, маринад, гарнир или основное блюдо</x:v>
      </x:c>
      <x:c r="Y164" s="28" t="str">
        <x:v>еда; соусы/маринады</x:v>
      </x:c>
      <x:c r="Z164" s="28" t="str">
        <x:v>Средняя</x:v>
      </x:c>
      <x:c r="AA164" s="28" t="str">
        <x:v>The Art &amp; Science of Foodpairing.pdf</x:v>
      </x:c>
      <x:c r="AB164" s="28" t="str">
        <x:v>The Art &amp; Science of Foodpairing.pdf: 260–261</x:v>
      </x:c>
      <x:c r="AC164" s="28" t="str">
        <x:v>Ingredient pairings with peach and nectarine: pan-fried ostrich.</x:v>
      </x:c>
      <x:c r="AD164" s="28" t="n">
        <x:v>1</x:v>
      </x:c>
      <x:c r="AE164" s="28" t="n">
        <x:v>2</x:v>
      </x:c>
      <x:c r="AF164" s="28" t="n">
        <x:f>IF(Z164="Высокая",3,IF(Z164="Средняя",2,1))+AD164*2+MIN(AE164,3)</x:f>
        <x:v>6</x:v>
      </x:c>
    </x:row>
    <x:row r="165" ht="62" customHeight="1">
      <x:c r="A165" s="28" t="str">
        <x:v>STN-0164</x:v>
      </x:c>
      <x:c r="B165" s="28" t="str">
        <x:v>персик</x:v>
      </x:c>
      <x:c r="C165" s="28" t="str">
        <x:v>Универсальные</x:v>
      </x:c>
      <x:c r="D165" s="28" t="str">
        <x:v>персик</x:v>
      </x:c>
      <x:c r="E165" s="28" t="str">
        <x:v>peach</x:v>
      </x:c>
      <x:c r="F165" s="28" t="str">
        <x:v>Косточковые фрукты</x:v>
      </x:c>
      <x:c r="G165" s="28" t="str">
        <x:v>оливковое масло</x:v>
      </x:c>
      <x:c r="H165" s="28" t="str">
        <x:v>Olive oil</x:v>
      </x:c>
      <x:c r="I165" s="28" t="str">
        <x:v>Молочные продукты и сыры</x:v>
      </x:c>
      <x:c r="J165" s="28" t="str">
        <x:v>сливочный, персиковый, кокосово-лактонный, цветочный, зелёный</x:v>
      </x:c>
      <x:c r="K165" s="28" t="str">
        <x:v>масляный, молочный, сливочный, сырный</x:v>
      </x:c>
      <x:c r="L165" s="28" t="str">
        <x:v>γ- и δ-декалактон, γ- и δ-додекалактон, линалоол, бензальдегид, гексаналь, цис-3-гексенол</x:v>
      </x:c>
      <x:c r="M165" s="28" t="str">
        <x:v>диацетил, жирные кислоты, лактоны</x:v>
      </x:c>
      <x:c r="N165" s="28" t="str">
        <x:v>сливочный</x:v>
      </x:c>
      <x:c r="O165" s="28" t="str">
        <x:v>надёжный единичный общий маркер не подтверждён; механизм не сводится к одной молекуле</x:v>
      </x:c>
      <x:c r="P165" s="28" t="str">
        <x:v>комплементарность ароматических семейств, вкусовой контраст и матричный эффект</x:v>
      </x:c>
      <x:c r="Q165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жирный, кислый/солёный. Баланс корректируется сахаром, кислотой, солью и горечью.</x:v>
      </x:c>
      <x:c r="R165" s="28" t="str">
        <x:v>обычно слабый; кислота даёт свежесть; партнёр: обычно отсутствует; зависит от конкретного продукта</x:v>
      </x:c>
      <x:c r="S165" s="28" t="str">
        <x:v>сочная пектиновая мякоть; кожица несёт зелёные и цветочные ноты; лактоны хорошо удерживаются жиром и этанолом. Партнёр: жировая и белковая матрица смягчает кислотность.</x:v>
      </x:c>
      <x:c r="T16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16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жирный, кислый/солёный.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жировая и белковая матрица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16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65" s="28" t="str">
        <x:v>мёд, цитрус или нейтральная жировая основа</x:v>
      </x:c>
      <x:c r="X165" s="28" t="str">
        <x:v>напиток, соус, десерт или горячее блюдо после пробной дегустации</x:v>
      </x:c>
      <x:c r="Y165" s="28" t="str">
        <x:v>напитки; еда; десерты; соусы/маринады</x:v>
      </x:c>
      <x:c r="Z165" s="28" t="str">
        <x:v>Средняя</x:v>
      </x:c>
      <x:c r="AA165" s="28" t="str">
        <x:v>The Art &amp; Science of Foodpairing.pdf</x:v>
      </x:c>
      <x:c r="AB165" s="28" t="str">
        <x:v>The Art &amp; Science of Foodpairing.pdf: 172</x:v>
      </x:c>
      <x:c r="AC165" s="28" t="str">
        <x:v>Ингредиент «peach» указан на странице профиля/сетки сочетаний «Olive oil».</x:v>
      </x:c>
      <x:c r="AD165" s="28" t="n">
        <x:v>1</x:v>
      </x:c>
      <x:c r="AE165" s="28" t="n">
        <x:v>1</x:v>
      </x:c>
      <x:c r="AF165" s="28" t="n">
        <x:f>IF(Z165="Высокая",3,IF(Z165="Средняя",2,1))+AD165*2+MIN(AE165,3)</x:f>
        <x:v>5</x:v>
      </x:c>
    </x:row>
    <x:row r="166" ht="62" customHeight="1">
      <x:c r="A166" s="28" t="str">
        <x:v>STN-0165</x:v>
      </x:c>
      <x:c r="B166" s="28" t="str">
        <x:v>персик</x:v>
      </x:c>
      <x:c r="C166" s="28" t="str">
        <x:v>Универсальные</x:v>
      </x:c>
      <x:c r="D166" s="28" t="str">
        <x:v>персик</x:v>
      </x:c>
      <x:c r="E166" s="28" t="str">
        <x:v>peach</x:v>
      </x:c>
      <x:c r="F166" s="28" t="str">
        <x:v>Косточковые фрукты</x:v>
      </x:c>
      <x:c r="G166" s="28" t="str">
        <x:v>оливковое масло арбекина</x:v>
      </x:c>
      <x:c r="H166" s="28" t="str">
        <x:v>Arbequina olive oil</x:v>
      </x:c>
      <x:c r="I166" s="28" t="str">
        <x:v>Прочее</x:v>
      </x:c>
      <x:c r="J166" s="28" t="str">
        <x:v>сливочный, персиковый, кокосово-лактонный, цветочный, зелёный</x:v>
      </x:c>
      <x:c r="K166" s="28" t="str">
        <x:v>комплексный профиль, зависящий от продукта</x:v>
      </x:c>
      <x:c r="L166" s="28" t="str">
        <x:v>γ- и δ-декалактон, γ- и δ-додекалактон, линалоол, бензальдегид, гексаналь, цис-3-гексенол</x:v>
      </x:c>
      <x:c r="M166" s="28" t="str">
        <x:v>нужен профиль конкретного ингредиента</x:v>
      </x:c>
      <x:c r="N166" s="28" t="str">
        <x:v>прямое семейное перекрытие не является главным механизмом</x:v>
      </x:c>
      <x:c r="O166" s="28" t="str">
        <x:v>надёжный единичный общий маркер не подтверждён; механизм не сводится к одной молекуле</x:v>
      </x:c>
      <x:c r="P166" s="28" t="str">
        <x:v>комплементарность ароматических семейств, вкусовой контраст и матричный эффект</x:v>
      </x:c>
      <x:c r="Q166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баланс зависит от продукта. Баланс корректируется сахаром, кислотой, солью и горечью.</x:v>
      </x:c>
      <x:c r="R166" s="28" t="str">
        <x:v>обычно слабый; кислота даёт свежесть; партнёр: нет данных</x:v>
      </x:c>
      <x:c r="S166" s="28" t="str">
        <x:v>сочная пектиновая мякоть; кожица несёт зелёные и цветочные ноты; лактоны хорошо удерживаются жиром и этанолом. Партнёр: матрица зависит от формы продукта.</x:v>
      </x:c>
      <x:c r="T16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6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Оливковое масло арбекина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баланс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матрица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6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66" s="28" t="str">
        <x:v>мёд, цитрус или нейтральная жировая основа</x:v>
      </x:c>
      <x:c r="X166" s="28" t="str">
        <x:v>напиток, соус, десерт или горячее блюдо после пробной дегустации</x:v>
      </x:c>
      <x:c r="Y166" s="28" t="str">
        <x:v>напитки; еда; десерты; соусы/маринады</x:v>
      </x:c>
      <x:c r="Z166" s="28" t="str">
        <x:v>Средняя</x:v>
      </x:c>
      <x:c r="AA166" s="28" t="str">
        <x:v>The Art &amp; Science of Foodpairing.pdf</x:v>
      </x:c>
      <x:c r="AB166" s="28" t="str">
        <x:v>The Art &amp; Science of Foodpairing.pdf: 260–261</x:v>
      </x:c>
      <x:c r="AC166" s="28" t="str">
        <x:v>Ingredient pairings with peach and nectarine: Arbequina olive oil.</x:v>
      </x:c>
      <x:c r="AD166" s="28" t="n">
        <x:v>1</x:v>
      </x:c>
      <x:c r="AE166" s="28" t="n">
        <x:v>1</x:v>
      </x:c>
      <x:c r="AF166" s="28" t="n">
        <x:f>IF(Z166="Высокая",3,IF(Z166="Средняя",2,1))+AD166*2+MIN(AE166,3)</x:f>
        <x:v>5</x:v>
      </x:c>
    </x:row>
    <x:row r="167" ht="62" customHeight="1">
      <x:c r="A167" s="28" t="str">
        <x:v>STN-0166</x:v>
      </x:c>
      <x:c r="B167" s="28" t="str">
        <x:v>персик</x:v>
      </x:c>
      <x:c r="C167" s="28" t="str">
        <x:v>Универсальные</x:v>
      </x:c>
      <x:c r="D167" s="28" t="str">
        <x:v>персик</x:v>
      </x:c>
      <x:c r="E167" s="28" t="str">
        <x:v>peach</x:v>
      </x:c>
      <x:c r="F167" s="28" t="str">
        <x:v>Косточковые фрукты</x:v>
      </x:c>
      <x:c r="G167" s="28" t="str">
        <x:v>отварная морковь</x:v>
      </x:c>
      <x:c r="H167" s="28" t="str">
        <x:v>Boiled carrot</x:v>
      </x:c>
      <x:c r="I167" s="28" t="str">
        <x:v>Овощи</x:v>
      </x:c>
      <x:c r="J167" s="28" t="str">
        <x:v>сливочный, персиковый, кокосово-лактонный, цветочный, зелёный</x:v>
      </x:c>
      <x:c r="K167" s="28" t="str">
        <x:v>зелёный, землистый, растительный, иногда сернистый</x:v>
      </x:c>
      <x:c r="L167" s="28" t="str">
        <x:v>γ- и δ-декалактон, γ- и δ-додекалактон, линалоол, бензальдегид, гексаналь, цис-3-гексенол</x:v>
      </x:c>
      <x:c r="M167" s="28" t="str">
        <x:v>C6-альдегиды, метоксипиразины, геосмин (землистые), сернистые соединения</x:v>
      </x:c>
      <x:c r="N167" s="28" t="str">
        <x:v>зелёный</x:v>
      </x:c>
      <x:c r="O167" s="28" t="str">
        <x:v>надёжный единичный общий маркер не подтверждён; механизм не сводится к одной молекуле</x:v>
      </x:c>
      <x:c r="P167" s="28" t="str">
        <x:v>комплементарность ароматических семейств, вкусовой контраст и матричный эффект</x:v>
      </x:c>
      <x:c r="Q167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сладковатый, горьковатый, умами. Баланс корректируется сахаром, кислотой, солью и горечью.</x:v>
      </x:c>
      <x:c r="R167" s="28" t="str">
        <x:v>обычно слабый; кислота даёт свежесть; партнёр: нет выраженного</x:v>
      </x:c>
      <x:c r="S167" s="28" t="str">
        <x:v>сочная пектиновая мякоть; кожица несёт зелёные и цветочные ноты; лактоны хорошо удерживаются жиром и этанолом. Партнёр: водная/крахмальная матрица; масло помогает распределить цедру.</x:v>
      </x:c>
      <x:c r="T16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U16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морковь относится к группе «Овощи» и даёт профиль «зелёный, землистый, растительный, иногда сернистый»; типичные соединения или классы: C6-альдегиды, метоксипиразины, геосмин (землистые),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сладковатый, горьковатый,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водная/крахмальная матрица; масло помогает распределить цедру.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V16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67" s="28" t="str">
        <x:v>мёд, цитрус или нейтральная жировая основа</x:v>
      </x:c>
      <x:c r="X167" s="28" t="str">
        <x:v>напиток, соус, десерт или горячее блюдо после пробной дегустации</x:v>
      </x:c>
      <x:c r="Y167" s="28" t="str">
        <x:v>напитки; еда; десерты; соусы/маринады</x:v>
      </x:c>
      <x:c r="Z167" s="28" t="str">
        <x:v>Средняя</x:v>
      </x:c>
      <x:c r="AA167" s="28" t="str">
        <x:v>The Art &amp; Science of Foodpairing.pdf</x:v>
      </x:c>
      <x:c r="AB167" s="28" t="str">
        <x:v>The Art &amp; Science of Foodpairing.pdf: 232</x:v>
      </x:c>
      <x:c r="AC167" s="28" t="str">
        <x:v>Ингредиент «peach» указан на странице профиля/сетки сочетаний «Boiled carrot».</x:v>
      </x:c>
      <x:c r="AD167" s="28" t="n">
        <x:v>1</x:v>
      </x:c>
      <x:c r="AE167" s="28" t="n">
        <x:v>1</x:v>
      </x:c>
      <x:c r="AF167" s="28" t="n">
        <x:f>IF(Z167="Высокая",3,IF(Z167="Средняя",2,1))+AD167*2+MIN(AE167,3)</x:f>
        <x:v>5</x:v>
      </x:c>
    </x:row>
    <x:row r="168" ht="62" customHeight="1">
      <x:c r="A168" s="28" t="str">
        <x:v>STN-0167</x:v>
      </x:c>
      <x:c r="B168" s="28" t="str">
        <x:v>персик</x:v>
      </x:c>
      <x:c r="C168" s="28" t="str">
        <x:v>Десерты и выпечка</x:v>
      </x:c>
      <x:c r="D168" s="28" t="str">
        <x:v>персик</x:v>
      </x:c>
      <x:c r="E168" s="28" t="str">
        <x:v>peach</x:v>
      </x:c>
      <x:c r="F168" s="28" t="str">
        <x:v>Косточковые фрукты</x:v>
      </x:c>
      <x:c r="G168" s="28" t="str">
        <x:v>отварная паста</x:v>
      </x:c>
      <x:c r="H168" s="28" t="str">
        <x:v>cooked pasta</x:v>
      </x:c>
      <x:c r="I168" s="28" t="str">
        <x:v>Злаки и выпечка</x:v>
      </x:c>
      <x:c r="J168" s="28" t="str">
        <x:v>сливочный, персиковый, кокосово-лактонный, цветочный, зелёный</x:v>
      </x:c>
      <x:c r="K168" s="28" t="str">
        <x:v>хлебный, зерновой, жареный, сливочный</x:v>
      </x:c>
      <x:c r="L168" s="28" t="str">
        <x:v>γ- и δ-декалактон, γ- и δ-додекалактон, линалоол, бензальдегид, гексаналь, цис-3-гексенол</x:v>
      </x:c>
      <x:c r="M168" s="28" t="str">
        <x:v>пиразины, фураны, мальтол, продукты Майяра</x:v>
      </x:c>
      <x:c r="N168" s="28" t="str">
        <x:v>сливочный</x:v>
      </x:c>
      <x:c r="O168" s="28" t="str">
        <x:v>надёжный единичный общий маркер не подтверждён; механизм не сводится к одной молекуле</x:v>
      </x:c>
      <x:c r="P168" s="28" t="str">
        <x:v>комплементарность ароматических семейств, вкусовой контраст и матричный эффект</x:v>
      </x:c>
      <x:c r="Q168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</x:v>
      </x:c>
      <x:c r="R168" s="28" t="str">
        <x:v>обычно слабый; кислота даёт свежесть; партнёр: нет выраженного</x:v>
      </x:c>
      <x:c r="S168" s="28" t="str">
        <x:v>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</x:v>
      </x:c>
      <x:c r="T16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6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паста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6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68" s="28" t="str">
        <x:v>сливочное масло, ваниль или орех</x:v>
      </x:c>
      <x:c r="X168" s="28" t="str">
        <x:v>тарт, крем, мороженое, выпечка, сырная подача или начинка</x:v>
      </x:c>
      <x:c r="Y168" s="28" t="str">
        <x:v>десерты; еда</x:v>
      </x:c>
      <x:c r="Z168" s="28" t="str">
        <x:v>Средняя</x:v>
      </x:c>
      <x:c r="AA168" s="28" t="str">
        <x:v>The Art &amp; Science of Foodpairing.pdf</x:v>
      </x:c>
      <x:c r="AB168" s="28" t="str">
        <x:v>The Art &amp; Science of Foodpairing.pdf: 260–261</x:v>
      </x:c>
      <x:c r="AC168" s="28" t="str">
        <x:v>Ingredient pairings with peach and nectarine: cooked pasta.</x:v>
      </x:c>
      <x:c r="AD168" s="28" t="n">
        <x:v>1</x:v>
      </x:c>
      <x:c r="AE168" s="28" t="n">
        <x:v>1</x:v>
      </x:c>
      <x:c r="AF168" s="28" t="n">
        <x:f>IF(Z168="Высокая",3,IF(Z168="Средняя",2,1))+AD168*2+MIN(AE168,3)</x:f>
        <x:v>5</x:v>
      </x:c>
    </x:row>
    <x:row r="169" ht="62" customHeight="1">
      <x:c r="A169" s="28" t="str">
        <x:v>STN-0168</x:v>
      </x:c>
      <x:c r="B169" s="28" t="str">
        <x:v>персик</x:v>
      </x:c>
      <x:c r="C169" s="28" t="str">
        <x:v>Десерты и выпечка</x:v>
      </x:c>
      <x:c r="D169" s="28" t="str">
        <x:v>персик</x:v>
      </x:c>
      <x:c r="E169" s="28" t="str">
        <x:v>peach</x:v>
      </x:c>
      <x:c r="F169" s="28" t="str">
        <x:v>Косточковые фрукты</x:v>
      </x:c>
      <x:c r="G169" s="28" t="str">
        <x:v>отварная полба</x:v>
      </x:c>
      <x:c r="H169" s="28" t="str">
        <x:v>cooked spelt</x:v>
      </x:c>
      <x:c r="I169" s="28" t="str">
        <x:v>Злаки и выпечка</x:v>
      </x:c>
      <x:c r="J169" s="28" t="str">
        <x:v>сливочный, персиковый, кокосово-лактонный, цветочный, зелёный</x:v>
      </x:c>
      <x:c r="K169" s="28" t="str">
        <x:v>хлебный, зерновой, жареный, сливочный</x:v>
      </x:c>
      <x:c r="L169" s="28" t="str">
        <x:v>γ- и δ-декалактон, γ- и δ-додекалактон, линалоол, бензальдегид, гексаналь, цис-3-гексенол</x:v>
      </x:c>
      <x:c r="M169" s="28" t="str">
        <x:v>пиразины, фураны, мальтол, продукты Майяра</x:v>
      </x:c>
      <x:c r="N169" s="28" t="str">
        <x:v>сливочный</x:v>
      </x:c>
      <x:c r="O169" s="28" t="str">
        <x:v>надёжный единичный общий маркер не подтверждён; механизм не сводится к одной молекуле</x:v>
      </x:c>
      <x:c r="P169" s="28" t="str">
        <x:v>комплементарность ароматических семейств, вкусовой контраст и матричный эффект</x:v>
      </x:c>
      <x:c r="Q169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</x:v>
      </x:c>
      <x:c r="R169" s="28" t="str">
        <x:v>обычно слабый; кислота даёт свежесть; партнёр: нет выраженного</x:v>
      </x:c>
      <x:c r="S169" s="28" t="str">
        <x:v>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</x:v>
      </x:c>
      <x:c r="T16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6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полба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6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69" s="28" t="str">
        <x:v>сливочное масло, ваниль или орех</x:v>
      </x:c>
      <x:c r="X169" s="28" t="str">
        <x:v>тарт, крем, мороженое, выпечка, сырная подача или начинка</x:v>
      </x:c>
      <x:c r="Y169" s="28" t="str">
        <x:v>десерты; еда</x:v>
      </x:c>
      <x:c r="Z169" s="28" t="str">
        <x:v>Средняя</x:v>
      </x:c>
      <x:c r="AA169" s="28" t="str">
        <x:v>The Art &amp; Science of Foodpairing.pdf</x:v>
      </x:c>
      <x:c r="AB169" s="28" t="str">
        <x:v>The Art &amp; Science of Foodpairing.pdf: 260–261</x:v>
      </x:c>
      <x:c r="AC169" s="28" t="str">
        <x:v>Ingredient pairings with peach and nectarine: cooked spelt.</x:v>
      </x:c>
      <x:c r="AD169" s="28" t="n">
        <x:v>1</x:v>
      </x:c>
      <x:c r="AE169" s="28" t="n">
        <x:v>1</x:v>
      </x:c>
      <x:c r="AF169" s="28" t="n">
        <x:f>IF(Z169="Высокая",3,IF(Z169="Средняя",2,1))+AD169*2+MIN(AE169,3)</x:f>
        <x:v>5</x:v>
      </x:c>
    </x:row>
    <x:row r="170" ht="62" customHeight="1">
      <x:c r="A170" s="28" t="str">
        <x:v>STN-0169</x:v>
      </x:c>
      <x:c r="B170" s="28" t="str">
        <x:v>персик</x:v>
      </x:c>
      <x:c r="C170" s="28" t="str">
        <x:v>Еда и соусы</x:v>
      </x:c>
      <x:c r="D170" s="28" t="str">
        <x:v>персик</x:v>
      </x:c>
      <x:c r="E170" s="28" t="str">
        <x:v>peach</x:v>
      </x:c>
      <x:c r="F170" s="28" t="str">
        <x:v>Косточковые фрукты</x:v>
      </x:c>
      <x:c r="G170" s="28" t="str">
        <x:v>отварная стручковая фасоль</x:v>
      </x:c>
      <x:c r="H170" s="28" t="str">
        <x:v>boiled green beans</x:v>
      </x:c>
      <x:c r="I170" s="28" t="str">
        <x:v>Овощи и корнеплоды</x:v>
      </x:c>
      <x:c r="J170" s="28" t="str">
        <x:v>сливочный, персиковый, кокосово-лактонный, цветочный, зелёный</x:v>
      </x:c>
      <x:c r="K170" s="28" t="str">
        <x:v>зелёный, землистый, сладковатый или сернистый</x:v>
      </x:c>
      <x:c r="L170" s="28" t="str">
        <x:v>γ- и δ-декалактон, γ- и δ-додекалактон, линалоол, бензальдегид, гексаналь, цис-3-гексенол</x:v>
      </x:c>
      <x:c r="M170" s="28" t="str">
        <x:v>C6-альдегиды, метоксипиразины, терпены, сернистые соединения</x:v>
      </x:c>
      <x:c r="N170" s="28" t="str">
        <x:v>зелёный</x:v>
      </x:c>
      <x:c r="O170" s="28" t="str">
        <x:v>надёжный единичный общий маркер не подтверждён; механизм не сводится к одной молекуле</x:v>
      </x:c>
      <x:c r="P170" s="28" t="str">
        <x:v>комплементарность ароматических семейств, вкусовой контраст и матричный эффект</x:v>
      </x:c>
      <x:c r="Q170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</x:v>
      </x:c>
      <x:c r="R170" s="28" t="str">
        <x:v>обычно слабый; кислота даёт свежесть; партнёр: зависит от продукта</x:v>
      </x:c>
      <x:c r="S170" s="28" t="str">
        <x:v>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</x:v>
      </x:c>
      <x:c r="T17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7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стручковая фасоль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7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70" s="28" t="str">
        <x:v>мёд, травы или уксус</x:v>
      </x:c>
      <x:c r="X170" s="28" t="str">
        <x:v>соус, глазировка, чатни, маринад, гарнир или основное блюдо</x:v>
      </x:c>
      <x:c r="Y170" s="28" t="str">
        <x:v>еда; соусы/маринады</x:v>
      </x:c>
      <x:c r="Z170" s="28" t="str">
        <x:v>Средняя</x:v>
      </x:c>
      <x:c r="AA170" s="28" t="str">
        <x:v>The Art &amp; Science of Foodpairing.pdf</x:v>
      </x:c>
      <x:c r="AB170" s="28" t="str">
        <x:v>The Art &amp; Science of Foodpairing.pdf: 260–261</x:v>
      </x:c>
      <x:c r="AC170" s="28" t="str">
        <x:v>Ingredient pairings with peach and nectarine: boiled green beans.</x:v>
      </x:c>
      <x:c r="AD170" s="28" t="n">
        <x:v>1</x:v>
      </x:c>
      <x:c r="AE170" s="28" t="n">
        <x:v>1</x:v>
      </x:c>
      <x:c r="AF170" s="28" t="n">
        <x:f>IF(Z170="Высокая",3,IF(Z170="Средняя",2,1))+AD170*2+MIN(AE170,3)</x:f>
        <x:v>5</x:v>
      </x:c>
    </x:row>
    <x:row r="171" ht="62" customHeight="1">
      <x:c r="A171" s="28" t="str">
        <x:v>STN-0170</x:v>
      </x:c>
      <x:c r="B171" s="28" t="str">
        <x:v>персик</x:v>
      </x:c>
      <x:c r="C171" s="28" t="str">
        <x:v>Еда и соусы</x:v>
      </x:c>
      <x:c r="D171" s="28" t="str">
        <x:v>персик</x:v>
      </x:c>
      <x:c r="E171" s="28" t="str">
        <x:v>peach</x:v>
      </x:c>
      <x:c r="F171" s="28" t="str">
        <x:v>Косточковые фрукты</x:v>
      </x:c>
      <x:c r="G171" s="28" t="str">
        <x:v>отварная тыква</x:v>
      </x:c>
      <x:c r="H171" s="28" t="str">
        <x:v>boiled pumpkin</x:v>
      </x:c>
      <x:c r="I171" s="28" t="str">
        <x:v>Овощи и корнеплоды</x:v>
      </x:c>
      <x:c r="J171" s="28" t="str">
        <x:v>сливочный, персиковый, кокосово-лактонный, цветочный, зелёный</x:v>
      </x:c>
      <x:c r="K171" s="28" t="str">
        <x:v>зелёный, землистый, сладковатый или сернистый</x:v>
      </x:c>
      <x:c r="L171" s="28" t="str">
        <x:v>γ- и δ-декалактон, γ- и δ-додекалактон, линалоол, бензальдегид, гексаналь, цис-3-гексенол</x:v>
      </x:c>
      <x:c r="M171" s="28" t="str">
        <x:v>C6-альдегиды, метоксипиразины, терпены, сернистые соединения</x:v>
      </x:c>
      <x:c r="N171" s="28" t="str">
        <x:v>зелёный</x:v>
      </x:c>
      <x:c r="O171" s="28" t="str">
        <x:v>надёжный единичный общий маркер не подтверждён; механизм не сводится к одной молекуле</x:v>
      </x:c>
      <x:c r="P171" s="28" t="str">
        <x:v>комплементарность ароматических семейств, вкусовой контраст и матричный эффект</x:v>
      </x:c>
      <x:c r="Q171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</x:v>
      </x:c>
      <x:c r="R171" s="28" t="str">
        <x:v>обычно слабый; кислота даёт свежесть; партнёр: зависит от продукта</x:v>
      </x:c>
      <x:c r="S171" s="28" t="str">
        <x:v>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</x:v>
      </x:c>
      <x:c r="T17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7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тыква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7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71" s="28" t="str">
        <x:v>мёд, травы или уксус</x:v>
      </x:c>
      <x:c r="X171" s="28" t="str">
        <x:v>соус, глазировка, чатни, маринад, гарнир или основное блюдо</x:v>
      </x:c>
      <x:c r="Y171" s="28" t="str">
        <x:v>еда; соусы/маринады</x:v>
      </x:c>
      <x:c r="Z171" s="28" t="str">
        <x:v>Средняя</x:v>
      </x:c>
      <x:c r="AA171" s="28" t="str">
        <x:v>The Art &amp; Science of Foodpairing.pdf</x:v>
      </x:c>
      <x:c r="AB171" s="28" t="str">
        <x:v>The Art &amp; Science of Foodpairing.pdf: 260–261</x:v>
      </x:c>
      <x:c r="AC171" s="28" t="str">
        <x:v>Ingredient pairings with peach and nectarine: boiled pumpkin.</x:v>
      </x:c>
      <x:c r="AD171" s="28" t="n">
        <x:v>1</x:v>
      </x:c>
      <x:c r="AE171" s="28" t="n">
        <x:v>1</x:v>
      </x:c>
      <x:c r="AF171" s="28" t="n">
        <x:f>IF(Z171="Высокая",3,IF(Z171="Средняя",2,1))+AD171*2+MIN(AE171,3)</x:f>
        <x:v>5</x:v>
      </x:c>
    </x:row>
    <x:row r="172" ht="62" customHeight="1">
      <x:c r="A172" s="28" t="str">
        <x:v>STN-0171</x:v>
      </x:c>
      <x:c r="B172" s="28" t="str">
        <x:v>персик</x:v>
      </x:c>
      <x:c r="C172" s="28" t="str">
        <x:v>Еда и соусы</x:v>
      </x:c>
      <x:c r="D172" s="28" t="str">
        <x:v>персик</x:v>
      </x:c>
      <x:c r="E172" s="28" t="str">
        <x:v>peach</x:v>
      </x:c>
      <x:c r="F172" s="28" t="str">
        <x:v>Косточковые фрукты</x:v>
      </x:c>
      <x:c r="G172" s="28" t="str">
        <x:v>отварное мясо бурого краба</x:v>
      </x:c>
      <x:c r="H172" s="28" t="str">
        <x:v>boiled brown crab meat</x:v>
      </x:c>
      <x:c r="I172" s="28" t="str">
        <x:v>Мясо и птица</x:v>
      </x:c>
      <x:c r="J172" s="28" t="str">
        <x:v>сливочный, персиковый, кокосово-лактонный, цветочный, зелёный</x:v>
      </x:c>
      <x:c r="K172" s="28" t="str">
        <x:v>жареный, мясной, жирный, иногда копчёный и пряный</x:v>
      </x:c>
      <x:c r="L172" s="28" t="str">
        <x:v>γ- и δ-декалактон, γ- и δ-додекалактон, линалоол, бензальдегид, гексаналь, цис-3-гексенол</x:v>
      </x:c>
      <x:c r="M172" s="28" t="str">
        <x:v>пиразины, фураны, сернистые соединения, продукты Майяра, жирные альдегиды</x:v>
      </x:c>
      <x:c r="N172" s="28" t="str">
        <x:v>прямое семейное перекрытие не является главным механизмом</x:v>
      </x:c>
      <x:c r="O172" s="28" t="str">
        <x:v>надёжный единичный общий маркер не подтверждён; механизм не сводится к одной молекуле</x:v>
      </x:c>
      <x:c r="P172" s="28" t="str">
        <x:v>комплементарность ароматических семейств, вкусовой контраст и матричный эффект</x:v>
      </x:c>
      <x:c r="Q172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172" s="28" t="str">
        <x:v>обычно слабый; кислота даёт свежесть; партнёр: тепловой/пряный зависит от обработки</x:v>
      </x:c>
      <x:c r="S172" s="28" t="str">
        <x:v>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</x:v>
      </x:c>
      <x:c r="T172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U17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Отварное мясо бурого краба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V172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W172" s="28" t="str">
        <x:v>розмарин, горчица или хересный уксус</x:v>
      </x:c>
      <x:c r="X172" s="28" t="str">
        <x:v>соус, глазировка, чатни, маринад, гарнир или основное блюдо</x:v>
      </x:c>
      <x:c r="Y172" s="28" t="str">
        <x:v>еда; соусы/маринады</x:v>
      </x:c>
      <x:c r="Z172" s="28" t="str">
        <x:v>Средняя</x:v>
      </x:c>
      <x:c r="AA172" s="28" t="str">
        <x:v>The Art &amp; Science of Foodpairing.pdf</x:v>
      </x:c>
      <x:c r="AB172" s="28" t="str">
        <x:v>The Art &amp; Science of Foodpairing.pdf: 260–261</x:v>
      </x:c>
      <x:c r="AC172" s="28" t="str">
        <x:v>Ingredient pairings with peach and nectarine: boiled brown crab meat.</x:v>
      </x:c>
      <x:c r="AD172" s="28" t="n">
        <x:v>1</x:v>
      </x:c>
      <x:c r="AE172" s="28" t="n">
        <x:v>1</x:v>
      </x:c>
      <x:c r="AF172" s="28" t="n">
        <x:f>IF(Z172="Высокая",3,IF(Z172="Средняя",2,1))+AD172*2+MIN(AE172,3)</x:f>
        <x:v>5</x:v>
      </x:c>
    </x:row>
    <x:row r="173" ht="62" customHeight="1">
      <x:c r="A173" s="28" t="str">
        <x:v>STN-0172</x:v>
      </x:c>
      <x:c r="B173" s="28" t="str">
        <x:v>персик</x:v>
      </x:c>
      <x:c r="C173" s="28" t="str">
        <x:v>Универсальные</x:v>
      </x:c>
      <x:c r="D173" s="28" t="str">
        <x:v>персик</x:v>
      </x:c>
      <x:c r="E173" s="28" t="str">
        <x:v>peach</x:v>
      </x:c>
      <x:c r="F173" s="28" t="str">
        <x:v>Косточковые фрукты</x:v>
      </x:c>
      <x:c r="G173" s="28" t="str">
        <x:v>отварной broccoli</x:v>
      </x:c>
      <x:c r="H173" s="28" t="str">
        <x:v>boiled broccoli</x:v>
      </x:c>
      <x:c r="I173" s="28" t="str">
        <x:v>Прочее</x:v>
      </x:c>
      <x:c r="J173" s="28" t="str">
        <x:v>сливочный, персиковый, кокосово-лактонный, цветочный, зелёный</x:v>
      </x:c>
      <x:c r="K173" s="28" t="str">
        <x:v>комплексный</x:v>
      </x:c>
      <x:c r="L173" s="28" t="str">
        <x:v>γ- и δ-декалактон, γ- и δ-додекалактон, линалоол, бензальдегид, гексаналь, цис-3-гексенол</x:v>
      </x:c>
      <x:c r="M173" s="28" t="str">
        <x:v>не конкретизированы</x:v>
      </x:c>
      <x:c r="N173" s="28" t="str">
        <x:v>прямое семейное перекрытие не является главным механизмом</x:v>
      </x:c>
      <x:c r="O173" s="28" t="str">
        <x:v>надёжный единичный общий маркер не подтверждён; механизм не сводится к одной молекуле</x:v>
      </x:c>
      <x:c r="P173" s="28" t="str">
        <x:v>комплементарность ароматических семейств, вкусовой контраст и матричный эффект</x:v>
      </x:c>
      <x:c r="Q173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</x:v>
      </x:c>
      <x:c r="R173" s="28" t="str">
        <x:v>обычно слабый; кислота даёт свежесть; партнёр: обычно отсутствует; зависит от конкретного продукта</x:v>
      </x:c>
      <x:c r="S173" s="28" t="str">
        <x:v>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</x:v>
      </x:c>
      <x:c r="T17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17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broccoli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17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73" s="28" t="str">
        <x:v>мёд, цитрус или нейтральная жировая основа</x:v>
      </x:c>
      <x:c r="X173" s="28" t="str">
        <x:v>напиток, соус, десерт или горячее блюдо после пробной дегустации</x:v>
      </x:c>
      <x:c r="Y173" s="28" t="str">
        <x:v>напитки; еда; десерты; соусы/маринады</x:v>
      </x:c>
      <x:c r="Z173" s="28" t="str">
        <x:v>Средняя</x:v>
      </x:c>
      <x:c r="AA173" s="28" t="str">
        <x:v>The Art &amp; Science of Foodpairing.pdf</x:v>
      </x:c>
      <x:c r="AB173" s="28" t="str">
        <x:v>The Art &amp; Science of Foodpairing.pdf: 260–261</x:v>
      </x:c>
      <x:c r="AC173" s="28" t="str">
        <x:v>Ingredient pairings with peach and nectarine: boiled broccoli.</x:v>
      </x:c>
      <x:c r="AD173" s="28" t="n">
        <x:v>1</x:v>
      </x:c>
      <x:c r="AE173" s="28" t="n">
        <x:v>1</x:v>
      </x:c>
      <x:c r="AF173" s="28" t="n">
        <x:f>IF(Z173="Высокая",3,IF(Z173="Средняя",2,1))+AD173*2+MIN(AE173,3)</x:f>
        <x:v>5</x:v>
      </x:c>
    </x:row>
    <x:row r="174" ht="62" customHeight="1">
      <x:c r="A174" s="28" t="str">
        <x:v>STN-0173</x:v>
      </x:c>
      <x:c r="B174" s="28" t="str">
        <x:v>персик</x:v>
      </x:c>
      <x:c r="C174" s="28" t="str">
        <x:v>Еда и соусы</x:v>
      </x:c>
      <x:c r="D174" s="28" t="str">
        <x:v>персик</x:v>
      </x:c>
      <x:c r="E174" s="28" t="str">
        <x:v>peach</x:v>
      </x:c>
      <x:c r="F174" s="28" t="str">
        <x:v>Косточковые фрукты</x:v>
      </x:c>
      <x:c r="G174" s="28" t="str">
        <x:v>отварной голубой краб</x:v>
      </x:c>
      <x:c r="H174" s="28" t="str">
        <x:v>boiled blue crab</x:v>
      </x:c>
      <x:c r="I174" s="28" t="str">
        <x:v>Рыба и морепродукты</x:v>
      </x:c>
      <x:c r="J174" s="28" t="str">
        <x:v>сливочный, персиковый, кокосово-лактонный, цветочный, зелёный</x:v>
      </x:c>
      <x:c r="K174" s="28" t="str">
        <x:v>морской, солёный, умами, иногда йодистый и жареный</x:v>
      </x:c>
      <x:c r="L174" s="28" t="str">
        <x:v>γ- и δ-декалактон, γ- и δ-додекалактон, линалоол, бензальдегид, гексаналь, цис-3-гексенол</x:v>
      </x:c>
      <x:c r="M174" s="28" t="str">
        <x:v>амины, бромфенолы, альдегиды жирных кислот, сернистые соединения</x:v>
      </x:c>
      <x:c r="N174" s="28" t="str">
        <x:v>прямое семейное перекрытие не является главным механизмом</x:v>
      </x:c>
      <x:c r="O174" s="28" t="str">
        <x:v>надёжный единичный общий маркер не подтверждён; механизм не сводится к одной молекуле</x:v>
      </x:c>
      <x:c r="P174" s="28" t="str">
        <x:v>комплементарность ароматических семейств, вкусовой контраст и матричный эффект</x:v>
      </x:c>
      <x:c r="Q174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174" s="28" t="str">
        <x:v>обычно слабый; кислота даёт свежесть; партнёр: нет выраженного</x:v>
      </x:c>
      <x:c r="S174" s="28" t="str">
        <x:v>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</x:v>
      </x:c>
      <x:c r="T17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7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голубой краб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74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W174" s="28" t="str">
        <x:v>цитрус, укроп или оливковое масло</x:v>
      </x:c>
      <x:c r="X174" s="28" t="str">
        <x:v>соус, глазировка, чатни, маринад, гарнир или основное блюдо</x:v>
      </x:c>
      <x:c r="Y174" s="28" t="str">
        <x:v>еда; соусы/маринады</x:v>
      </x:c>
      <x:c r="Z174" s="28" t="str">
        <x:v>Средняя</x:v>
      </x:c>
      <x:c r="AA174" s="28" t="str">
        <x:v>The Art &amp; Science of Foodpairing.pdf</x:v>
      </x:c>
      <x:c r="AB174" s="28" t="str">
        <x:v>The Art &amp; Science of Foodpairing.pdf: 260–261</x:v>
      </x:c>
      <x:c r="AC174" s="28" t="str">
        <x:v>Ingredient pairings with peach and nectarine: boiled blue crab.</x:v>
      </x:c>
      <x:c r="AD174" s="28" t="n">
        <x:v>1</x:v>
      </x:c>
      <x:c r="AE174" s="28" t="n">
        <x:v>1</x:v>
      </x:c>
      <x:c r="AF174" s="28" t="n">
        <x:f>IF(Z174="Высокая",3,IF(Z174="Средняя",2,1))+AD174*2+MIN(AE174,3)</x:f>
        <x:v>5</x:v>
      </x:c>
    </x:row>
    <x:row r="175" ht="62" customHeight="1">
      <x:c r="A175" s="28" t="str">
        <x:v>STN-0174</x:v>
      </x:c>
      <x:c r="B175" s="28" t="str">
        <x:v>персик</x:v>
      </x:c>
      <x:c r="C175" s="28" t="str">
        <x:v>Еда и соусы</x:v>
      </x:c>
      <x:c r="D175" s="28" t="str">
        <x:v>персик</x:v>
      </x:c>
      <x:c r="E175" s="28" t="str">
        <x:v>peach</x:v>
      </x:c>
      <x:c r="F175" s="28" t="str">
        <x:v>Косточковые фрукты</x:v>
      </x:c>
      <x:c r="G175" s="28" t="str">
        <x:v>отварной лангустин</x:v>
      </x:c>
      <x:c r="H175" s="28" t="str">
        <x:v>Boiled langoustine</x:v>
      </x:c>
      <x:c r="I175" s="28" t="str">
        <x:v>Рыба и морепродукты</x:v>
      </x:c>
      <x:c r="J175" s="28" t="str">
        <x:v>сливочный, персиковый, кокосово-лактонный, цветочный, зелёный</x:v>
      </x:c>
      <x:c r="K175" s="28" t="str">
        <x:v>морской, солёный, умами, иногда йодистый и жареный</x:v>
      </x:c>
      <x:c r="L175" s="28" t="str">
        <x:v>γ- и δ-декалактон, γ- и δ-додекалактон, линалоол, бензальдегид, гексаналь, цис-3-гексенол</x:v>
      </x:c>
      <x:c r="M175" s="28" t="str">
        <x:v>амины, бромфенолы, альдегиды жирных кислот, сернистые соединения</x:v>
      </x:c>
      <x:c r="N175" s="28" t="str">
        <x:v>прямое семейное перекрытие не является главным механизмом</x:v>
      </x:c>
      <x:c r="O175" s="28" t="str">
        <x:v>надёжный единичный общий маркер не подтверждён; механизм не сводится к одной молекуле</x:v>
      </x:c>
      <x:c r="P175" s="28" t="str">
        <x:v>комплементарность ароматических семейств, вкусовой контраст и матричный эффект</x:v>
      </x:c>
      <x:c r="Q175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175" s="28" t="str">
        <x:v>обычно слабый; кислота даёт свежесть; партнёр: нет выраженного</x:v>
      </x:c>
      <x:c r="S175" s="28" t="str">
        <x:v>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</x:v>
      </x:c>
      <x:c r="T17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7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лангустин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75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W175" s="28" t="str">
        <x:v>цитрус, укроп или оливковое масло</x:v>
      </x:c>
      <x:c r="X175" s="28" t="str">
        <x:v>соус, глазировка, чатни, маринад, гарнир или основное блюдо</x:v>
      </x:c>
      <x:c r="Y175" s="28" t="str">
        <x:v>еда; соусы/маринады</x:v>
      </x:c>
      <x:c r="Z175" s="28" t="str">
        <x:v>Средняя</x:v>
      </x:c>
      <x:c r="AA175" s="28" t="str">
        <x:v>The Art &amp; Science of Foodpairing.pdf</x:v>
      </x:c>
      <x:c r="AB175" s="28" t="str">
        <x:v>The Art &amp; Science of Foodpairing.pdf: 153</x:v>
      </x:c>
      <x:c r="AC175" s="28" t="str">
        <x:v>Ингредиент «peach» указан на странице профиля/сетки сочетаний «Boiled langoustine».</x:v>
      </x:c>
      <x:c r="AD175" s="28" t="n">
        <x:v>1</x:v>
      </x:c>
      <x:c r="AE175" s="28" t="n">
        <x:v>1</x:v>
      </x:c>
      <x:c r="AF175" s="28" t="n">
        <x:f>IF(Z175="Высокая",3,IF(Z175="Средняя",2,1))+AD175*2+MIN(AE175,3)</x:f>
        <x:v>5</x:v>
      </x:c>
    </x:row>
    <x:row r="176" ht="62" customHeight="1">
      <x:c r="A176" s="28" t="str">
        <x:v>STN-0175</x:v>
      </x:c>
      <x:c r="B176" s="28" t="str">
        <x:v>персик</x:v>
      </x:c>
      <x:c r="C176" s="28" t="str">
        <x:v>Десерты и выпечка</x:v>
      </x:c>
      <x:c r="D176" s="28" t="str">
        <x:v>персик</x:v>
      </x:c>
      <x:c r="E176" s="28" t="str">
        <x:v>peach</x:v>
      </x:c>
      <x:c r="F176" s="28" t="str">
        <x:v>Косточковые фрукты</x:v>
      </x:c>
      <x:c r="G176" s="28" t="str">
        <x:v>отварной рис басмати</x:v>
      </x:c>
      <x:c r="H176" s="28" t="str">
        <x:v>cooked basmati rice</x:v>
      </x:c>
      <x:c r="I176" s="28" t="str">
        <x:v>Злаки и выпечка</x:v>
      </x:c>
      <x:c r="J176" s="28" t="str">
        <x:v>сливочный, персиковый, кокосово-лактонный, цветочный, зелёный</x:v>
      </x:c>
      <x:c r="K176" s="28" t="str">
        <x:v>хлебный, зерновой, жареный, сливочный</x:v>
      </x:c>
      <x:c r="L176" s="28" t="str">
        <x:v>γ- и δ-декалактон, γ- и δ-додекалактон, линалоол, бензальдегид, гексаналь, цис-3-гексенол</x:v>
      </x:c>
      <x:c r="M176" s="28" t="str">
        <x:v>пиразины, фураны, мальтол, продукты Майяра</x:v>
      </x:c>
      <x:c r="N176" s="28" t="str">
        <x:v>сливочный</x:v>
      </x:c>
      <x:c r="O176" s="28" t="str">
        <x:v>надёжный единичный общий маркер не подтверждён; механизм не сводится к одной молекуле</x:v>
      </x:c>
      <x:c r="P176" s="28" t="str">
        <x:v>комплементарность ароматических семейств, вкусовой контраст и матричный эффект</x:v>
      </x:c>
      <x:c r="Q176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</x:v>
      </x:c>
      <x:c r="R176" s="28" t="str">
        <x:v>обычно слабый; кислота даёт свежесть; партнёр: нет выраженного</x:v>
      </x:c>
      <x:c r="S176" s="28" t="str">
        <x:v>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</x:v>
      </x:c>
      <x:c r="T17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7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рис басмати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7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76" s="28" t="str">
        <x:v>сливочное масло, ваниль или орех</x:v>
      </x:c>
      <x:c r="X176" s="28" t="str">
        <x:v>тарт, крем, мороженое, выпечка, сырная подача или начинка</x:v>
      </x:c>
      <x:c r="Y176" s="28" t="str">
        <x:v>десерты; еда</x:v>
      </x:c>
      <x:c r="Z176" s="28" t="str">
        <x:v>Средняя</x:v>
      </x:c>
      <x:c r="AA176" s="28" t="str">
        <x:v>The Art &amp; Science of Foodpairing.pdf</x:v>
      </x:c>
      <x:c r="AB176" s="28" t="str">
        <x:v>The Art &amp; Science of Foodpairing.pdf: 260–261</x:v>
      </x:c>
      <x:c r="AC176" s="28" t="str">
        <x:v>Ingredient pairings with peach and nectarine: cooked basmati rice.</x:v>
      </x:c>
      <x:c r="AD176" s="28" t="n">
        <x:v>1</x:v>
      </x:c>
      <x:c r="AE176" s="28" t="n">
        <x:v>1</x:v>
      </x:c>
      <x:c r="AF176" s="28" t="n">
        <x:f>IF(Z176="Высокая",3,IF(Z176="Средняя",2,1))+AD176*2+MIN(AE176,3)</x:f>
        <x:v>5</x:v>
      </x:c>
    </x:row>
    <x:row r="177" ht="62" customHeight="1">
      <x:c r="A177" s="28" t="str">
        <x:v>STN-0176</x:v>
      </x:c>
      <x:c r="B177" s="28" t="str">
        <x:v>персик</x:v>
      </x:c>
      <x:c r="C177" s="28" t="str">
        <x:v>Еда и соусы</x:v>
      </x:c>
      <x:c r="D177" s="28" t="str">
        <x:v>персик</x:v>
      </x:c>
      <x:c r="E177" s="28" t="str">
        <x:v>peach</x:v>
      </x:c>
      <x:c r="F177" s="28" t="str">
        <x:v>Косточковые фрукты</x:v>
      </x:c>
      <x:c r="G177" s="28" t="str">
        <x:v>отварной томатильо</x:v>
      </x:c>
      <x:c r="H177" s="28" t="str">
        <x:v>boiled tomatillo</x:v>
      </x:c>
      <x:c r="I177" s="28" t="str">
        <x:v>Овощи и корнеплоды</x:v>
      </x:c>
      <x:c r="J177" s="28" t="str">
        <x:v>сливочный, персиковый, кокосово-лактонный, цветочный, зелёный</x:v>
      </x:c>
      <x:c r="K177" s="28" t="str">
        <x:v>зелёный, землистый, сладковатый или сернистый</x:v>
      </x:c>
      <x:c r="L177" s="28" t="str">
        <x:v>γ- и δ-декалактон, γ- и δ-додекалактон, линалоол, бензальдегид, гексаналь, цис-3-гексенол</x:v>
      </x:c>
      <x:c r="M177" s="28" t="str">
        <x:v>C6-альдегиды, метоксипиразины, терпены, сернистые соединения</x:v>
      </x:c>
      <x:c r="N177" s="28" t="str">
        <x:v>зелёный</x:v>
      </x:c>
      <x:c r="O177" s="28" t="str">
        <x:v>надёжный единичный общий маркер не подтверждён; механизм не сводится к одной молекуле</x:v>
      </x:c>
      <x:c r="P177" s="28" t="str">
        <x:v>комплементарность ароматических семейств, вкусовой контраст и матричный эффект</x:v>
      </x:c>
      <x:c r="Q177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</x:v>
      </x:c>
      <x:c r="R177" s="28" t="str">
        <x:v>обычно слабый; кислота даёт свежесть; партнёр: зависит от продукта</x:v>
      </x:c>
      <x:c r="S177" s="28" t="str">
        <x:v>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</x:v>
      </x:c>
      <x:c r="T17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7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томатильо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7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77" s="28" t="str">
        <x:v>мёд, травы или уксус</x:v>
      </x:c>
      <x:c r="X177" s="28" t="str">
        <x:v>соус, глазировка, чатни, маринад, гарнир или основное блюдо</x:v>
      </x:c>
      <x:c r="Y177" s="28" t="str">
        <x:v>еда; соусы/маринады</x:v>
      </x:c>
      <x:c r="Z177" s="28" t="str">
        <x:v>Средняя</x:v>
      </x:c>
      <x:c r="AA177" s="28" t="str">
        <x:v>The Art &amp; Science of Foodpairing.pdf</x:v>
      </x:c>
      <x:c r="AB177" s="28" t="str">
        <x:v>The Art &amp; Science of Foodpairing.pdf: 260–261</x:v>
      </x:c>
      <x:c r="AC177" s="28" t="str">
        <x:v>Ingredient pairings with peach and nectarine: boiled tomatillo.</x:v>
      </x:c>
      <x:c r="AD177" s="28" t="n">
        <x:v>1</x:v>
      </x:c>
      <x:c r="AE177" s="28" t="n">
        <x:v>1</x:v>
      </x:c>
      <x:c r="AF177" s="28" t="n">
        <x:f>IF(Z177="Высокая",3,IF(Z177="Средняя",2,1))+AD177*2+MIN(AE177,3)</x:f>
        <x:v>5</x:v>
      </x:c>
    </x:row>
    <x:row r="178" ht="62" customHeight="1">
      <x:c r="A178" s="28" t="str">
        <x:v>STN-0177</x:v>
      </x:c>
      <x:c r="B178" s="28" t="str">
        <x:v>персик</x:v>
      </x:c>
      <x:c r="C178" s="28" t="str">
        <x:v>Еда и соусы</x:v>
      </x:c>
      <x:c r="D178" s="28" t="str">
        <x:v>персик</x:v>
      </x:c>
      <x:c r="E178" s="28" t="str">
        <x:v>peach</x:v>
      </x:c>
      <x:c r="F178" s="28" t="str">
        <x:v>Косточковые фрукты</x:v>
      </x:c>
      <x:c r="G178" s="28" t="str">
        <x:v>отварные бобы</x:v>
      </x:c>
      <x:c r="H178" s="28" t="str">
        <x:v>boiled broad beans</x:v>
      </x:c>
      <x:c r="I178" s="28" t="str">
        <x:v>Овощи и корнеплоды</x:v>
      </x:c>
      <x:c r="J178" s="28" t="str">
        <x:v>сливочный, персиковый, кокосово-лактонный, цветочный, зелёный</x:v>
      </x:c>
      <x:c r="K178" s="28" t="str">
        <x:v>зелёный, землистый, сладковатый или сернистый</x:v>
      </x:c>
      <x:c r="L178" s="28" t="str">
        <x:v>γ- и δ-декалактон, γ- и δ-додекалактон, линалоол, бензальдегид, гексаналь, цис-3-гексенол</x:v>
      </x:c>
      <x:c r="M178" s="28" t="str">
        <x:v>C6-альдегиды, метоксипиразины, терпены, сернистые соединения</x:v>
      </x:c>
      <x:c r="N178" s="28" t="str">
        <x:v>зелёный</x:v>
      </x:c>
      <x:c r="O178" s="28" t="str">
        <x:v>надёжный единичный общий маркер не подтверждён; механизм не сводится к одной молекуле</x:v>
      </x:c>
      <x:c r="P178" s="28" t="str">
        <x:v>комплементарность ароматических семейств, вкусовой контраст и матричный эффект</x:v>
      </x:c>
      <x:c r="Q178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</x:v>
      </x:c>
      <x:c r="R178" s="28" t="str">
        <x:v>обычно слабый; кислота даёт свежесть; партнёр: зависит от продукта</x:v>
      </x:c>
      <x:c r="S178" s="28" t="str">
        <x:v>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</x:v>
      </x:c>
      <x:c r="T17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7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Отварные бобы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7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78" s="28" t="str">
        <x:v>мёд, травы или уксус</x:v>
      </x:c>
      <x:c r="X178" s="28" t="str">
        <x:v>соус, глазировка, чатни, маринад, гарнир или основное блюдо</x:v>
      </x:c>
      <x:c r="Y178" s="28" t="str">
        <x:v>еда; соусы/маринады</x:v>
      </x:c>
      <x:c r="Z178" s="28" t="str">
        <x:v>Средняя</x:v>
      </x:c>
      <x:c r="AA178" s="28" t="str">
        <x:v>The Art &amp; Science of Foodpairing.pdf</x:v>
      </x:c>
      <x:c r="AB178" s="28" t="str">
        <x:v>The Art &amp; Science of Foodpairing.pdf: 260–261</x:v>
      </x:c>
      <x:c r="AC178" s="28" t="str">
        <x:v>Ingredient pairings with peach and nectarine: boiled broad beans.</x:v>
      </x:c>
      <x:c r="AD178" s="28" t="n">
        <x:v>1</x:v>
      </x:c>
      <x:c r="AE178" s="28" t="n">
        <x:v>1</x:v>
      </x:c>
      <x:c r="AF178" s="28" t="n">
        <x:f>IF(Z178="Высокая",3,IF(Z178="Средняя",2,1))+AD178*2+MIN(AE178,3)</x:f>
        <x:v>5</x:v>
      </x:c>
    </x:row>
    <x:row r="179" ht="62" customHeight="1">
      <x:c r="A179" s="28" t="str">
        <x:v>STN-0178</x:v>
      </x:c>
      <x:c r="B179" s="28" t="str">
        <x:v>персик</x:v>
      </x:c>
      <x:c r="C179" s="28" t="str">
        <x:v>Универсальные</x:v>
      </x:c>
      <x:c r="D179" s="28" t="str">
        <x:v>персик</x:v>
      </x:c>
      <x:c r="E179" s="28" t="str">
        <x:v>peach</x:v>
      </x:c>
      <x:c r="F179" s="28" t="str">
        <x:v>Косточковые фрукты</x:v>
      </x:c>
      <x:c r="G179" s="28" t="str">
        <x:v>папайя</x:v>
      </x:c>
      <x:c r="H179" s="28" t="str">
        <x:v>Папайя</x:v>
      </x:c>
      <x:c r="I179" s="28" t="str">
        <x:v>Тропические фрукты</x:v>
      </x:c>
      <x:c r="J179" s="28" t="str">
        <x:v>сливочный, персиковый, кокосово-лактонный, цветочный, зелёный</x:v>
      </x:c>
      <x:c r="K179" s="28" t="str">
        <x:v>мягкий тропический, цветочный, мускусный и слегка зелёный</x:v>
      </x:c>
      <x:c r="L179" s="28" t="str">
        <x:v>γ- и δ-декалактон, γ- и δ-додекалактон, линалоол, бензальдегид, гексаналь, цис-3-гексенол</x:v>
      </x:c>
      <x:c r="M179" s="28" t="str">
        <x:v>линалоол, бензилацетат, этилбутират, метилбутират; в семенах и незрелом плоде — бензилизотиоцианат</x:v>
      </x:c>
      <x:c r="N179" s="28" t="str">
        <x:v>цветочный, зелёный</x:v>
      </x:c>
      <x:c r="O179" s="28" t="str">
        <x:v>линалоол</x:v>
      </x:c>
      <x:c r="P179" s="28" t="str">
        <x:v>прямое или классовое перекрытие характерных одорантов + вкусовой баланс</x:v>
      </x:c>
      <x:c r="Q179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умеренная сладость, низкая кислотность; незрелый плод нейтральнее. Баланс корректируется сахаром, кислотой, солью и горечью.</x:v>
      </x:c>
      <x:c r="R179" s="28" t="str">
        <x:v>обычно слабый; кислота даёт свежесть; партнёр: кислотное покалывание зависит от плода; специальные эффекты указаны в паспорте</x:v>
      </x:c>
      <x:c r="S179" s="28" t="str">
        <x:v>сочная пектиновая мякоть; кожица несёт зелёные и цветочные ноты; лактоны хорошо удерживаются жиром и этанолом. Партнёр: мягкая водная мякоть; содержит протеазу папаин.</x:v>
      </x:c>
      <x:c r="T17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перезрелая папайя может казаться мускусной; папаин размягчает белки при длительном контакте.</x:v>
      </x:c>
      <x:c r="U17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Папайя относится к группе «Тропические фрукты» и даёт профиль «мягкий тропический, цветочный, мускусный и слегка зелёный»; типичные соединения или классы: линалоол, бензилацетат, этилбутират, метилбутират; в семенах и незрелом плоде — бензилизотиоцианат.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умеренная сладость, низкая кислотность; незрелый плод нейтральнее.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мягкая водная мякоть; содержит протеазу папаин.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перезрелая папайя может казаться мускусной; папаин размягчает белки при длительном контакте.</x:v>
      </x:c>
      <x:c r="V17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79" s="28" t="str">
        <x:v>мёд, цитрус или нейтральная жировая основа</x:v>
      </x:c>
      <x:c r="X179" s="28" t="str">
        <x:v>напиток, соус, десерт или горячее блюдо после пробной дегустации</x:v>
      </x:c>
      <x:c r="Y179" s="28" t="str">
        <x:v>напитки; еда; десерты; соусы/маринады</x:v>
      </x:c>
      <x:c r="Z179" s="28" t="str">
        <x:v>Гипотеза / практическая</x:v>
      </x:c>
      <x:c r="AA179" s="28" t="str">
        <x:v>Таблица сочетания(1).pdf</x:v>
      </x:c>
      <x:c r="AB179" s="28" t="str">
        <x:v>Таблица сочетания(1).pdf: Таблица сочетаний: 15 | Таблица сочетания(1).pdf: 15</x:v>
      </x:c>
      <x:c r="AC179" s="28" t="str">
        <x:v>Таблица сочетаний: В строке «Папайя» ингредиент «персик» указан как рекомендуемое сочетание в колонке «Фрукты». Пара указана в строке «Папайя»: «персик» находится в колонке «Фрукты».</x:v>
      </x:c>
      <x:c r="AD179" s="28" t="n">
        <x:v>1</x:v>
      </x:c>
      <x:c r="AE179" s="28" t="n">
        <x:v>2</x:v>
      </x:c>
      <x:c r="AF179" s="28" t="n">
        <x:f>IF(Z179="Высокая",3,IF(Z179="Средняя",2,1))+AD179*2+MIN(AE179,3)</x:f>
        <x:v>5</x:v>
      </x:c>
    </x:row>
    <x:row r="180" ht="62" customHeight="1">
      <x:c r="A180" s="28" t="str">
        <x:v>STN-0179</x:v>
      </x:c>
      <x:c r="B180" s="28" t="str">
        <x:v>персик</x:v>
      </x:c>
      <x:c r="C180" s="28" t="str">
        <x:v>Универсальные</x:v>
      </x:c>
      <x:c r="D180" s="28" t="str">
        <x:v>персик</x:v>
      </x:c>
      <x:c r="E180" s="28" t="str">
        <x:v>peach</x:v>
      </x:c>
      <x:c r="F180" s="28" t="str">
        <x:v>Косточковые фрукты</x:v>
      </x:c>
      <x:c r="G180" s="28" t="str">
        <x:v>пастернак</x:v>
      </x:c>
      <x:c r="H180" s="28" t="str">
        <x:v>parsnip</x:v>
      </x:c>
      <x:c r="I180" s="28" t="str">
        <x:v>Прочее</x:v>
      </x:c>
      <x:c r="J180" s="28" t="str">
        <x:v>сливочный, персиковый, кокосово-лактонный, цветочный, зелёный</x:v>
      </x:c>
      <x:c r="K180" s="28" t="str">
        <x:v>ароматический профиль зависит от конкретного ингредиента</x:v>
      </x:c>
      <x:c r="L180" s="28" t="str">
        <x:v>γ- и δ-декалактон, γ- и δ-додекалактон, линалоол, бензальдегид, гексаналь, цис-3-гексенол</x:v>
      </x:c>
      <x:c r="M180" s="28" t="str">
        <x:v>летучие соединения конкретного продукта</x:v>
      </x:c>
      <x:c r="N180" s="28" t="str">
        <x:v>прямое семейное перекрытие не является главным механизмом</x:v>
      </x:c>
      <x:c r="O180" s="28" t="str">
        <x:v>надёжный единичный общий маркер не подтверждён; механизм не сводится к одной молекуле</x:v>
      </x:c>
      <x:c r="P180" s="28" t="str">
        <x:v>комплементарность ароматических семейств, вкусовой контраст и матричный эффект</x:v>
      </x:c>
      <x:c r="Q180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</x:v>
      </x:c>
      <x:c r="R180" s="28" t="str">
        <x:v>обычно слабый; кислота даёт свежесть; партнёр: возможен в зависимости от состава</x:v>
      </x:c>
      <x:c r="S180" s="28" t="str">
        <x:v>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</x:v>
      </x:c>
      <x:c r="T18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U18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Пастернак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V18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80" s="28" t="str">
        <x:v>мёд, цитрус или нейтральная жировая основа</x:v>
      </x:c>
      <x:c r="X180" s="28" t="str">
        <x:v>напиток, соус, десерт или горячее блюдо после пробной дегустации</x:v>
      </x:c>
      <x:c r="Y180" s="28" t="str">
        <x:v>напитки; еда; десерты; соусы/маринады</x:v>
      </x:c>
      <x:c r="Z180" s="28" t="str">
        <x:v>Средняя</x:v>
      </x:c>
      <x:c r="AA180" s="28" t="str">
        <x:v>The Art &amp; Science of Foodpairing.pdf</x:v>
      </x:c>
      <x:c r="AB180" s="28" t="str">
        <x:v>The Art &amp; Science of Foodpairing.pdf: 260–261</x:v>
      </x:c>
      <x:c r="AC180" s="28" t="str">
        <x:v>Ingredient pairings with peach and nectarine: parsnip.</x:v>
      </x:c>
      <x:c r="AD180" s="28" t="n">
        <x:v>1</x:v>
      </x:c>
      <x:c r="AE180" s="28" t="n">
        <x:v>1</x:v>
      </x:c>
      <x:c r="AF180" s="28" t="n">
        <x:f>IF(Z180="Высокая",3,IF(Z180="Средняя",2,1))+AD180*2+MIN(AE180,3)</x:f>
        <x:v>5</x:v>
      </x:c>
    </x:row>
    <x:row r="181" ht="62" customHeight="1">
      <x:c r="A181" s="28" t="str">
        <x:v>STN-0180</x:v>
      </x:c>
      <x:c r="B181" s="28" t="str">
        <x:v>персик</x:v>
      </x:c>
      <x:c r="C181" s="28" t="str">
        <x:v>Десерты и выпечка</x:v>
      </x:c>
      <x:c r="D181" s="28" t="str">
        <x:v>персик</x:v>
      </x:c>
      <x:c r="E181" s="28" t="str">
        <x:v>peach</x:v>
      </x:c>
      <x:c r="F181" s="28" t="str">
        <x:v>Косточковые фрукты</x:v>
      </x:c>
      <x:c r="G181" s="28" t="str">
        <x:v>пекан</x:v>
      </x:c>
      <x:c r="H181" s="28" t="str">
        <x:v>пекан</x:v>
      </x:c>
      <x:c r="I181" s="28" t="str">
        <x:v>Орехи и семена</x:v>
      </x:c>
      <x:c r="J181" s="28" t="str">
        <x:v>сливочный, персиковый, кокосово-лактонный, цветочный, зелёный</x:v>
      </x:c>
      <x:c r="K181" s="28" t="str">
        <x:v>ореховый, жареный, маслянистый и иногда миндальный</x:v>
      </x:c>
      <x:c r="L181" s="28" t="str">
        <x:v>γ- и δ-декалактон, γ- и δ-додекалактон, линалоол, бензальдегид, гексаналь, цис-3-гексенол</x:v>
      </x:c>
      <x:c r="M181" s="28" t="str">
        <x:v>пиразины, бензальдегид, филбертон, жирные альдегиды</x:v>
      </x:c>
      <x:c r="N181" s="28" t="str">
        <x:v>прямое семейное перекрытие не является главным механизмом</x:v>
      </x:c>
      <x:c r="O181" s="28" t="str">
        <x:v>бензальдегид</x:v>
      </x:c>
      <x:c r="P181" s="28" t="str">
        <x:v>прямое или классовое перекрытие характерных одорантов + вкусовой баланс</x:v>
      </x:c>
      <x:c r="Q181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181" s="28" t="str">
        <x:v>обычно слабый; кислота даёт свежесть; партнёр: обычно отсутствует</x:v>
      </x:c>
      <x:c r="S181" s="28" t="str">
        <x:v>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</x:v>
      </x:c>
      <x:c r="T18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18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Пекан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181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W181" s="28" t="str">
        <x:v>ваниль, шоколад или корица</x:v>
      </x:c>
      <x:c r="X181" s="28" t="str">
        <x:v>тарт, крем, мороженое, выпечка, сырная подача или начинка</x:v>
      </x:c>
      <x:c r="Y181" s="28" t="str">
        <x:v>десерты; еда</x:v>
      </x:c>
      <x:c r="Z181" s="28" t="str">
        <x:v>Гипотеза / практическая</x:v>
      </x:c>
      <x:c r="AA181" s="28" t="str">
        <x:v>Таблица сочетания(1).pdf</x:v>
      </x:c>
      <x:c r="AB181" s="28" t="str">
        <x:v>Таблица сочетания(1).pdf: 15</x:v>
      </x:c>
      <x:c r="AC181" s="28" t="str">
        <x:v>Пара указана в строке «Персик» → колонка «Другое».</x:v>
      </x:c>
      <x:c r="AD181" s="28" t="n">
        <x:v>1</x:v>
      </x:c>
      <x:c r="AE181" s="28" t="n">
        <x:v>1</x:v>
      </x:c>
      <x:c r="AF181" s="28" t="n">
        <x:f>IF(Z181="Высокая",3,IF(Z181="Средняя",2,1))+AD181*2+MIN(AE181,3)</x:f>
        <x:v>4</x:v>
      </x:c>
    </x:row>
    <x:row r="182" ht="62" customHeight="1">
      <x:c r="A182" s="28" t="str">
        <x:v>STN-0181</x:v>
      </x:c>
      <x:c r="B182" s="28" t="str">
        <x:v>персик</x:v>
      </x:c>
      <x:c r="C182" s="28" t="str">
        <x:v>Универсальные</x:v>
      </x:c>
      <x:c r="D182" s="28" t="str">
        <x:v>персик</x:v>
      </x:c>
      <x:c r="E182" s="28" t="str">
        <x:v>peach</x:v>
      </x:c>
      <x:c r="F182" s="28" t="str">
        <x:v>Косточковые фрукты</x:v>
      </x:c>
      <x:c r="G182" s="28" t="str">
        <x:v>перец рокото</x:v>
      </x:c>
      <x:c r="H182" s="28" t="str">
        <x:v>rocoto chilli</x:v>
      </x:c>
      <x:c r="I182" s="28" t="str">
        <x:v>Специи и острые компоненты</x:v>
      </x:c>
      <x:c r="J182" s="28" t="str">
        <x:v>сливочный, персиковый, кокосово-лактонный, цветочный, зелёный</x:v>
      </x:c>
      <x:c r="K182" s="28" t="str">
        <x:v>пряный, древесный, цветочный или жгучий</x:v>
      </x:c>
      <x:c r="L182" s="28" t="str">
        <x:v>γ- и δ-декалактон, γ- и δ-додекалактон, линалоол, бензальдегид, гексаналь, цис-3-гексенол</x:v>
      </x:c>
      <x:c r="M182" s="28" t="str">
        <x:v>эвгенол, циннамальдегид, анетол, терпены, капсаициноиды, пиперин</x:v>
      </x:c>
      <x:c r="N182" s="28" t="str">
        <x:v>цветочный</x:v>
      </x:c>
      <x:c r="O182" s="28" t="str">
        <x:v>надёжный единичный общий маркер не подтверждён; механизм не сводится к одной молекуле</x:v>
      </x:c>
      <x:c r="P182" s="28" t="str">
        <x:v>комплементарность ароматических семейств, вкусовой контраст и матричный эффект</x:v>
      </x:c>
      <x:c r="Q182" s="28" t="str">
        <x:v>Сладость и кислота фрукта смягчают остроту и горечь специи, а пряный компонент удлиняет ароматическое послевкусие.</x:v>
      </x:c>
      <x:c r="R182" s="28" t="str">
        <x:v>обычно слабый; кислота даёт свежесть; партнёр: выраженный: жжение, тепло или покалывание</x:v>
      </x:c>
      <x:c r="S182" s="28" t="str">
        <x:v>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</x:v>
      </x:c>
      <x:c r="T182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U18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Перец рокото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V182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W182" s="28" t="str">
        <x:v>мёд, цитрус или миндаль</x:v>
      </x:c>
      <x:c r="X182" s="28" t="str">
        <x:v>напиток, соус, десерт или горячее блюдо после пробной дегустации</x:v>
      </x:c>
      <x:c r="Y182" s="28" t="str">
        <x:v>напитки; еда; десерты; соусы/маринады</x:v>
      </x:c>
      <x:c r="Z182" s="28" t="str">
        <x:v>Средняя</x:v>
      </x:c>
      <x:c r="AA182" s="28" t="str">
        <x:v>The Art &amp; Science of Foodpairing.pdf</x:v>
      </x:c>
      <x:c r="AB182" s="28" t="str">
        <x:v>The Art &amp; Science of Foodpairing.pdf: 260–261</x:v>
      </x:c>
      <x:c r="AC182" s="28" t="str">
        <x:v>Ingredient pairings with peach and nectarine: rocoto chilli.</x:v>
      </x:c>
      <x:c r="AD182" s="28" t="n">
        <x:v>1</x:v>
      </x:c>
      <x:c r="AE182" s="28" t="n">
        <x:v>1</x:v>
      </x:c>
      <x:c r="AF182" s="28" t="n">
        <x:f>IF(Z182="Высокая",3,IF(Z182="Средняя",2,1))+AD182*2+MIN(AE182,3)</x:f>
        <x:v>5</x:v>
      </x:c>
    </x:row>
    <x:row r="183" ht="62" customHeight="1">
      <x:c r="A183" s="28" t="str">
        <x:v>STN-0182</x:v>
      </x:c>
      <x:c r="B183" s="28" t="str">
        <x:v>персик</x:v>
      </x:c>
      <x:c r="C183" s="28" t="str">
        <x:v>Универсальные</x:v>
      </x:c>
      <x:c r="D183" s="28" t="str">
        <x:v>персик</x:v>
      </x:c>
      <x:c r="E183" s="28" t="str">
        <x:v>peach</x:v>
      </x:c>
      <x:c r="F183" s="28" t="str">
        <x:v>Косточковые фрукты</x:v>
      </x:c>
      <x:c r="G183" s="28" t="str">
        <x:v>перец урфа</x:v>
      </x:c>
      <x:c r="H183" s="28" t="str">
        <x:v>isot pepper (urfa chilli flakes)</x:v>
      </x:c>
      <x:c r="I183" s="28" t="str">
        <x:v>Специи и острые компоненты</x:v>
      </x:c>
      <x:c r="J183" s="28" t="str">
        <x:v>сливочный, персиковый, кокосово-лактонный, цветочный, зелёный</x:v>
      </x:c>
      <x:c r="K183" s="28" t="str">
        <x:v>пряный, древесный, тёплый, цитрусовый или анисовый</x:v>
      </x:c>
      <x:c r="L183" s="28" t="str">
        <x:v>γ- и δ-декалактон, γ- и δ-додекалактон, линалоол, бензальдегид, гексаналь, цис-3-гексенол</x:v>
      </x:c>
      <x:c r="M183" s="28" t="str">
        <x:v>эвгенол, коричный альдегид, анетол, терпинилацетат</x:v>
      </x:c>
      <x:c r="N183" s="28" t="str">
        <x:v>прямое семейное перекрытие не является главным механизмом</x:v>
      </x:c>
      <x:c r="O183" s="28" t="str">
        <x:v>надёжный единичный общий маркер не подтверждён; механизм не сводится к одной молекуле</x:v>
      </x:c>
      <x:c r="P183" s="28" t="str">
        <x:v>комплементарность ароматических семейств, вкусовой контраст и матричный эффект</x:v>
      </x:c>
      <x:c r="Q183" s="28" t="str">
        <x:v>Сладость и кислота фрукта смягчают остроту и горечь специи, а пряный компонент удлиняет ароматическое послевкусие.</x:v>
      </x:c>
      <x:c r="R183" s="28" t="str">
        <x:v>обычно слабый; кислота даёт свежесть; партнёр: капсаицин, пиперин, гингеролы и камфорные терпены создают жжение, тепло или охлаждение</x:v>
      </x:c>
      <x:c r="S183" s="28" t="str">
        <x:v>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</x:v>
      </x:c>
      <x:c r="T183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18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Перец урфа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183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W183" s="28" t="str">
        <x:v>мёд, цитрус или миндаль</x:v>
      </x:c>
      <x:c r="X183" s="28" t="str">
        <x:v>напиток, соус, десерт или горячее блюдо после пробной дегустации</x:v>
      </x:c>
      <x:c r="Y183" s="28" t="str">
        <x:v>напитки; еда; десерты; соусы/маринады</x:v>
      </x:c>
      <x:c r="Z183" s="28" t="str">
        <x:v>Средняя</x:v>
      </x:c>
      <x:c r="AA183" s="28" t="str">
        <x:v>The Art &amp; Science of Foodpairing.pdf</x:v>
      </x:c>
      <x:c r="AB183" s="28" t="str">
        <x:v>The Art &amp; Science of Foodpairing.pdf: 260–261</x:v>
      </x:c>
      <x:c r="AC183" s="28" t="str">
        <x:v>Ingredient pairings with peach and nectarine: isot pepper (urfa chilli flakes).</x:v>
      </x:c>
      <x:c r="AD183" s="28" t="n">
        <x:v>1</x:v>
      </x:c>
      <x:c r="AE183" s="28" t="n">
        <x:v>1</x:v>
      </x:c>
      <x:c r="AF183" s="28" t="n">
        <x:f>IF(Z183="Высокая",3,IF(Z183="Средняя",2,1))+AD183*2+MIN(AE183,3)</x:f>
        <x:v>5</x:v>
      </x:c>
    </x:row>
    <x:row r="184" ht="62" customHeight="1">
      <x:c r="A184" s="28" t="str">
        <x:v>STN-0183</x:v>
      </x:c>
      <x:c r="B184" s="28" t="str">
        <x:v>персик</x:v>
      </x:c>
      <x:c r="C184" s="28" t="str">
        <x:v>Универсальные</x:v>
      </x:c>
      <x:c r="D184" s="28" t="str">
        <x:v>персик</x:v>
      </x:c>
      <x:c r="E184" s="28" t="str">
        <x:v>peach</x:v>
      </x:c>
      <x:c r="F184" s="28" t="str">
        <x:v>Косточковые фрукты</x:v>
      </x:c>
      <x:c r="G184" s="28" t="str">
        <x:v>приготовленный black salsify</x:v>
      </x:c>
      <x:c r="H184" s="28" t="str">
        <x:v>cooked black salsify</x:v>
      </x:c>
      <x:c r="I184" s="28" t="str">
        <x:v>Прочее</x:v>
      </x:c>
      <x:c r="J184" s="28" t="str">
        <x:v>сливочный, персиковый, кокосово-лактонный, цветочный, зелёный</x:v>
      </x:c>
      <x:c r="K184" s="28" t="str">
        <x:v>комплексный</x:v>
      </x:c>
      <x:c r="L184" s="28" t="str">
        <x:v>γ- и δ-декалактон, γ- и δ-додекалактон, линалоол, бензальдегид, гексаналь, цис-3-гексенол</x:v>
      </x:c>
      <x:c r="M184" s="28" t="str">
        <x:v>не конкретизированы</x:v>
      </x:c>
      <x:c r="N184" s="28" t="str">
        <x:v>прямое семейное перекрытие не является главным механизмом</x:v>
      </x:c>
      <x:c r="O184" s="28" t="str">
        <x:v>надёжный единичный общий маркер не подтверждён; механизм не сводится к одной молекуле</x:v>
      </x:c>
      <x:c r="P184" s="28" t="str">
        <x:v>комплементарность ароматических семейств, вкусовой контраст и матричный эффект</x:v>
      </x:c>
      <x:c r="Q184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</x:v>
      </x:c>
      <x:c r="R184" s="28" t="str">
        <x:v>обычно слабый; кислота даёт свежесть; партнёр: обычно отсутствует; зависит от конкретного продукта</x:v>
      </x:c>
      <x:c r="S184" s="28" t="str">
        <x:v>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</x:v>
      </x:c>
      <x:c r="T18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18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Приготовленный black salsify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18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84" s="28" t="str">
        <x:v>мёд, цитрус или нейтральная жировая основа</x:v>
      </x:c>
      <x:c r="X184" s="28" t="str">
        <x:v>напиток, соус, десерт или горячее блюдо после пробной дегустации</x:v>
      </x:c>
      <x:c r="Y184" s="28" t="str">
        <x:v>напитки; еда; десерты; соусы/маринады</x:v>
      </x:c>
      <x:c r="Z184" s="28" t="str">
        <x:v>Средняя</x:v>
      </x:c>
      <x:c r="AA184" s="28" t="str">
        <x:v>The Art &amp; Science of Foodpairing.pdf</x:v>
      </x:c>
      <x:c r="AB184" s="28" t="str">
        <x:v>The Art &amp; Science of Foodpairing.pdf: 260–261</x:v>
      </x:c>
      <x:c r="AC184" s="28" t="str">
        <x:v>Ingredient pairings with peach and nectarine: cooked black salsify.</x:v>
      </x:c>
      <x:c r="AD184" s="28" t="n">
        <x:v>1</x:v>
      </x:c>
      <x:c r="AE184" s="28" t="n">
        <x:v>1</x:v>
      </x:c>
      <x:c r="AF184" s="28" t="n">
        <x:f>IF(Z184="Высокая",3,IF(Z184="Средняя",2,1))+AD184*2+MIN(AE184,3)</x:f>
        <x:v>5</x:v>
      </x:c>
    </x:row>
    <x:row r="185" ht="62" customHeight="1">
      <x:c r="A185" s="28" t="str">
        <x:v>STN-0184</x:v>
      </x:c>
      <x:c r="B185" s="28" t="str">
        <x:v>персик</x:v>
      </x:c>
      <x:c r="C185" s="28" t="str">
        <x:v>Еда и соусы</x:v>
      </x:c>
      <x:c r="D185" s="28" t="str">
        <x:v>персик</x:v>
      </x:c>
      <x:c r="E185" s="28" t="str">
        <x:v>peach</x:v>
      </x:c>
      <x:c r="F185" s="28" t="str">
        <x:v>Косточковые фрукты</x:v>
      </x:c>
      <x:c r="G185" s="28" t="str">
        <x:v>припущенный тюрбо</x:v>
      </x:c>
      <x:c r="H185" s="28" t="str">
        <x:v>poached turbot</x:v>
      </x:c>
      <x:c r="I185" s="28" t="str">
        <x:v>Рыба и морепродукты</x:v>
      </x:c>
      <x:c r="J185" s="28" t="str">
        <x:v>сливочный, персиковый, кокосово-лактонный, цветочный, зелёный</x:v>
      </x:c>
      <x:c r="K185" s="28" t="str">
        <x:v>морской, солёный, умами, иногда йодистый и жареный</x:v>
      </x:c>
      <x:c r="L185" s="28" t="str">
        <x:v>γ- и δ-декалактон, γ- и δ-додекалактон, линалоол, бензальдегид, гексаналь, цис-3-гексенол</x:v>
      </x:c>
      <x:c r="M185" s="28" t="str">
        <x:v>амины, бромфенолы, альдегиды жирных кислот, сернистые соединения</x:v>
      </x:c>
      <x:c r="N185" s="28" t="str">
        <x:v>прямое семейное перекрытие не является главным механизмом</x:v>
      </x:c>
      <x:c r="O185" s="28" t="str">
        <x:v>надёжный единичный общий маркер не подтверждён; механизм не сводится к одной молекуле</x:v>
      </x:c>
      <x:c r="P185" s="28" t="str">
        <x:v>комплементарность ароматических семейств, вкусовой контраст и матричный эффект</x:v>
      </x:c>
      <x:c r="Q185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185" s="28" t="str">
        <x:v>обычно слабый; кислота даёт свежесть; партнёр: нет выраженного</x:v>
      </x:c>
      <x:c r="S185" s="28" t="str">
        <x:v>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</x:v>
      </x:c>
      <x:c r="T18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8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Припущенный тюрбо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85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W185" s="28" t="str">
        <x:v>цитрус, укроп или оливковое масло</x:v>
      </x:c>
      <x:c r="X185" s="28" t="str">
        <x:v>соус, глазировка, чатни, маринад, гарнир или основное блюдо</x:v>
      </x:c>
      <x:c r="Y185" s="28" t="str">
        <x:v>еда; соусы/маринады</x:v>
      </x:c>
      <x:c r="Z185" s="28" t="str">
        <x:v>Средняя</x:v>
      </x:c>
      <x:c r="AA185" s="28" t="str">
        <x:v>The Art &amp; Science of Foodpairing.pdf</x:v>
      </x:c>
      <x:c r="AB185" s="28" t="str">
        <x:v>The Art &amp; Science of Foodpairing.pdf: 260–261</x:v>
      </x:c>
      <x:c r="AC185" s="28" t="str">
        <x:v>Ingredient pairings with peach and nectarine: poached turbot.</x:v>
      </x:c>
      <x:c r="AD185" s="28" t="n">
        <x:v>1</x:v>
      </x:c>
      <x:c r="AE185" s="28" t="n">
        <x:v>1</x:v>
      </x:c>
      <x:c r="AF185" s="28" t="n">
        <x:f>IF(Z185="Высокая",3,IF(Z185="Средняя",2,1))+AD185*2+MIN(AE185,3)</x:f>
        <x:v>5</x:v>
      </x:c>
    </x:row>
    <x:row r="186" ht="62" customHeight="1">
      <x:c r="A186" s="28" t="str">
        <x:v>STN-0185</x:v>
      </x:c>
      <x:c r="B186" s="28" t="str">
        <x:v>персик</x:v>
      </x:c>
      <x:c r="C186" s="28" t="str">
        <x:v>Еда и соусы</x:v>
      </x:c>
      <x:c r="D186" s="28" t="str">
        <x:v>персик</x:v>
      </x:c>
      <x:c r="E186" s="28" t="str">
        <x:v>peach</x:v>
      </x:c>
      <x:c r="F186" s="28" t="str">
        <x:v>Косточковые фрукты</x:v>
      </x:c>
      <x:c r="G186" s="28" t="str">
        <x:v>прошутто</x:v>
      </x:c>
      <x:c r="H186" s="28" t="str">
        <x:v>Прошутто | прошутто</x:v>
      </x:c>
      <x:c r="I186" s="28" t="str">
        <x:v>Мясо и птица</x:v>
      </x:c>
      <x:c r="J186" s="28" t="str">
        <x:v>сливочный, персиковый, кокосово-лактонный, цветочный, зелёный</x:v>
      </x:c>
      <x:c r="K186" s="28" t="str">
        <x:v>мясной, жареный, жирный и сернистый</x:v>
      </x:c>
      <x:c r="L186" s="28" t="str">
        <x:v>γ- и δ-декалактон, γ- и δ-додекалактон, линалоол, бензальдегид, гексаналь, цис-3-гексенол</x:v>
      </x:c>
      <x:c r="M186" s="28" t="str">
        <x:v>пиразины, тиазолы, альдегиды Стреккера, жирные альдегиды</x:v>
      </x:c>
      <x:c r="N186" s="28" t="str">
        <x:v>прямое семейное перекрытие не является главным механизмом</x:v>
      </x:c>
      <x:c r="O186" s="28" t="str">
        <x:v>надёжный единичный общий маркер не подтверждён; механизм не сводится к одной молекуле</x:v>
      </x:c>
      <x:c r="P186" s="28" t="str">
        <x:v>комплементарность ароматических семейств, вкусовой контраст и матричный эффект</x:v>
      </x:c>
      <x:c r="Q186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186" s="28" t="str">
        <x:v>обычно слабый; кислота даёт свежесть; партнёр: обычно слабый; жареная корка усиливает ароматическую интенсивность</x:v>
      </x:c>
      <x:c r="S186" s="28" t="str">
        <x:v>сочная пектиновая мякоть; кожица несёт зелёные и цветочные ноты; лактоны хорошо удерживаются жиром и этанолом. Партнёр: жир удерживает фруктовые терпены и смягчает кислоту.</x:v>
      </x:c>
      <x:c r="T186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реакции Майяра создают мост к карамельным, ореховым и сухофруктовым нотам.</x:v>
      </x:c>
      <x:c r="U18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Прошутто относится к группе «Мясо и птица» и даёт профиль «мясной, жареный, жирный и сернистый»; типичные соединения или классы: пиразины, тиазолы, альдегиды Стреккера,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терпены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реакции Майяра создают мост к карамельным, ореховым и сухофруктовым нотам.</x:v>
      </x:c>
      <x:c r="V186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W186" s="28" t="str">
        <x:v>розмарин, горчица или хересный уксус</x:v>
      </x:c>
      <x:c r="X186" s="28" t="str">
        <x:v>соус, глазировка, чатни, маринад, гарнир или основное блюдо</x:v>
      </x:c>
      <x:c r="Y186" s="28" t="str">
        <x:v>еда; соусы/маринады</x:v>
      </x:c>
      <x:c r="Z186" s="28" t="str">
        <x:v>Средняя</x:v>
      </x:c>
      <x:c r="AA186" s="28" t="str">
        <x:v>Тезариус вкусов (Ники Сегнит)(1).pdf</x:v>
      </x:c>
      <x:c r="AB186" s="28" t="str">
        <x:v>Тезариус вкусов (Ники Сегнит)(1).pdf: 459 | Тезариус вкусов (Ники Сегнит)(1).pdf: 751</x:v>
      </x:c>
      <x:c r="AC186" s="28" t="str">
        <x:v>Прошутто и персик. Если вам повезет купить хо- Персик и прошутто. См. Прошутто и персик</x:v>
      </x:c>
      <x:c r="AD186" s="28" t="n">
        <x:v>1</x:v>
      </x:c>
      <x:c r="AE186" s="28" t="n">
        <x:v>2</x:v>
      </x:c>
      <x:c r="AF186" s="28" t="n">
        <x:f>IF(Z186="Высокая",3,IF(Z186="Средняя",2,1))+AD186*2+MIN(AE186,3)</x:f>
        <x:v>6</x:v>
      </x:c>
    </x:row>
    <x:row r="187" ht="62" customHeight="1">
      <x:c r="A187" s="28" t="str">
        <x:v>STN-0186</x:v>
      </x:c>
      <x:c r="B187" s="28" t="str">
        <x:v>персик</x:v>
      </x:c>
      <x:c r="C187" s="28" t="str">
        <x:v>Еда и соусы</x:v>
      </x:c>
      <x:c r="D187" s="28" t="str">
        <x:v>персик</x:v>
      </x:c>
      <x:c r="E187" s="28" t="str">
        <x:v>peach</x:v>
      </x:c>
      <x:c r="F187" s="28" t="str">
        <x:v>Косточковые фрукты</x:v>
      </x:c>
      <x:c r="G187" s="28" t="str">
        <x:v>прошутто сан-даниэле</x:v>
      </x:c>
      <x:c r="H187" s="28" t="str">
        <x:v>San Daniele ham</x:v>
      </x:c>
      <x:c r="I187" s="28" t="str">
        <x:v>Мясо и птица</x:v>
      </x:c>
      <x:c r="J187" s="28" t="str">
        <x:v>сливочный, персиковый, кокосово-лактонный, цветочный, зелёный</x:v>
      </x:c>
      <x:c r="K187" s="28" t="str">
        <x:v>жареный, мясной, жирный, иногда копчёный и пряный</x:v>
      </x:c>
      <x:c r="L187" s="28" t="str">
        <x:v>γ- и δ-декалактон, γ- и δ-додекалактон, линалоол, бензальдегид, гексаналь, цис-3-гексенол</x:v>
      </x:c>
      <x:c r="M187" s="28" t="str">
        <x:v>пиразины, фураны, сернистые соединения, продукты Майяра, жирные альдегиды</x:v>
      </x:c>
      <x:c r="N187" s="28" t="str">
        <x:v>прямое семейное перекрытие не является главным механизмом</x:v>
      </x:c>
      <x:c r="O187" s="28" t="str">
        <x:v>надёжный единичный общий маркер не подтверждён; механизм не сводится к одной молекуле</x:v>
      </x:c>
      <x:c r="P187" s="28" t="str">
        <x:v>комплементарность ароматических семейств, вкусовой контраст и матричный эффект</x:v>
      </x:c>
      <x:c r="Q187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187" s="28" t="str">
        <x:v>обычно слабый; кислота даёт свежесть; партнёр: тепловой/пряный зависит от обработки</x:v>
      </x:c>
      <x:c r="S187" s="28" t="str">
        <x:v>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</x:v>
      </x:c>
      <x:c r="T187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U18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Прошутто сан-даниэле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V187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W187" s="28" t="str">
        <x:v>розмарин, горчица или хересный уксус</x:v>
      </x:c>
      <x:c r="X187" s="28" t="str">
        <x:v>соус, глазировка, чатни, маринад, гарнир или основное блюдо</x:v>
      </x:c>
      <x:c r="Y187" s="28" t="str">
        <x:v>еда; соусы/маринады</x:v>
      </x:c>
      <x:c r="Z187" s="28" t="str">
        <x:v>Средняя</x:v>
      </x:c>
      <x:c r="AA187" s="28" t="str">
        <x:v>The Art &amp; Science of Foodpairing.pdf</x:v>
      </x:c>
      <x:c r="AB187" s="28" t="str">
        <x:v>The Art &amp; Science of Foodpairing.pdf: 260–261</x:v>
      </x:c>
      <x:c r="AC187" s="28" t="str">
        <x:v>Ingredient pairings with peach and nectarine: San Daniele ham.</x:v>
      </x:c>
      <x:c r="AD187" s="28" t="n">
        <x:v>1</x:v>
      </x:c>
      <x:c r="AE187" s="28" t="n">
        <x:v>1</x:v>
      </x:c>
      <x:c r="AF187" s="28" t="n">
        <x:f>IF(Z187="Высокая",3,IF(Z187="Средняя",2,1))+AD187*2+MIN(AE187,3)</x:f>
        <x:v>5</x:v>
      </x:c>
    </x:row>
    <x:row r="188" ht="62" customHeight="1">
      <x:c r="A188" s="28" t="str">
        <x:v>STN-0187</x:v>
      </x:c>
      <x:c r="B188" s="28" t="str">
        <x:v>персик</x:v>
      </x:c>
      <x:c r="C188" s="28" t="str">
        <x:v>Еда и соусы</x:v>
      </x:c>
      <x:c r="D188" s="28" t="str">
        <x:v>персик</x:v>
      </x:c>
      <x:c r="E188" s="28" t="str">
        <x:v>peach</x:v>
      </x:c>
      <x:c r="F188" s="28" t="str">
        <x:v>Косточковые фрукты</x:v>
      </x:c>
      <x:c r="G188" s="28" t="str">
        <x:v>радиккьо</x:v>
      </x:c>
      <x:c r="H188" s="28" t="str">
        <x:v>radicchio</x:v>
      </x:c>
      <x:c r="I188" s="28" t="str">
        <x:v>Овощи и корнеплоды</x:v>
      </x:c>
      <x:c r="J188" s="28" t="str">
        <x:v>сливочный, персиковый, кокосово-лактонный, цветочный, зелёный</x:v>
      </x:c>
      <x:c r="K188" s="28" t="str">
        <x:v>зелёный, землистый, сладковатый или сернистый</x:v>
      </x:c>
      <x:c r="L188" s="28" t="str">
        <x:v>γ- и δ-декалактон, γ- и δ-додекалактон, линалоол, бензальдегид, гексаналь, цис-3-гексенол</x:v>
      </x:c>
      <x:c r="M188" s="28" t="str">
        <x:v>C6-альдегиды, метоксипиразины, терпены, сернистые соединения</x:v>
      </x:c>
      <x:c r="N188" s="28" t="str">
        <x:v>зелёный</x:v>
      </x:c>
      <x:c r="O188" s="28" t="str">
        <x:v>надёжный единичный общий маркер не подтверждён; механизм не сводится к одной молекуле</x:v>
      </x:c>
      <x:c r="P188" s="28" t="str">
        <x:v>комплементарность ароматических семейств, вкусовой контраст и матричный эффект</x:v>
      </x:c>
      <x:c r="Q188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</x:v>
      </x:c>
      <x:c r="R188" s="28" t="str">
        <x:v>обычно слабый; кислота даёт свежесть; партнёр: зависит от продукта</x:v>
      </x:c>
      <x:c r="S188" s="28" t="str">
        <x:v>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</x:v>
      </x:c>
      <x:c r="T18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8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Радиккьо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8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88" s="28" t="str">
        <x:v>мёд, травы или уксус</x:v>
      </x:c>
      <x:c r="X188" s="28" t="str">
        <x:v>соус, глазировка, чатни, маринад, гарнир или основное блюдо</x:v>
      </x:c>
      <x:c r="Y188" s="28" t="str">
        <x:v>еда; соусы/маринады</x:v>
      </x:c>
      <x:c r="Z188" s="28" t="str">
        <x:v>Средняя</x:v>
      </x:c>
      <x:c r="AA188" s="28" t="str">
        <x:v>The Art &amp; Science of Foodpairing.pdf</x:v>
      </x:c>
      <x:c r="AB188" s="28" t="str">
        <x:v>The Art &amp; Science of Foodpairing.pdf: 260–261</x:v>
      </x:c>
      <x:c r="AC188" s="28" t="str">
        <x:v>Ingredient pairings with peach and nectarine: radicchio.</x:v>
      </x:c>
      <x:c r="AD188" s="28" t="n">
        <x:v>1</x:v>
      </x:c>
      <x:c r="AE188" s="28" t="n">
        <x:v>1</x:v>
      </x:c>
      <x:c r="AF188" s="28" t="n">
        <x:f>IF(Z188="Высокая",3,IF(Z188="Средняя",2,1))+AD188*2+MIN(AE188,3)</x:f>
        <x:v>5</x:v>
      </x:c>
    </x:row>
    <x:row r="189" ht="62" customHeight="1">
      <x:c r="A189" s="28" t="str">
        <x:v>STN-0188</x:v>
      </x:c>
      <x:c r="B189" s="28" t="str">
        <x:v>персик</x:v>
      </x:c>
      <x:c r="C189" s="28" t="str">
        <x:v>Универсальные</x:v>
      </x:c>
      <x:c r="D189" s="28" t="str">
        <x:v>персик</x:v>
      </x:c>
      <x:c r="E189" s="28" t="str">
        <x:v>peach</x:v>
      </x:c>
      <x:c r="F189" s="28" t="str">
        <x:v>Косточковые фрукты</x:v>
      </x:c>
      <x:c r="G189" s="28" t="str">
        <x:v>ревень</x:v>
      </x:c>
      <x:c r="H189" s="28" t="str">
        <x:v>Ревень</x:v>
      </x:c>
      <x:c r="I189" s="28" t="str">
        <x:v>Прочее</x:v>
      </x:c>
      <x:c r="J189" s="28" t="str">
        <x:v>сливочный, персиковый, кокосово-лактонный, цветочный, зелёный</x:v>
      </x:c>
      <x:c r="K189" s="28" t="str">
        <x:v>ароматический профиль зависит от конкретного ингредиента</x:v>
      </x:c>
      <x:c r="L189" s="28" t="str">
        <x:v>γ- и δ-декалактон, γ- и δ-додекалактон, линалоол, бензальдегид, гексаналь, цис-3-гексенол</x:v>
      </x:c>
      <x:c r="M189" s="28" t="str">
        <x:v>летучие соединения конкретного продукта</x:v>
      </x:c>
      <x:c r="N189" s="28" t="str">
        <x:v>прямое семейное перекрытие не является главным механизмом</x:v>
      </x:c>
      <x:c r="O189" s="28" t="str">
        <x:v>надёжный единичный общий маркер не подтверждён; механизм не сводится к одной молекуле</x:v>
      </x:c>
      <x:c r="P189" s="28" t="str">
        <x:v>комплементарность ароматических семейств, вкусовой контраст и матричный эффект</x:v>
      </x:c>
      <x:c r="Q189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</x:v>
      </x:c>
      <x:c r="R189" s="28" t="str">
        <x:v>обычно слабый; кислота даёт свежесть; партнёр: возможен в зависимости от состава</x:v>
      </x:c>
      <x:c r="S189" s="28" t="str">
        <x:v>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</x:v>
      </x:c>
      <x:c r="T18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U18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Ревень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V18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89" s="28" t="str">
        <x:v>мёд, цитрус или нейтральная жировая основа</x:v>
      </x:c>
      <x:c r="X189" s="28" t="str">
        <x:v>напиток, соус, десерт или горячее блюдо после пробной дегустации</x:v>
      </x:c>
      <x:c r="Y189" s="28" t="str">
        <x:v>напитки; еда; десерты; соусы/маринады</x:v>
      </x:c>
      <x:c r="Z189" s="28" t="str">
        <x:v>Гипотеза / практическая</x:v>
      </x:c>
      <x:c r="AA189" s="28" t="str">
        <x:v>Таблица сочетания(1).pdf</x:v>
      </x:c>
      <x:c r="AB189" s="28" t="str">
        <x:v>Таблица сочетания(1).pdf: 19</x:v>
      </x:c>
      <x:c r="AC189" s="28" t="str">
        <x:v>Пара указана в строке «Ревень»: «персик» находится в колонке «Фрукты».</x:v>
      </x:c>
      <x:c r="AD189" s="28" t="n">
        <x:v>1</x:v>
      </x:c>
      <x:c r="AE189" s="28" t="n">
        <x:v>1</x:v>
      </x:c>
      <x:c r="AF189" s="28" t="n">
        <x:f>IF(Z189="Высокая",3,IF(Z189="Средняя",2,1))+AD189*2+MIN(AE189,3)</x:f>
        <x:v>4</x:v>
      </x:c>
    </x:row>
    <x:row r="190" ht="62" customHeight="1">
      <x:c r="A190" s="28" t="str">
        <x:v>STN-0189</x:v>
      </x:c>
      <x:c r="B190" s="28" t="str">
        <x:v>персик</x:v>
      </x:c>
      <x:c r="C190" s="28" t="str">
        <x:v>Универсальные</x:v>
      </x:c>
      <x:c r="D190" s="28" t="str">
        <x:v>персик</x:v>
      </x:c>
      <x:c r="E190" s="28" t="str">
        <x:v>peach</x:v>
      </x:c>
      <x:c r="F190" s="28" t="str">
        <x:v>Косточковые фрукты</x:v>
      </x:c>
      <x:c r="G190" s="28" t="str">
        <x:v>роза</x:v>
      </x:c>
      <x:c r="H190" s="28" t="str">
        <x:v>Роза</x:v>
      </x:c>
      <x:c r="I190" s="28" t="str">
        <x:v>Травы и цветы</x:v>
      </x:c>
      <x:c r="J190" s="28" t="str">
        <x:v>сливочный, персиковый, кокосово-лактонный, цветочный, зелёный</x:v>
      </x:c>
      <x:c r="K190" s="28" t="str">
        <x:v>зелёный, цветочный, травянистый и эфирно-масличный</x:v>
      </x:c>
      <x:c r="L190" s="28" t="str">
        <x:v>γ- и δ-декалактон, γ- и δ-додекалактон, линалоол, бензальдегид, гексаналь, цис-3-гексенол</x:v>
      </x:c>
      <x:c r="M190" s="28" t="str">
        <x:v>линалоол, гераниол, эвгенол, 1,8-цинеол</x:v>
      </x:c>
      <x:c r="N190" s="28" t="str">
        <x:v>цветочный, зелёный</x:v>
      </x:c>
      <x:c r="O190" s="28" t="str">
        <x:v>линалоол</x:v>
      </x:c>
      <x:c r="P190" s="28" t="str">
        <x:v>прямое или классовое перекрытие характерных одорантов + вкусовой баланс</x:v>
      </x:c>
      <x:c r="Q190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190" s="28" t="str">
        <x:v>обычно слабый; кислота даёт свежесть; партнёр: у мяты возможен холодящий эффект ментола; у некоторых трав — камфорность</x:v>
      </x:c>
      <x:c r="S190" s="28" t="str">
        <x:v>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</x:v>
      </x:c>
      <x:c r="T19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19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Роза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19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90" s="28" t="str">
        <x:v>мёд, цитрус или нейтральная жировая основа</x:v>
      </x:c>
      <x:c r="X190" s="28" t="str">
        <x:v>напиток, соус, десерт или горячее блюдо после пробной дегустации</x:v>
      </x:c>
      <x:c r="Y190" s="28" t="str">
        <x:v>напитки; еда; десерты; соусы/маринады</x:v>
      </x:c>
      <x:c r="Z190" s="28" t="str">
        <x:v>Гипотеза / практическая</x:v>
      </x:c>
      <x:c r="AA190" s="28" t="str">
        <x:v>Таблица сочетания(1).pdf</x:v>
      </x:c>
      <x:c r="AB190" s="28" t="str">
        <x:v>Таблица сочетания(1).pdf: 19</x:v>
      </x:c>
      <x:c r="AC190" s="28" t="str">
        <x:v>Пара указана в строке «Роза»: «персик» находится в колонке «Фрукты».</x:v>
      </x:c>
      <x:c r="AD190" s="28" t="n">
        <x:v>1</x:v>
      </x:c>
      <x:c r="AE190" s="28" t="n">
        <x:v>1</x:v>
      </x:c>
      <x:c r="AF190" s="28" t="n">
        <x:f>IF(Z190="Высокая",3,IF(Z190="Средняя",2,1))+AD190*2+MIN(AE190,3)</x:f>
        <x:v>4</x:v>
      </x:c>
    </x:row>
    <x:row r="191" ht="62" customHeight="1">
      <x:c r="A191" s="28" t="str">
        <x:v>STN-0190</x:v>
      </x:c>
      <x:c r="B191" s="28" t="str">
        <x:v>персик</x:v>
      </x:c>
      <x:c r="C191" s="28" t="str">
        <x:v>Еда и соусы</x:v>
      </x:c>
      <x:c r="D191" s="28" t="str">
        <x:v>персик</x:v>
      </x:c>
      <x:c r="E191" s="28" t="str">
        <x:v>peach</x:v>
      </x:c>
      <x:c r="F191" s="28" t="str">
        <x:v>Косточковые фрукты</x:v>
      </x:c>
      <x:c r="G191" s="28" t="str">
        <x:v>салями милано</x:v>
      </x:c>
      <x:c r="H191" s="28" t="str">
        <x:v>Milano salami</x:v>
      </x:c>
      <x:c r="I191" s="28" t="str">
        <x:v>Мясо и птица</x:v>
      </x:c>
      <x:c r="J191" s="28" t="str">
        <x:v>сливочный, персиковый, кокосово-лактонный, цветочный, зелёный</x:v>
      </x:c>
      <x:c r="K191" s="28" t="str">
        <x:v>жареный, мясной, жирный, иногда копчёный и пряный</x:v>
      </x:c>
      <x:c r="L191" s="28" t="str">
        <x:v>γ- и δ-декалактон, γ- и δ-додекалактон, линалоол, бензальдегид, гексаналь, цис-3-гексенол</x:v>
      </x:c>
      <x:c r="M191" s="28" t="str">
        <x:v>пиразины, фураны, сернистые соединения, продукты Майяра, жирные альдегиды</x:v>
      </x:c>
      <x:c r="N191" s="28" t="str">
        <x:v>прямое семейное перекрытие не является главным механизмом</x:v>
      </x:c>
      <x:c r="O191" s="28" t="str">
        <x:v>надёжный единичный общий маркер не подтверждён; механизм не сводится к одной молекуле</x:v>
      </x:c>
      <x:c r="P191" s="28" t="str">
        <x:v>комплементарность ароматических семейств, вкусовой контраст и матричный эффект</x:v>
      </x:c>
      <x:c r="Q191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191" s="28" t="str">
        <x:v>обычно слабый; кислота даёт свежесть; партнёр: тепловой/пряный зависит от обработки</x:v>
      </x:c>
      <x:c r="S191" s="28" t="str">
        <x:v>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</x:v>
      </x:c>
      <x:c r="T191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U19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Салями милано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V191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W191" s="28" t="str">
        <x:v>розмарин, горчица или хересный уксус</x:v>
      </x:c>
      <x:c r="X191" s="28" t="str">
        <x:v>соус, глазировка, чатни, маринад, гарнир или основное блюдо</x:v>
      </x:c>
      <x:c r="Y191" s="28" t="str">
        <x:v>еда; соусы/маринады</x:v>
      </x:c>
      <x:c r="Z191" s="28" t="str">
        <x:v>Средняя</x:v>
      </x:c>
      <x:c r="AA191" s="28" t="str">
        <x:v>The Art &amp; Science of Foodpairing.pdf</x:v>
      </x:c>
      <x:c r="AB191" s="28" t="str">
        <x:v>The Art &amp; Science of Foodpairing.pdf: 260–261</x:v>
      </x:c>
      <x:c r="AC191" s="28" t="str">
        <x:v>Ingredient pairings with peach and nectarine: Milano salami.</x:v>
      </x:c>
      <x:c r="AD191" s="28" t="n">
        <x:v>1</x:v>
      </x:c>
      <x:c r="AE191" s="28" t="n">
        <x:v>1</x:v>
      </x:c>
      <x:c r="AF191" s="28" t="n">
        <x:f>IF(Z191="Высокая",3,IF(Z191="Средняя",2,1))+AD191*2+MIN(AE191,3)</x:f>
        <x:v>5</x:v>
      </x:c>
    </x:row>
    <x:row r="192" ht="62" customHeight="1">
      <x:c r="A192" s="28" t="str">
        <x:v>STN-0191</x:v>
      </x:c>
      <x:c r="B192" s="28" t="str">
        <x:v>персик</x:v>
      </x:c>
      <x:c r="C192" s="28" t="str">
        <x:v>Напитки</x:v>
      </x:c>
      <x:c r="D192" s="28" t="str">
        <x:v>персик</x:v>
      </x:c>
      <x:c r="E192" s="28" t="str">
        <x:v>peach</x:v>
      </x:c>
      <x:c r="F192" s="28" t="str">
        <x:v>Косточковые фрукты</x:v>
      </x:c>
      <x:c r="G192" s="28" t="str">
        <x:v>сансер</x:v>
      </x:c>
      <x:c r="H192" s="28" t="str">
        <x:v>Sancerre</x:v>
      </x:c>
      <x:c r="I192" s="28" t="str">
        <x:v>Алкогольные напитки</x:v>
      </x:c>
      <x:c r="J192" s="28" t="str">
        <x:v>сливочный, персиковый, кокосово-лактонный, цветочный, зелёный</x:v>
      </x:c>
      <x:c r="K192" s="28" t="str">
        <x:v>спиртовой, эфирный, фруктовый или древесный в зависимости от напитка</x:v>
      </x:c>
      <x:c r="L192" s="28" t="str">
        <x:v>γ- и δ-декалактон, γ- и δ-додекалактон, линалоол, бензальдегид, гексаналь, цис-3-гексенол</x:v>
      </x:c>
      <x:c r="M192" s="28" t="str">
        <x:v>этиловые эфиры, высшие спирты, ацетали; для выдержанных напитков — ванилин и дубовые лактоны</x:v>
      </x:c>
      <x:c r="N192" s="28" t="str">
        <x:v>прямое семейное перекрытие не является главным механизмом</x:v>
      </x:c>
      <x:c r="O192" s="28" t="str">
        <x:v>надёжный единичный общий маркер не подтверждён; механизм не сводится к одной молекуле</x:v>
      </x:c>
      <x:c r="P192" s="28" t="str">
        <x:v>комплементарность ароматических семейств, вкусовой контраст и матричный эффект</x:v>
      </x:c>
      <x:c r="Q192" s="28" t="str">
        <x:v>Этанол усиливает летучесть лактонов и терпенов; сахар и кислотность должны быть настроены так, чтобы крепость не маскировала плод.</x:v>
      </x:c>
      <x:c r="R192" s="28" t="str">
        <x:v>обычно слабый; кислота даёт свежесть; партнёр: этанол даёт согревание</x:v>
      </x:c>
      <x:c r="S192" s="28" t="str">
        <x:v>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</x:v>
      </x:c>
      <x:c r="T192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U19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Сансер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По доступным материалам нельзя уверенно свести совместимость к одной общей молекуле.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V192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W192" s="28" t="str">
        <x:v>цитрус, чай или вермут</x:v>
      </x:c>
      <x:c r="X192" s="28" t="str">
        <x:v>коктейль, кордиал, настой, спритц, чайный или кофейный напиток</x:v>
      </x:c>
      <x:c r="Y192" s="28" t="str">
        <x:v>напитки</x:v>
      </x:c>
      <x:c r="Z192" s="28" t="str">
        <x:v>Средняя</x:v>
      </x:c>
      <x:c r="AA192" s="28" t="str">
        <x:v>The Art &amp; Science of Foodpairing.pdf</x:v>
      </x:c>
      <x:c r="AB192" s="28" t="str">
        <x:v>The Art &amp; Science of Foodpairing.pdf: 156</x:v>
      </x:c>
      <x:c r="AC192" s="28" t="str">
        <x:v>Ингредиент «peach» указан на странице профиля/сетки сочетаний «Sancerre».</x:v>
      </x:c>
      <x:c r="AD192" s="28" t="n">
        <x:v>1</x:v>
      </x:c>
      <x:c r="AE192" s="28" t="n">
        <x:v>1</x:v>
      </x:c>
      <x:c r="AF192" s="28" t="n">
        <x:f>IF(Z192="Высокая",3,IF(Z192="Средняя",2,1))+AD192*2+MIN(AE192,3)</x:f>
        <x:v>5</x:v>
      </x:c>
    </x:row>
    <x:row r="193" ht="62" customHeight="1">
      <x:c r="A193" s="28" t="str">
        <x:v>STN-0192</x:v>
      </x:c>
      <x:c r="B193" s="28" t="str">
        <x:v>персик</x:v>
      </x:c>
      <x:c r="C193" s="28" t="str">
        <x:v>Универсальные</x:v>
      </x:c>
      <x:c r="D193" s="28" t="str">
        <x:v>персик</x:v>
      </x:c>
      <x:c r="E193" s="28" t="str">
        <x:v>peach</x:v>
      </x:c>
      <x:c r="F193" s="28" t="str">
        <x:v>Косточковые фрукты</x:v>
      </x:c>
      <x:c r="G193" s="28" t="str">
        <x:v>свежий корень имбиря</x:v>
      </x:c>
      <x:c r="H193" s="28" t="str">
        <x:v>Fresh root ginger</x:v>
      </x:c>
      <x:c r="I193" s="28" t="str">
        <x:v>Специи</x:v>
      </x:c>
      <x:c r="J193" s="28" t="str">
        <x:v>сливочный, персиковый, кокосово-лактонный, цветочный, зелёный</x:v>
      </x:c>
      <x:c r="K193" s="28" t="str">
        <x:v>древесный, пряный, тёплый</x:v>
      </x:c>
      <x:c r="L193" s="28" t="str">
        <x:v>γ- и δ-декалактон, γ- и δ-додекалактон, линалоол, бензальдегид, гексаналь, цис-3-гексенол</x:v>
      </x:c>
      <x:c r="M193" s="28" t="str">
        <x:v>коричный альдегид, терпены, эвгенол</x:v>
      </x:c>
      <x:c r="N193" s="28" t="str">
        <x:v>прямое семейное перекрытие не является главным механизмом</x:v>
      </x:c>
      <x:c r="O193" s="28" t="str">
        <x:v>надёжный единичный общий маркер не подтверждён; механизм не сводится к одной молекуле</x:v>
      </x:c>
      <x:c r="P193" s="28" t="str">
        <x:v>комплементарность ароматических семейств, вкусовой контраст и матричный эффект</x:v>
      </x:c>
      <x:c r="Q193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пряный, иногда горький. Баланс корректируется сахаром, кислотой, солью и горечью.</x:v>
      </x:c>
      <x:c r="R193" s="28" t="str">
        <x:v>обычно слабый; кислота даёт свежесть; партнёр: обычно отсутствует; зависит от конкретного продукта</x:v>
      </x:c>
      <x:c r="S193" s="28" t="str">
        <x:v>сочная пектиновая мякоть; кожица несёт зелёные и цветочные ноты; лактоны хорошо удерживаются жиром и этанолом. Партнёр: эфирные масла хорошо извлекаются спиртом и жиром.</x:v>
      </x:c>
      <x:c r="T19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19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Свежий корень имбиря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пряный, иногда горький.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хорошо извлекаются спиртом и жиром.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19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93" s="28" t="str">
        <x:v>мёд, цитрус или нейтральная жировая основа</x:v>
      </x:c>
      <x:c r="X193" s="28" t="str">
        <x:v>напиток, соус, десерт или горячее блюдо после пробной дегустации</x:v>
      </x:c>
      <x:c r="Y193" s="28" t="str">
        <x:v>напитки; еда; десерты; соусы/маринады</x:v>
      </x:c>
      <x:c r="Z193" s="28" t="str">
        <x:v>Средняя</x:v>
      </x:c>
      <x:c r="AA193" s="28" t="str">
        <x:v>The Art &amp; Science of Foodpairing.pdf</x:v>
      </x:c>
      <x:c r="AB193" s="28" t="str">
        <x:v>The Art &amp; Science of Foodpairing.pdf: 142 | The Art &amp; Science of Foodpairing.pdf: 143</x:v>
      </x:c>
      <x:c r="AC193" s="28" t="str">
        <x:v>Ингредиент «peach» указан на странице профиля/сетки сочетаний «Fresh root ginger».</x:v>
      </x:c>
      <x:c r="AD193" s="28" t="n">
        <x:v>1</x:v>
      </x:c>
      <x:c r="AE193" s="28" t="n">
        <x:v>2</x:v>
      </x:c>
      <x:c r="AF193" s="28" t="n">
        <x:f>IF(Z193="Высокая",3,IF(Z193="Средняя",2,1))+AD193*2+MIN(AE193,3)</x:f>
        <x:v>6</x:v>
      </x:c>
    </x:row>
    <x:row r="194" ht="62" customHeight="1">
      <x:c r="A194" s="28" t="str">
        <x:v>STN-0193</x:v>
      </x:c>
      <x:c r="B194" s="28" t="str">
        <x:v>персик</x:v>
      </x:c>
      <x:c r="C194" s="28" t="str">
        <x:v>Универсальные</x:v>
      </x:c>
      <x:c r="D194" s="28" t="str">
        <x:v>персик</x:v>
      </x:c>
      <x:c r="E194" s="28" t="str">
        <x:v>peach</x:v>
      </x:c>
      <x:c r="F194" s="28" t="str">
        <x:v>Косточковые фрукты</x:v>
      </x:c>
      <x:c r="G194" s="28" t="str">
        <x:v>сельдерей</x:v>
      </x:c>
      <x:c r="H194" s="28" t="str">
        <x:v>celery</x:v>
      </x:c>
      <x:c r="I194" s="28" t="str">
        <x:v>Овощи и бобовые</x:v>
      </x:c>
      <x:c r="J194" s="28" t="str">
        <x:v>сливочный, персиковый, кокосово-лактонный, цветочный, зелёный</x:v>
      </x:c>
      <x:c r="K194" s="28" t="str">
        <x:v>зелёный, землистый, сернистый, сладковатый или травянистый</x:v>
      </x:c>
      <x:c r="L194" s="28" t="str">
        <x:v>γ- и δ-декалактон, γ- и δ-додекалактон, линалоол, бензальдегид, гексаналь, цис-3-гексенол</x:v>
      </x:c>
      <x:c r="M194" s="28" t="str">
        <x:v>C6-альдегиды, метоксипиразины, сернистые соединения, геосмин</x:v>
      </x:c>
      <x:c r="N194" s="28" t="str">
        <x:v>зелёный</x:v>
      </x:c>
      <x:c r="O194" s="28" t="str">
        <x:v>надёжный единичный общий маркер не подтверждён; механизм не сводится к одной молекуле</x:v>
      </x:c>
      <x:c r="P194" s="28" t="str">
        <x:v>комплементарность ароматических семейств, вкусовой контраст и матричный эффект</x:v>
      </x:c>
      <x:c r="Q194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варьирует от сладости до горечи, умами и крахмалистости. Баланс корректируется сахаром, кислотой, солью и горечью.</x:v>
      </x:c>
      <x:c r="R194" s="28" t="str">
        <x:v>обычно слабый; кислота даёт свежесть; партнёр: у лука, горчицы и хрена возможен резкий эффект изотиоцианатов</x:v>
      </x:c>
      <x:c r="S194" s="28" t="str">
        <x:v>сочная пектиновая мякоть; кожица несёт зелёные и цветочные ноты; лактоны хорошо удерживаются жиром и этанолом. Партнёр: водная, волокнистая или крахмальная.</x:v>
      </x:c>
      <x:c r="T19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U19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Сельдерей относится к группе «Овощи и бобовые» и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варьирует от сладости до горечи, умами и крахмалистости.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водная, волокнистая или крахмальная.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V19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94" s="28" t="str">
        <x:v>мёд, цитрус или нейтральная жировая основа</x:v>
      </x:c>
      <x:c r="X194" s="28" t="str">
        <x:v>напиток, соус, десерт или горячее блюдо после пробной дегустации</x:v>
      </x:c>
      <x:c r="Y194" s="28" t="str">
        <x:v>напитки; еда; десерты; соусы/маринады</x:v>
      </x:c>
      <x:c r="Z194" s="28" t="str">
        <x:v>Средняя</x:v>
      </x:c>
      <x:c r="AA194" s="28" t="str">
        <x:v>The Art &amp; Science of Foodpairing.pdf</x:v>
      </x:c>
      <x:c r="AB194" s="28" t="str">
        <x:v>The Art &amp; Science of Foodpairing.pdf: 260–261</x:v>
      </x:c>
      <x:c r="AC194" s="28" t="str">
        <x:v>Ingredient pairings with peach and nectarine: celery.</x:v>
      </x:c>
      <x:c r="AD194" s="28" t="n">
        <x:v>1</x:v>
      </x:c>
      <x:c r="AE194" s="28" t="n">
        <x:v>1</x:v>
      </x:c>
      <x:c r="AF194" s="28" t="n">
        <x:f>IF(Z194="Высокая",3,IF(Z194="Средняя",2,1))+AD194*2+MIN(AE194,3)</x:f>
        <x:v>5</x:v>
      </x:c>
    </x:row>
    <x:row r="195" ht="62" customHeight="1">
      <x:c r="A195" s="28" t="str">
        <x:v>STN-0194</x:v>
      </x:c>
      <x:c r="B195" s="28" t="str">
        <x:v>персик</x:v>
      </x:c>
      <x:c r="C195" s="28" t="str">
        <x:v>Универсальные</x:v>
      </x:c>
      <x:c r="D195" s="28" t="str">
        <x:v>персик</x:v>
      </x:c>
      <x:c r="E195" s="28" t="str">
        <x:v>peach</x:v>
      </x:c>
      <x:c r="F195" s="28" t="str">
        <x:v>Косточковые фрукты</x:v>
      </x:c>
      <x:c r="G195" s="28" t="str">
        <x:v>скрэмбл</x:v>
      </x:c>
      <x:c r="H195" s="28" t="str">
        <x:v>scrambled egg</x:v>
      </x:c>
      <x:c r="I195" s="28" t="str">
        <x:v>Прочее</x:v>
      </x:c>
      <x:c r="J195" s="28" t="str">
        <x:v>сливочный, персиковый, кокосово-лактонный, цветочный, зелёный</x:v>
      </x:c>
      <x:c r="K195" s="28" t="str">
        <x:v>нейтральный/специфический</x:v>
      </x:c>
      <x:c r="L195" s="28" t="str">
        <x:v>γ- и δ-декалактон, γ- и δ-додекалактон, линалоол, бензальдегид, гексаналь, цис-3-гексенол</x:v>
      </x:c>
      <x:c r="M195" s="28" t="str">
        <x:v>нужен профиль конкретного продукта</x:v>
      </x:c>
      <x:c r="N195" s="28" t="str">
        <x:v>прямое семейное перекрытие не является главным механизмом</x:v>
      </x:c>
      <x:c r="O195" s="28" t="str">
        <x:v>надёжный единичный общий маркер не подтверждён; механизм не сводится к одной молекуле</x:v>
      </x:c>
      <x:c r="P195" s="28" t="str">
        <x:v>комплементарность ароматических семейств, вкусовой контраст и матричный эффект</x:v>
      </x:c>
      <x:c r="Q195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</x:v>
      </x:c>
      <x:c r="R195" s="28" t="str">
        <x:v>обычно слабый; кислота даёт свежесть; партнёр: нет данных</x:v>
      </x:c>
      <x:c r="S195" s="28" t="str">
        <x:v>сочная пектиновая мякоть; кожица несёт зелёные и цветочные ноты; лактоны хорошо удерживаются жиром и этанолом. Партнёр: зависит от формы продукта.</x:v>
      </x:c>
      <x:c r="T19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U19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Скрэмбл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V19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95" s="28" t="str">
        <x:v>мёд, цитрус или нейтральная жировая основа</x:v>
      </x:c>
      <x:c r="X195" s="28" t="str">
        <x:v>напиток, соус, десерт или горячее блюдо после пробной дегустации</x:v>
      </x:c>
      <x:c r="Y195" s="28" t="str">
        <x:v>напитки; еда; десерты; соусы/маринады</x:v>
      </x:c>
      <x:c r="Z195" s="28" t="str">
        <x:v>Средняя</x:v>
      </x:c>
      <x:c r="AA195" s="28" t="str">
        <x:v>The Art &amp; Science of Foodpairing.pdf</x:v>
      </x:c>
      <x:c r="AB195" s="28" t="str">
        <x:v>The Art &amp; Science of Foodpairing.pdf: 260–261</x:v>
      </x:c>
      <x:c r="AC195" s="28" t="str">
        <x:v>Ingredient pairings with peach and nectarine: scrambled egg.</x:v>
      </x:c>
      <x:c r="AD195" s="28" t="n">
        <x:v>1</x:v>
      </x:c>
      <x:c r="AE195" s="28" t="n">
        <x:v>1</x:v>
      </x:c>
      <x:c r="AF195" s="28" t="n">
        <x:f>IF(Z195="Высокая",3,IF(Z195="Средняя",2,1))+AD195*2+MIN(AE195,3)</x:f>
        <x:v>5</x:v>
      </x:c>
    </x:row>
    <x:row r="196" ht="62" customHeight="1">
      <x:c r="A196" s="28" t="str">
        <x:v>STN-0195</x:v>
      </x:c>
      <x:c r="B196" s="28" t="str">
        <x:v>персик</x:v>
      </x:c>
      <x:c r="C196" s="28" t="str">
        <x:v>Универсальные</x:v>
      </x:c>
      <x:c r="D196" s="28" t="str">
        <x:v>персик</x:v>
      </x:c>
      <x:c r="E196" s="28" t="str">
        <x:v>peach</x:v>
      </x:c>
      <x:c r="F196" s="28" t="str">
        <x:v>Косточковые фрукты</x:v>
      </x:c>
      <x:c r="G196" s="28" t="str">
        <x:v>слива</x:v>
      </x:c>
      <x:c r="H196" s="28" t="str">
        <x:v>персик | Слива | Peach</x:v>
      </x:c>
      <x:c r="I196" s="28" t="str">
        <x:v>Косточковые фрукты</x:v>
      </x:c>
      <x:c r="J196" s="28" t="str">
        <x:v>сливочный, персиковый, кокосово-лактонный, цветочный, зелёный</x:v>
      </x:c>
      <x:c r="K196" s="28" t="str">
        <x:v>винно-фруктовый, цветочный, зелёный, пряный, миндальный; от свежего до тёмно-джемового</x:v>
      </x:c>
      <x:c r="L196" s="28" t="str">
        <x:v>γ- и δ-декалактон, γ- и δ-додекалактон, линалоол, бензальдегид, гексаналь, цис-3-гексенол</x:v>
      </x:c>
      <x:c r="M196" s="28" t="str">
        <x:v>фруктовые эфиры, γ- и δ-лактоны, бензальдегид, линалоол, C6-альдегиды, дамасконы</x:v>
      </x:c>
      <x:c r="N196" s="28" t="str">
        <x:v>цветочный, зелёный</x:v>
      </x:c>
      <x:c r="O196" s="28" t="str">
        <x:v>бензальдегид, линалоол</x:v>
      </x:c>
      <x:c r="P196" s="28" t="str">
        <x:v>прямое или классовое перекрытие характерных одорантов + вкусовой баланс</x:v>
      </x:c>
      <x:c r="Q196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сладость и заметная яблочно-лимонная кислотность; кожица часто терпкая. Баланс корректируется сахаром, кислотой, солью и горечью.</x:v>
      </x:c>
      <x:c r="R196" s="28" t="str">
        <x:v>обычно слабый; кислота даёт свежесть; партнёр: слабый; кислота и полифенолы создают освежающе-вяжущий эффект</x:v>
      </x:c>
      <x:c r="S196" s="28" t="str">
        <x:v>сочная пектиновая мякоть; кожица несёт зелёные и цветочные ноты; лактоны хорошо удерживаются жиром и этанолом. Партнёр: сочная пектиновая мякоть; кожица богата полифенолами; аромат хорошо работает в воде, сахаре и этаноле.</x:v>
      </x:c>
      <x:c r="T19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U19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Слива относится к группе «Косточковые фрукты» и даёт профиль «винно-фруктовый, цветочный, зелёный, пряный, миндальный; от свежего до тёмно-джемового»; типичные соединения или классы: фруктовые эфиры, γ- и δ-лактоны, бензальдегид, линалоол, C6-альдегиды, дамасконы. В рабочих профилях пересекаются: бензальдегид,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 и заметная яблочно-лимонная кислотность; кожица часто терпкая.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сочная пектиновая мякоть; кожица богата полифенолами; аромат хорошо работает в воде, сахаре 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V19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96" s="28" t="str">
        <x:v>мёд, цитрус или нейтральная жировая основа</x:v>
      </x:c>
      <x:c r="X196" s="28" t="str">
        <x:v>напиток, соус, десерт или горячее блюдо после пробной дегустации</x:v>
      </x:c>
      <x:c r="Y196" s="28" t="str">
        <x:v>напитки; еда; десерты; соусы/маринады</x:v>
      </x:c>
      <x:c r="Z196" s="28" t="str">
        <x:v>Высокая</x:v>
      </x:c>
      <x:c r="AA196" s="28" t="str">
        <x:v>The Art &amp; Science of Foodpairing.pdf | Таблица сочетания(1).pdf</x:v>
      </x:c>
      <x:c r="AB196" s="28" t="str">
        <x:v>Таблица сочетания(1).pdf: 17 | The Art &amp; Science of Foodpairing.pdf: 260</x:v>
      </x:c>
      <x:c r="AC196" s="28" t="str">
        <x:v>Пара указана в строке «Слива» → колонка «Фрукты». Пара указана в строке «Слива»: «персик» находится в колонке «Фрукты». Ингредиент «hog plum» указан на странице профиля/сетки сочетаний «Peach».</x:v>
      </x:c>
      <x:c r="AD196" s="28" t="n">
        <x:v>2</x:v>
      </x:c>
      <x:c r="AE196" s="28" t="n">
        <x:v>3</x:v>
      </x:c>
      <x:c r="AF196" s="28" t="n">
        <x:f>IF(Z196="Высокая",3,IF(Z196="Средняя",2,1))+AD196*2+MIN(AE196,3)</x:f>
        <x:v>10</x:v>
      </x:c>
    </x:row>
    <x:row r="197" ht="62" customHeight="1">
      <x:c r="A197" s="28" t="str">
        <x:v>STN-0196</x:v>
      </x:c>
      <x:c r="B197" s="28" t="str">
        <x:v>персик</x:v>
      </x:c>
      <x:c r="C197" s="28" t="str">
        <x:v>Десерты и выпечка</x:v>
      </x:c>
      <x:c r="D197" s="28" t="str">
        <x:v>персик</x:v>
      </x:c>
      <x:c r="E197" s="28" t="str">
        <x:v>peach</x:v>
      </x:c>
      <x:c r="F197" s="28" t="str">
        <x:v>Косточковые фрукты</x:v>
      </x:c>
      <x:c r="G197" s="28" t="str">
        <x:v>смородина</x:v>
      </x:c>
      <x:c r="H197" s="28" t="str">
        <x:v>смородина</x:v>
      </x:c>
      <x:c r="I197" s="28" t="str">
        <x:v>Ягоды</x:v>
      </x:c>
      <x:c r="J197" s="28" t="str">
        <x:v>сливочный, персиковый, кокосово-лактонный, цветочный, зелёный</x:v>
      </x:c>
      <x:c r="K197" s="28" t="str">
        <x:v>красно-фруктовый, цветочный, зелёный и иногда сернистый</x:v>
      </x:c>
      <x:c r="L197" s="28" t="str">
        <x:v>γ- и δ-декалактон, γ- и δ-додекалактон, линалоол, бензальдегид, гексаналь, цис-3-гексенол</x:v>
      </x:c>
      <x:c r="M197" s="28" t="str">
        <x:v>фуранеол, эфиры, иононы, зелёные альдегиды</x:v>
      </x:c>
      <x:c r="N197" s="28" t="str">
        <x:v>цветочный, зелёный</x:v>
      </x:c>
      <x:c r="O197" s="28" t="str">
        <x:v>надёжный единичный общий маркер не подтверждён; механизм не сводится к одной молекуле</x:v>
      </x:c>
      <x:c r="P197" s="28" t="str">
        <x:v>комплементарность ароматических семейств, вкусовой контраст и матричный эффект</x:v>
      </x:c>
      <x:c r="Q197" s="28" t="str">
        <x:v>Близкие фруктовые эфиры создают непрерывность, а различия в кислотности, терпкости и сладости формируют контраст.</x:v>
      </x:c>
      <x:c r="R197" s="28" t="str">
        <x:v>обычно слабый; кислота даёт свежесть; партнёр: обычно слабый; кислота усиливает свежесть</x:v>
      </x:c>
      <x:c r="S197" s="28" t="str">
        <x:v>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</x:v>
      </x:c>
      <x:c r="T19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19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19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97" s="28" t="str">
        <x:v>ваниль, мята или миндаль</x:v>
      </x:c>
      <x:c r="X197" s="28" t="str">
        <x:v>сорбет, салат, джем, кордиал, лимонад, коктейль или фруктовый соус</x:v>
      </x:c>
      <x:c r="Y197" s="28" t="str">
        <x:v>напитки; десерты; соусы/маринады</x:v>
      </x:c>
      <x:c r="Z197" s="28" t="str">
        <x:v>Гипотеза / практическая</x:v>
      </x:c>
      <x:c r="AA197" s="28" t="str">
        <x:v>Таблица сочетания(1).pdf</x:v>
      </x:c>
      <x:c r="AB197" s="28" t="str">
        <x:v>Таблица сочетания(1).pdf: Таблица сочетаний: 15 | Таблица сочетания(1).pdf: 15</x:v>
      </x:c>
      <x:c r="AC197" s="28" t="str">
        <x:v>Персик: смородина Пара указана в строке «Персик» → колонка «Фрукты».</x:v>
      </x:c>
      <x:c r="AD197" s="28" t="n">
        <x:v>1</x:v>
      </x:c>
      <x:c r="AE197" s="28" t="n">
        <x:v>2</x:v>
      </x:c>
      <x:c r="AF197" s="28" t="n">
        <x:f>IF(Z197="Высокая",3,IF(Z197="Средняя",2,1))+AD197*2+MIN(AE197,3)</x:f>
        <x:v>5</x:v>
      </x:c>
    </x:row>
    <x:row r="198" ht="62" customHeight="1">
      <x:c r="A198" s="28" t="str">
        <x:v>STN-0197</x:v>
      </x:c>
      <x:c r="B198" s="28" t="str">
        <x:v>персик</x:v>
      </x:c>
      <x:c r="C198" s="28" t="str">
        <x:v>Десерты и выпечка</x:v>
      </x:c>
      <x:c r="D198" s="28" t="str">
        <x:v>персик</x:v>
      </x:c>
      <x:c r="E198" s="28" t="str">
        <x:v>peach</x:v>
      </x:c>
      <x:c r="F198" s="28" t="str">
        <x:v>Косточковые фрукты</x:v>
      </x:c>
      <x:c r="G198" s="28" t="str">
        <x:v>сок яблока кешью</x:v>
      </x:c>
      <x:c r="H198" s="28" t="str">
        <x:v>cashew apple juice</x:v>
      </x:c>
      <x:c r="I198" s="28" t="str">
        <x:v>Фрукты</x:v>
      </x:c>
      <x:c r="J198" s="28" t="str">
        <x:v>сливочный, персиковый, кокосово-лактонный, цветочный, зелёный</x:v>
      </x:c>
      <x:c r="K198" s="28" t="str">
        <x:v>фруктовый, цветочный, зелёный или тропический</x:v>
      </x:c>
      <x:c r="L198" s="28" t="str">
        <x:v>γ- и δ-декалактон, γ- и δ-додекалактон, линалоол, бензальдегид, гексаналь, цис-3-гексенол</x:v>
      </x:c>
      <x:c r="M198" s="28" t="str">
        <x:v>фруктовые эфиры, терпены, альдегиды и лактоны</x:v>
      </x:c>
      <x:c r="N198" s="28" t="str">
        <x:v>цветочный, зелёный</x:v>
      </x:c>
      <x:c r="O198" s="28" t="str">
        <x:v>надёжный единичный общий маркер не подтверждён; механизм не сводится к одной молекуле</x:v>
      </x:c>
      <x:c r="P198" s="28" t="str">
        <x:v>комплементарность ароматических семейств, вкусовой контраст и матричный эффект</x:v>
      </x:c>
      <x:c r="Q198" s="28" t="str">
        <x:v>Близкие фруктовые эфиры создают непрерывность, а различия в кислотности, терпкости и сладости формируют контраст.</x:v>
      </x:c>
      <x:c r="R198" s="28" t="str">
        <x:v>обычно слабый; кислота даёт свежесть; партнёр: обычно слабый</x:v>
      </x:c>
      <x:c r="S198" s="28" t="str">
        <x:v>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</x:v>
      </x:c>
      <x:c r="T19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19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Сок яблока кешью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19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98" s="28" t="str">
        <x:v>цитрус, мята или ваниль</x:v>
      </x:c>
      <x:c r="X198" s="28" t="str">
        <x:v>сорбет, салат, джем, кордиал, лимонад, коктейль или фруктовый соус</x:v>
      </x:c>
      <x:c r="Y198" s="28" t="str">
        <x:v>напитки; десерты; соусы/маринады</x:v>
      </x:c>
      <x:c r="Z198" s="28" t="str">
        <x:v>Средняя</x:v>
      </x:c>
      <x:c r="AA198" s="28" t="str">
        <x:v>The Art &amp; Science of Foodpairing.pdf</x:v>
      </x:c>
      <x:c r="AB198" s="28" t="str">
        <x:v>The Art &amp; Science of Foodpairing.pdf: 260–261</x:v>
      </x:c>
      <x:c r="AC198" s="28" t="str">
        <x:v>Ingredient pairings with peach and nectarine: cashew apple juice.</x:v>
      </x:c>
      <x:c r="AD198" s="28" t="n">
        <x:v>1</x:v>
      </x:c>
      <x:c r="AE198" s="28" t="n">
        <x:v>1</x:v>
      </x:c>
      <x:c r="AF198" s="28" t="n">
        <x:f>IF(Z198="Высокая",3,IF(Z198="Средняя",2,1))+AD198*2+MIN(AE198,3)</x:f>
        <x:v>5</x:v>
      </x:c>
    </x:row>
    <x:row r="199" ht="62" customHeight="1">
      <x:c r="A199" s="28" t="str">
        <x:v>STN-0198</x:v>
      </x:c>
      <x:c r="B199" s="28" t="str">
        <x:v>персик</x:v>
      </x:c>
      <x:c r="C199" s="28" t="str">
        <x:v>Универсальные</x:v>
      </x:c>
      <x:c r="D199" s="28" t="str">
        <x:v>персик</x:v>
      </x:c>
      <x:c r="E199" s="28" t="str">
        <x:v>peach</x:v>
      </x:c>
      <x:c r="F199" s="28" t="str">
        <x:v>Косточковые фрукты</x:v>
      </x:c>
      <x:c r="G199" s="28" t="str">
        <x:v>сушеная вешенка</x:v>
      </x:c>
      <x:c r="H199" s="28" t="str">
        <x:v>dried oyster mushroom</x:v>
      </x:c>
      <x:c r="I199" s="28" t="str">
        <x:v>Прочее</x:v>
      </x:c>
      <x:c r="J199" s="28" t="str">
        <x:v>сливочный, персиковый, кокосово-лактонный, цветочный, зелёный</x:v>
      </x:c>
      <x:c r="K199" s="28" t="str">
        <x:v>нейтральный/специфический</x:v>
      </x:c>
      <x:c r="L199" s="28" t="str">
        <x:v>γ- и δ-декалактон, γ- и δ-додекалактон, линалоол, бензальдегид, гексаналь, цис-3-гексенол</x:v>
      </x:c>
      <x:c r="M199" s="28" t="str">
        <x:v>нужен профиль конкретного продукта</x:v>
      </x:c>
      <x:c r="N199" s="28" t="str">
        <x:v>прямое семейное перекрытие не является главным механизмом</x:v>
      </x:c>
      <x:c r="O199" s="28" t="str">
        <x:v>надёжный единичный общий маркер не подтверждён; механизм не сводится к одной молекуле</x:v>
      </x:c>
      <x:c r="P199" s="28" t="str">
        <x:v>комплементарность ароматических семейств, вкусовой контраст и матричный эффект</x:v>
      </x:c>
      <x:c r="Q199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</x:v>
      </x:c>
      <x:c r="R199" s="28" t="str">
        <x:v>обычно слабый; кислота даёт свежесть; партнёр: нет данных</x:v>
      </x:c>
      <x:c r="S199" s="28" t="str">
        <x:v>сочная пектиновая мякоть; кожица несёт зелёные и цветочные ноты; лактоны хорошо удерживаются жиром и этанолом. Партнёр: зависит от формы продукта.</x:v>
      </x:c>
      <x:c r="T19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U19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Сушеная вешенка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V19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199" s="28" t="str">
        <x:v>мёд, цитрус или нейтральная жировая основа</x:v>
      </x:c>
      <x:c r="X199" s="28" t="str">
        <x:v>напиток, соус, десерт или горячее блюдо после пробной дегустации</x:v>
      </x:c>
      <x:c r="Y199" s="28" t="str">
        <x:v>напитки; еда; десерты; соусы/маринады</x:v>
      </x:c>
      <x:c r="Z199" s="28" t="str">
        <x:v>Средняя</x:v>
      </x:c>
      <x:c r="AA199" s="28" t="str">
        <x:v>The Art &amp; Science of Foodpairing.pdf</x:v>
      </x:c>
      <x:c r="AB199" s="28" t="str">
        <x:v>The Art &amp; Science of Foodpairing.pdf: 260–261</x:v>
      </x:c>
      <x:c r="AC199" s="28" t="str">
        <x:v>Ingredient pairings with peach and nectarine: dried oyster mushroom.</x:v>
      </x:c>
      <x:c r="AD199" s="28" t="n">
        <x:v>1</x:v>
      </x:c>
      <x:c r="AE199" s="28" t="n">
        <x:v>1</x:v>
      </x:c>
      <x:c r="AF199" s="28" t="n">
        <x:f>IF(Z199="Высокая",3,IF(Z199="Средняя",2,1))+AD199*2+MIN(AE199,3)</x:f>
        <x:v>5</x:v>
      </x:c>
    </x:row>
    <x:row r="200" ht="62" customHeight="1">
      <x:c r="A200" s="28" t="str">
        <x:v>STN-0199</x:v>
      </x:c>
      <x:c r="B200" s="28" t="str">
        <x:v>персик</x:v>
      </x:c>
      <x:c r="C200" s="28" t="str">
        <x:v>Напитки</x:v>
      </x:c>
      <x:c r="D200" s="28" t="str">
        <x:v>персик</x:v>
      </x:c>
      <x:c r="E200" s="28" t="str">
        <x:v>peach</x:v>
      </x:c>
      <x:c r="F200" s="28" t="str">
        <x:v>Косточковые фрукты</x:v>
      </x:c>
      <x:c r="G200" s="28" t="str">
        <x:v>сушеная ромашка</x:v>
      </x:c>
      <x:c r="H200" s="28" t="str">
        <x:v>dried chamomile</x:v>
      </x:c>
      <x:c r="I200" s="28" t="str">
        <x:v>Алкогольные напитки</x:v>
      </x:c>
      <x:c r="J200" s="28" t="str">
        <x:v>сливочный, персиковый, кокосово-лактонный, цветочный, зелёный</x:v>
      </x:c>
      <x:c r="K200" s="28" t="str">
        <x:v>спиртовой, эфирный, фруктовый или древесный в зависимости от напитка</x:v>
      </x:c>
      <x:c r="L200" s="28" t="str">
        <x:v>γ- и δ-декалактон, γ- и δ-додекалактон, линалоол, бензальдегид, гексаналь, цис-3-гексенол</x:v>
      </x:c>
      <x:c r="M200" s="28" t="str">
        <x:v>этиловые эфиры, высшие спирты, ацетали; для выдержанных напитков — ванилин и дубовые лактоны</x:v>
      </x:c>
      <x:c r="N200" s="28" t="str">
        <x:v>прямое семейное перекрытие не является главным механизмом</x:v>
      </x:c>
      <x:c r="O200" s="28" t="str">
        <x:v>надёжный единичный общий маркер не подтверждён; механизм не сводится к одной молекуле</x:v>
      </x:c>
      <x:c r="P200" s="28" t="str">
        <x:v>комплементарность ароматических семейств, вкусовой контраст и матричный эффект</x:v>
      </x:c>
      <x:c r="Q200" s="28" t="str">
        <x:v>Этанол усиливает летучесть лактонов и терпенов; сахар и кислотность должны быть настроены так, чтобы крепость не маскировала плод.</x:v>
      </x:c>
      <x:c r="R200" s="28" t="str">
        <x:v>обычно слабый; кислота даёт свежесть; партнёр: этанол даёт согревание</x:v>
      </x:c>
      <x:c r="S200" s="28" t="str">
        <x:v>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</x:v>
      </x:c>
      <x:c r="T200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U20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Сушеная ромашка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По доступным материалам нельзя уверенно свести совместимость к одной общей молекуле.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V200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W200" s="28" t="str">
        <x:v>цитрус, чай или вермут</x:v>
      </x:c>
      <x:c r="X200" s="28" t="str">
        <x:v>коктейль, кордиал, настой, спритц, чайный или кофейный напиток</x:v>
      </x:c>
      <x:c r="Y200" s="28" t="str">
        <x:v>напитки</x:v>
      </x:c>
      <x:c r="Z200" s="28" t="str">
        <x:v>Средняя</x:v>
      </x:c>
      <x:c r="AA200" s="28" t="str">
        <x:v>The Art &amp; Science of Foodpairing.pdf</x:v>
      </x:c>
      <x:c r="AB200" s="28" t="str">
        <x:v>The Art &amp; Science of Foodpairing.pdf: 260–261</x:v>
      </x:c>
      <x:c r="AC200" s="28" t="str">
        <x:v>Ingredient pairings with peach and nectarine: dried chamomile.</x:v>
      </x:c>
      <x:c r="AD200" s="28" t="n">
        <x:v>1</x:v>
      </x:c>
      <x:c r="AE200" s="28" t="n">
        <x:v>1</x:v>
      </x:c>
      <x:c r="AF200" s="28" t="n">
        <x:f>IF(Z200="Высокая",3,IF(Z200="Средняя",2,1))+AD200*2+MIN(AE200,3)</x:f>
        <x:v>5</x:v>
      </x:c>
    </x:row>
    <x:row r="201" ht="62" customHeight="1">
      <x:c r="A201" s="28" t="str">
        <x:v>STN-0200</x:v>
      </x:c>
      <x:c r="B201" s="28" t="str">
        <x:v>персик</x:v>
      </x:c>
      <x:c r="C201" s="28" t="str">
        <x:v>Еда и соусы</x:v>
      </x:c>
      <x:c r="D201" s="28" t="str">
        <x:v>персик</x:v>
      </x:c>
      <x:c r="E201" s="28" t="str">
        <x:v>peach</x:v>
      </x:c>
      <x:c r="F201" s="28" t="str">
        <x:v>Косточковые фрукты</x:v>
      </x:c>
      <x:c r="G201" s="28" t="str">
        <x:v>сушеные белые грибы</x:v>
      </x:c>
      <x:c r="H201" s="28" t="str">
        <x:v>dried porcini</x:v>
      </x:c>
      <x:c r="I201" s="28" t="str">
        <x:v>Грибы и трюфели</x:v>
      </x:c>
      <x:c r="J201" s="28" t="str">
        <x:v>сливочный, персиковый, кокосово-лактонный, цветочный, зелёный</x:v>
      </x:c>
      <x:c r="K201" s="28" t="str">
        <x:v>землистый, грибной, ореховый и умами</x:v>
      </x:c>
      <x:c r="L201" s="28" t="str">
        <x:v>γ- и δ-декалактон, γ- и δ-додекалактон, линалоол, бензальдегид, гексаналь, цис-3-гексенол</x:v>
      </x:c>
      <x:c r="M201" s="28" t="str">
        <x:v>1-октен-3-ол, 1-октен-3-он, сернистые соединения</x:v>
      </x:c>
      <x:c r="N201" s="28" t="str">
        <x:v>прямое семейное перекрытие не является главным механизмом</x:v>
      </x:c>
      <x:c r="O201" s="28" t="str">
        <x:v>надёжный единичный общий маркер не подтверждён; механизм не сводится к одной молекуле</x:v>
      </x:c>
      <x:c r="P201" s="28" t="str">
        <x:v>комплементарность ароматических семейств, вкусовой контраст и матричный эффект</x:v>
      </x:c>
      <x:c r="Q201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умами и лёгкая горечь. Баланс корректируется сахаром, кислотой, солью и горечью.</x:v>
      </x:c>
      <x:c r="R201" s="28" t="str">
        <x:v>обычно слабый; кислота даёт свежесть; партнёр: нет выраженного</x:v>
      </x:c>
      <x:c r="S201" s="28" t="str">
        <x:v>сочная пектиновая мякоть; кожица несёт зелёные и цветочные ноты; лактоны хорошо удерживаются жиром и этанолом. Партнёр: вода и клетчатка; обжарка создаёт новые жареные молекулы.</x:v>
      </x:c>
      <x:c r="T20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20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белые грибы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умами и лёгкая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вода и клетчатка; обжарка создаёт новые жареные молекулы.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20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01" s="28" t="str">
        <x:v>сливочное масло, тимьян или твёрдый сыр</x:v>
      </x:c>
      <x:c r="X201" s="28" t="str">
        <x:v>соус, глазировка, чатни, маринад, гарнир или основное блюдо</x:v>
      </x:c>
      <x:c r="Y201" s="28" t="str">
        <x:v>еда; соусы/маринады</x:v>
      </x:c>
      <x:c r="Z201" s="28" t="str">
        <x:v>Средняя</x:v>
      </x:c>
      <x:c r="AA201" s="28" t="str">
        <x:v>The Art &amp; Science of Foodpairing.pdf</x:v>
      </x:c>
      <x:c r="AB201" s="28" t="str">
        <x:v>The Art &amp; Science of Foodpairing.pdf: 260–261</x:v>
      </x:c>
      <x:c r="AC201" s="28" t="str">
        <x:v>Ingredient pairings with peach and nectarine: dried porcini.</x:v>
      </x:c>
      <x:c r="AD201" s="28" t="n">
        <x:v>1</x:v>
      </x:c>
      <x:c r="AE201" s="28" t="n">
        <x:v>2</x:v>
      </x:c>
      <x:c r="AF201" s="28" t="n">
        <x:f>IF(Z201="Высокая",3,IF(Z201="Средняя",2,1))+AD201*2+MIN(AE201,3)</x:f>
        <x:v>6</x:v>
      </x:c>
    </x:row>
    <x:row r="202" ht="62" customHeight="1">
      <x:c r="A202" s="28" t="str">
        <x:v>STN-0201</x:v>
      </x:c>
      <x:c r="B202" s="28" t="str">
        <x:v>персик</x:v>
      </x:c>
      <x:c r="C202" s="28" t="str">
        <x:v>Универсальные</x:v>
      </x:c>
      <x:c r="D202" s="28" t="str">
        <x:v>персик</x:v>
      </x:c>
      <x:c r="E202" s="28" t="str">
        <x:v>peach</x:v>
      </x:c>
      <x:c r="F202" s="28" t="str">
        <x:v>Косточковые фрукты</x:v>
      </x:c>
      <x:c r="G202" s="28" t="str">
        <x:v>сушеные листья тмина</x:v>
      </x:c>
      <x:c r="H202" s="28" t="str">
        <x:v>dried caraway leaves</x:v>
      </x:c>
      <x:c r="I202" s="28" t="str">
        <x:v>Прочее</x:v>
      </x:c>
      <x:c r="J202" s="28" t="str">
        <x:v>сливочный, персиковый, кокосово-лактонный, цветочный, зелёный</x:v>
      </x:c>
      <x:c r="K202" s="28" t="str">
        <x:v>нейтральный/специфический</x:v>
      </x:c>
      <x:c r="L202" s="28" t="str">
        <x:v>γ- и δ-декалактон, γ- и δ-додекалактон, линалоол, бензальдегид, гексаналь, цис-3-гексенол</x:v>
      </x:c>
      <x:c r="M202" s="28" t="str">
        <x:v>нужен профиль конкретного продукта</x:v>
      </x:c>
      <x:c r="N202" s="28" t="str">
        <x:v>прямое семейное перекрытие не является главным механизмом</x:v>
      </x:c>
      <x:c r="O202" s="28" t="str">
        <x:v>надёжный единичный общий маркер не подтверждён; механизм не сводится к одной молекуле</x:v>
      </x:c>
      <x:c r="P202" s="28" t="str">
        <x:v>комплементарность ароматических семейств, вкусовой контраст и матричный эффект</x:v>
      </x:c>
      <x:c r="Q202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</x:v>
      </x:c>
      <x:c r="R202" s="28" t="str">
        <x:v>обычно слабый; кислота даёт свежесть; партнёр: нет данных</x:v>
      </x:c>
      <x:c r="S202" s="28" t="str">
        <x:v>сочная пектиновая мякоть; кожица несёт зелёные и цветочные ноты; лактоны хорошо удерживаются жиром и этанолом. Партнёр: зависит от формы продукта.</x:v>
      </x:c>
      <x:c r="T20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U20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листья тмина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V20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02" s="28" t="str">
        <x:v>мёд, цитрус или нейтральная жировая основа</x:v>
      </x:c>
      <x:c r="X202" s="28" t="str">
        <x:v>напиток, соус, десерт или горячее блюдо после пробной дегустации</x:v>
      </x:c>
      <x:c r="Y202" s="28" t="str">
        <x:v>напитки; еда; десерты; соусы/маринады</x:v>
      </x:c>
      <x:c r="Z202" s="28" t="str">
        <x:v>Средняя</x:v>
      </x:c>
      <x:c r="AA202" s="28" t="str">
        <x:v>The Art &amp; Science of Foodpairing.pdf</x:v>
      </x:c>
      <x:c r="AB202" s="28" t="str">
        <x:v>The Art &amp; Science of Foodpairing.pdf: 260–261</x:v>
      </x:c>
      <x:c r="AC202" s="28" t="str">
        <x:v>Ingredient pairings with peach and nectarine: dried caraway leaves.</x:v>
      </x:c>
      <x:c r="AD202" s="28" t="n">
        <x:v>1</x:v>
      </x:c>
      <x:c r="AE202" s="28" t="n">
        <x:v>1</x:v>
      </x:c>
      <x:c r="AF202" s="28" t="n">
        <x:f>IF(Z202="Высокая",3,IF(Z202="Средняя",2,1))+AD202*2+MIN(AE202,3)</x:f>
        <x:v>5</x:v>
      </x:c>
    </x:row>
    <x:row r="203" ht="62" customHeight="1">
      <x:c r="A203" s="28" t="str">
        <x:v>STN-0202</x:v>
      </x:c>
      <x:c r="B203" s="28" t="str">
        <x:v>персик</x:v>
      </x:c>
      <x:c r="C203" s="28" t="str">
        <x:v>Универсальные</x:v>
      </x:c>
      <x:c r="D203" s="28" t="str">
        <x:v>персик</x:v>
      </x:c>
      <x:c r="E203" s="28" t="str">
        <x:v>peach</x:v>
      </x:c>
      <x:c r="F203" s="28" t="str">
        <x:v>Косточковые фрукты</x:v>
      </x:c>
      <x:c r="G203" s="28" t="str">
        <x:v>сушеные семена черного тмина</x:v>
      </x:c>
      <x:c r="H203" s="28" t="str">
        <x:v>dried black caraway seeds</x:v>
      </x:c>
      <x:c r="I203" s="28" t="str">
        <x:v>Специи и острые компоненты</x:v>
      </x:c>
      <x:c r="J203" s="28" t="str">
        <x:v>сливочный, персиковый, кокосово-лактонный, цветочный, зелёный</x:v>
      </x:c>
      <x:c r="K203" s="28" t="str">
        <x:v>пряный, древесный, цветочный или жгучий</x:v>
      </x:c>
      <x:c r="L203" s="28" t="str">
        <x:v>γ- и δ-декалактон, γ- и δ-додекалактон, линалоол, бензальдегид, гексаналь, цис-3-гексенол</x:v>
      </x:c>
      <x:c r="M203" s="28" t="str">
        <x:v>эвгенол, циннамальдегид, анетол, терпены, капсаициноиды, пиперин</x:v>
      </x:c>
      <x:c r="N203" s="28" t="str">
        <x:v>цветочный</x:v>
      </x:c>
      <x:c r="O203" s="28" t="str">
        <x:v>надёжный единичный общий маркер не подтверждён; механизм не сводится к одной молекуле</x:v>
      </x:c>
      <x:c r="P203" s="28" t="str">
        <x:v>комплементарность ароматических семейств, вкусовой контраст и матричный эффект</x:v>
      </x:c>
      <x:c r="Q203" s="28" t="str">
        <x:v>Сладость и кислота фрукта смягчают остроту и горечь специи, а пряный компонент удлиняет ароматическое послевкусие.</x:v>
      </x:c>
      <x:c r="R203" s="28" t="str">
        <x:v>обычно слабый; кислота даёт свежесть; партнёр: выраженный: жжение, тепло или покалывание</x:v>
      </x:c>
      <x:c r="S203" s="28" t="str">
        <x:v>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</x:v>
      </x:c>
      <x:c r="T203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U20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семена черного тмина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V203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W203" s="28" t="str">
        <x:v>мёд, цитрус или миндаль</x:v>
      </x:c>
      <x:c r="X203" s="28" t="str">
        <x:v>напиток, соус, десерт или горячее блюдо после пробной дегустации</x:v>
      </x:c>
      <x:c r="Y203" s="28" t="str">
        <x:v>напитки; еда; десерты; соусы/маринады</x:v>
      </x:c>
      <x:c r="Z203" s="28" t="str">
        <x:v>Средняя</x:v>
      </x:c>
      <x:c r="AA203" s="28" t="str">
        <x:v>The Art &amp; Science of Foodpairing.pdf</x:v>
      </x:c>
      <x:c r="AB203" s="28" t="str">
        <x:v>The Art &amp; Science of Foodpairing.pdf: 260–261</x:v>
      </x:c>
      <x:c r="AC203" s="28" t="str">
        <x:v>Ingredient pairings with peach and nectarine: dried black caraway seeds.</x:v>
      </x:c>
      <x:c r="AD203" s="28" t="n">
        <x:v>1</x:v>
      </x:c>
      <x:c r="AE203" s="28" t="n">
        <x:v>1</x:v>
      </x:c>
      <x:c r="AF203" s="28" t="n">
        <x:f>IF(Z203="Высокая",3,IF(Z203="Средняя",2,1))+AD203*2+MIN(AE203,3)</x:f>
        <x:v>5</x:v>
      </x:c>
    </x:row>
    <x:row r="204" ht="62" customHeight="1">
      <x:c r="A204" s="28" t="str">
        <x:v>STN-0203</x:v>
      </x:c>
      <x:c r="B204" s="28" t="str">
        <x:v>персик</x:v>
      </x:c>
      <x:c r="C204" s="28" t="str">
        <x:v>Универсальные</x:v>
      </x:c>
      <x:c r="D204" s="28" t="str">
        <x:v>персик</x:v>
      </x:c>
      <x:c r="E204" s="28" t="str">
        <x:v>peach</x:v>
      </x:c>
      <x:c r="F204" s="28" t="str">
        <x:v>Косточковые фрукты</x:v>
      </x:c>
      <x:c r="G204" s="28" t="str">
        <x:v>сушеные цветы сакуры</x:v>
      </x:c>
      <x:c r="H204" s="28" t="str">
        <x:v>dried cherry blossom</x:v>
      </x:c>
      <x:c r="I204" s="28" t="str">
        <x:v>Травы, листья и цветы</x:v>
      </x:c>
      <x:c r="J204" s="28" t="str">
        <x:v>сливочный, персиковый, кокосово-лактонный, цветочный, зелёный</x:v>
      </x:c>
      <x:c r="K204" s="28" t="str">
        <x:v>зелёный, цветочный, цитрусовый или анисовый</x:v>
      </x:c>
      <x:c r="L204" s="28" t="str">
        <x:v>γ- и δ-декалактон, γ- и δ-додекалактон, линалоол, бензальдегид, гексаналь, цис-3-гексенол</x:v>
      </x:c>
      <x:c r="M204" s="28" t="str">
        <x:v>терпены, линалоол, гераниол, эвгенол, анетол, C6-альдегиды</x:v>
      </x:c>
      <x:c r="N204" s="28" t="str">
        <x:v>цветочный, зелёный</x:v>
      </x:c>
      <x:c r="O204" s="28" t="str">
        <x:v>линалоол</x:v>
      </x:c>
      <x:c r="P204" s="28" t="str">
        <x:v>прямое или классовое перекрытие характерных одорантов + вкусовой баланс</x:v>
      </x:c>
      <x:c r="Q204" s="28" t="str">
        <x:v>Цветочные и зелёные ноты расширяют верхнюю часть аромата; фруктовая сладость смягчает травяную горечь.</x:v>
      </x:c>
      <x:c r="R204" s="28" t="str">
        <x:v>обычно слабый; кислота даёт свежесть; партнёр: часто охлаждение/покалывание у мяты и хвои</x:v>
      </x:c>
      <x:c r="S204" s="28" t="str">
        <x:v>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</x:v>
      </x:c>
      <x:c r="T204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U20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цветы сакуры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V20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04" s="28" t="str">
        <x:v>лимон, мёд или ваниль</x:v>
      </x:c>
      <x:c r="X204" s="28" t="str">
        <x:v>напиток, соус, десерт или горячее блюдо после пробной дегустации</x:v>
      </x:c>
      <x:c r="Y204" s="28" t="str">
        <x:v>напитки; еда; десерты; соусы/маринады</x:v>
      </x:c>
      <x:c r="Z204" s="28" t="str">
        <x:v>Средняя</x:v>
      </x:c>
      <x:c r="AA204" s="28" t="str">
        <x:v>The Art &amp; Science of Foodpairing.pdf</x:v>
      </x:c>
      <x:c r="AB204" s="28" t="str">
        <x:v>The Art &amp; Science of Foodpairing.pdf: 260–261</x:v>
      </x:c>
      <x:c r="AC204" s="28" t="str">
        <x:v>Ingredient pairings with peach and nectarine: dried cherry blossom.</x:v>
      </x:c>
      <x:c r="AD204" s="28" t="n">
        <x:v>1</x:v>
      </x:c>
      <x:c r="AE204" s="28" t="n">
        <x:v>1</x:v>
      </x:c>
      <x:c r="AF204" s="28" t="n">
        <x:f>IF(Z204="Высокая",3,IF(Z204="Средняя",2,1))+AD204*2+MIN(AE204,3)</x:f>
        <x:v>5</x:v>
      </x:c>
    </x:row>
    <x:row r="205" ht="62" customHeight="1">
      <x:c r="A205" s="28" t="str">
        <x:v>STN-0204</x:v>
      </x:c>
      <x:c r="B205" s="28" t="str">
        <x:v>персик</x:v>
      </x:c>
      <x:c r="C205" s="28" t="str">
        <x:v>Десерты и выпечка</x:v>
      </x:c>
      <x:c r="D205" s="28" t="str">
        <x:v>персик</x:v>
      </x:c>
      <x:c r="E205" s="28" t="str">
        <x:v>peach</x:v>
      </x:c>
      <x:c r="F205" s="28" t="str">
        <x:v>Косточковые фрукты</x:v>
      </x:c>
      <x:c r="G205" s="28" t="str">
        <x:v>сыр манчего</x:v>
      </x:c>
      <x:c r="H205" s="28" t="str">
        <x:v>Manchego cheese</x:v>
      </x:c>
      <x:c r="I205" s="28" t="str">
        <x:v>Сыры и молочные продукты</x:v>
      </x:c>
      <x:c r="J205" s="28" t="str">
        <x:v>сливочный, персиковый, кокосово-лактонный, цветочный, зелёный</x:v>
      </x:c>
      <x:c r="K205" s="28" t="str">
        <x:v>сливочный, молочный, ферментированный, иногда ореховый или пикантный</x:v>
      </x:c>
      <x:c r="L205" s="28" t="str">
        <x:v>γ- и δ-декалактон, γ- и δ-додекалактон, линалоол, бензальдегид, гексаналь, цис-3-гексенол</x:v>
      </x:c>
      <x:c r="M205" s="28" t="str">
        <x:v>лактоны, диацетил, жирные кислоты, сернистые и аминокислотные продукты ферментации</x:v>
      </x:c>
      <x:c r="N205" s="28" t="str">
        <x:v>сливочный</x:v>
      </x:c>
      <x:c r="O205" s="28" t="str">
        <x:v>надёжный единичный общий маркер не подтверждён; механизм не сводится к одной молекуле</x:v>
      </x:c>
      <x:c r="P205" s="28" t="str">
        <x:v>комплементарность ароматических семейств, вкусовой контраст и матричный эффект</x:v>
      </x:c>
      <x:c r="Q205" s="28" t="str">
        <x:v>Фруктовая кислота и сладость освежают жирную молочную матрицу; соль и умами сыра усиливают воспринимаемую фруктовость.</x:v>
      </x:c>
      <x:c r="R205" s="28" t="str">
        <x:v>обычно слабый; кислота даёт свежесть; партнёр: нет выраженного</x:v>
      </x:c>
      <x:c r="S205" s="28" t="str">
        <x:v>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</x:v>
      </x:c>
      <x:c r="T205" s="28" t="str">
        <x:v>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U20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Сыр манчего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Общие ароматические направления: сливочный.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 Обработка: 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V205" s="28" t="str">
        <x:v>незрелый плод ароматически беден; перезрелый быстро окисляется; косточки не использовать без безопасной технологии. Избыток кислоты может свернуть молочную основу; фрукт и сыр проверяют при рабочей температуре.</x:v>
      </x:c>
      <x:c r="W205" s="28" t="str">
        <x:v>миндаль, ваниль или мёд</x:v>
      </x:c>
      <x:c r="X205" s="28" t="str">
        <x:v>тарт, крем, мороженое, выпечка, сырная подача или начинка</x:v>
      </x:c>
      <x:c r="Y205" s="28" t="str">
        <x:v>десерты; еда</x:v>
      </x:c>
      <x:c r="Z205" s="28" t="str">
        <x:v>Средняя</x:v>
      </x:c>
      <x:c r="AA205" s="28" t="str">
        <x:v>The Art &amp; Science of Foodpairing.pdf</x:v>
      </x:c>
      <x:c r="AB205" s="28" t="str">
        <x:v>The Art &amp; Science of Foodpairing.pdf: 260–261</x:v>
      </x:c>
      <x:c r="AC205" s="28" t="str">
        <x:v>Ingredient pairings with peach and nectarine: Manchego cheese.</x:v>
      </x:c>
      <x:c r="AD205" s="28" t="n">
        <x:v>1</x:v>
      </x:c>
      <x:c r="AE205" s="28" t="n">
        <x:v>1</x:v>
      </x:c>
      <x:c r="AF205" s="28" t="n">
        <x:f>IF(Z205="Высокая",3,IF(Z205="Средняя",2,1))+AD205*2+MIN(AE205,3)</x:f>
        <x:v>5</x:v>
      </x:c>
    </x:row>
    <x:row r="206" ht="62" customHeight="1">
      <x:c r="A206" s="28" t="str">
        <x:v>STN-0205</x:v>
      </x:c>
      <x:c r="B206" s="28" t="str">
        <x:v>персик</x:v>
      </x:c>
      <x:c r="C206" s="28" t="str">
        <x:v>Универсальные</x:v>
      </x:c>
      <x:c r="D206" s="28" t="str">
        <x:v>персик</x:v>
      </x:c>
      <x:c r="E206" s="28" t="str">
        <x:v>peach</x:v>
      </x:c>
      <x:c r="F206" s="28" t="str">
        <x:v>Косточковые фрукты</x:v>
      </x:c>
      <x:c r="G206" s="28" t="str">
        <x:v>сычуаньский перец</x:v>
      </x:c>
      <x:c r="H206" s="28" t="str">
        <x:v>Sichuan pepper</x:v>
      </x:c>
      <x:c r="I206" s="28" t="str">
        <x:v>Специи и острые компоненты</x:v>
      </x:c>
      <x:c r="J206" s="28" t="str">
        <x:v>сливочный, персиковый, кокосово-лактонный, цветочный, зелёный</x:v>
      </x:c>
      <x:c r="K206" s="28" t="str">
        <x:v>пряный, древесный, цветочный или жгучий</x:v>
      </x:c>
      <x:c r="L206" s="28" t="str">
        <x:v>γ- и δ-декалактон, γ- и δ-додекалактон, линалоол, бензальдегид, гексаналь, цис-3-гексенол</x:v>
      </x:c>
      <x:c r="M206" s="28" t="str">
        <x:v>эвгенол, циннамальдегид, анетол, терпены, капсаициноиды, пиперин</x:v>
      </x:c>
      <x:c r="N206" s="28" t="str">
        <x:v>цветочный</x:v>
      </x:c>
      <x:c r="O206" s="28" t="str">
        <x:v>надёжный единичный общий маркер не подтверждён; механизм не сводится к одной молекуле</x:v>
      </x:c>
      <x:c r="P206" s="28" t="str">
        <x:v>комплементарность ароматических семейств, вкусовой контраст и матричный эффект</x:v>
      </x:c>
      <x:c r="Q206" s="28" t="str">
        <x:v>Сладость и кислота фрукта смягчают остроту и горечь специи, а пряный компонент удлиняет ароматическое послевкусие.</x:v>
      </x:c>
      <x:c r="R206" s="28" t="str">
        <x:v>обычно слабый; кислота даёт свежесть; партнёр: выраженный: жжение, тепло или покалывание</x:v>
      </x:c>
      <x:c r="S206" s="28" t="str">
        <x:v>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</x:v>
      </x:c>
      <x:c r="T206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U20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Сычуаньский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V206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W206" s="28" t="str">
        <x:v>мёд, цитрус или миндаль</x:v>
      </x:c>
      <x:c r="X206" s="28" t="str">
        <x:v>напиток, соус, десерт или горячее блюдо после пробной дегустации</x:v>
      </x:c>
      <x:c r="Y206" s="28" t="str">
        <x:v>напитки; еда; десерты; соусы/маринады</x:v>
      </x:c>
      <x:c r="Z206" s="28" t="str">
        <x:v>Средняя</x:v>
      </x:c>
      <x:c r="AA206" s="28" t="str">
        <x:v>The Art &amp; Science of Foodpairing.pdf</x:v>
      </x:c>
      <x:c r="AB206" s="28" t="str">
        <x:v>The Art &amp; Science of Foodpairing.pdf: 260–261</x:v>
      </x:c>
      <x:c r="AC206" s="28" t="str">
        <x:v>Ingredient pairings with peach and nectarine: Sichuan pepper.</x:v>
      </x:c>
      <x:c r="AD206" s="28" t="n">
        <x:v>1</x:v>
      </x:c>
      <x:c r="AE206" s="28" t="n">
        <x:v>1</x:v>
      </x:c>
      <x:c r="AF206" s="28" t="n">
        <x:f>IF(Z206="Высокая",3,IF(Z206="Средняя",2,1))+AD206*2+MIN(AE206,3)</x:f>
        <x:v>5</x:v>
      </x:c>
    </x:row>
    <x:row r="207" ht="62" customHeight="1">
      <x:c r="A207" s="28" t="str">
        <x:v>STN-0206</x:v>
      </x:c>
      <x:c r="B207" s="28" t="str">
        <x:v>персик</x:v>
      </x:c>
      <x:c r="C207" s="28" t="str">
        <x:v>Универсальные</x:v>
      </x:c>
      <x:c r="D207" s="28" t="str">
        <x:v>персик</x:v>
      </x:c>
      <x:c r="E207" s="28" t="str">
        <x:v>peach</x:v>
      </x:c>
      <x:c r="F207" s="28" t="str">
        <x:v>Косточковые фрукты</x:v>
      </x:c>
      <x:c r="G207" s="28" t="str">
        <x:v>таитянская ваниль</x:v>
      </x:c>
      <x:c r="H207" s="28" t="str">
        <x:v>Tahitian vanilla</x:v>
      </x:c>
      <x:c r="I207" s="28" t="str">
        <x:v>Прочее</x:v>
      </x:c>
      <x:c r="J207" s="28" t="str">
        <x:v>сливочный, персиковый, кокосово-лактонный, цветочный, зелёный</x:v>
      </x:c>
      <x:c r="K207" s="28" t="str">
        <x:v>комплексный</x:v>
      </x:c>
      <x:c r="L207" s="28" t="str">
        <x:v>γ- и δ-декалактон, γ- и δ-додекалактон, линалоол, бензальдегид, гексаналь, цис-3-гексенол</x:v>
      </x:c>
      <x:c r="M207" s="28" t="str">
        <x:v>не конкретизированы</x:v>
      </x:c>
      <x:c r="N207" s="28" t="str">
        <x:v>прямое семейное перекрытие не является главным механизмом</x:v>
      </x:c>
      <x:c r="O207" s="28" t="str">
        <x:v>надёжный единичный общий маркер не подтверждён; механизм не сводится к одной молекуле</x:v>
      </x:c>
      <x:c r="P207" s="28" t="str">
        <x:v>комплементарность ароматических семейств, вкусовой контраст и матричный эффект</x:v>
      </x:c>
      <x:c r="Q207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</x:v>
      </x:c>
      <x:c r="R207" s="28" t="str">
        <x:v>обычно слабый; кислота даёт свежесть; партнёр: обычно отсутствует; зависит от конкретного продукта</x:v>
      </x:c>
      <x:c r="S207" s="28" t="str">
        <x:v>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</x:v>
      </x:c>
      <x:c r="T20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20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Таитянская ваниль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20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07" s="28" t="str">
        <x:v>мёд, цитрус или нейтральная жировая основа</x:v>
      </x:c>
      <x:c r="X207" s="28" t="str">
        <x:v>напиток, соус, десерт или горячее блюдо после пробной дегустации</x:v>
      </x:c>
      <x:c r="Y207" s="28" t="str">
        <x:v>напитки; еда; десерты; соусы/маринады</x:v>
      </x:c>
      <x:c r="Z207" s="28" t="str">
        <x:v>Средняя</x:v>
      </x:c>
      <x:c r="AA207" s="28" t="str">
        <x:v>The Art &amp; Science of Foodpairing.pdf</x:v>
      </x:c>
      <x:c r="AB207" s="28" t="str">
        <x:v>The Art &amp; Science of Foodpairing.pdf: 260–261</x:v>
      </x:c>
      <x:c r="AC207" s="28" t="str">
        <x:v>Ingredient pairings with peach and nectarine: Tahitian vanilla.</x:v>
      </x:c>
      <x:c r="AD207" s="28" t="n">
        <x:v>1</x:v>
      </x:c>
      <x:c r="AE207" s="28" t="n">
        <x:v>1</x:v>
      </x:c>
      <x:c r="AF207" s="28" t="n">
        <x:f>IF(Z207="Высокая",3,IF(Z207="Средняя",2,1))+AD207*2+MIN(AE207,3)</x:f>
        <x:v>5</x:v>
      </x:c>
    </x:row>
    <x:row r="208" ht="62" customHeight="1">
      <x:c r="A208" s="28" t="str">
        <x:v>STN-0207</x:v>
      </x:c>
      <x:c r="B208" s="28" t="str">
        <x:v>персик</x:v>
      </x:c>
      <x:c r="C208" s="28" t="str">
        <x:v>Универсальные</x:v>
      </x:c>
      <x:c r="D208" s="28" t="str">
        <x:v>персик</x:v>
      </x:c>
      <x:c r="E208" s="28" t="str">
        <x:v>peach</x:v>
      </x:c>
      <x:c r="F208" s="28" t="str">
        <x:v>Косточковые фрукты</x:v>
      </x:c>
      <x:c r="G208" s="28" t="str">
        <x:v>темный шоколад</x:v>
      </x:c>
      <x:c r="H208" s="28" t="str">
        <x:v>dark chocolate</x:v>
      </x:c>
      <x:c r="I208" s="28" t="str">
        <x:v>Чай, кофе и какао</x:v>
      </x:c>
      <x:c r="J208" s="28" t="str">
        <x:v>сливочный, персиковый, кокосово-лактонный, цветочный, зелёный</x:v>
      </x:c>
      <x:c r="K208" s="28" t="str">
        <x:v>какао, жареный, ореховый и фруктовый</x:v>
      </x:c>
      <x:c r="L208" s="28" t="str">
        <x:v>γ- и δ-декалактон, γ- и δ-додекалактон, линалоол, бензальдегид, гексаналь, цис-3-гексенол</x:v>
      </x:c>
      <x:c r="M208" s="28" t="str">
        <x:v>пиразины, альдегиды Стреккера, фураны</x:v>
      </x:c>
      <x:c r="N208" s="28" t="str">
        <x:v>прямое семейное перекрытие не является главным механизмом</x:v>
      </x:c>
      <x:c r="O208" s="28" t="str">
        <x:v>надёжный единичный общий маркер не подтверждён; механизм не сводится к одной молекуле</x:v>
      </x:c>
      <x:c r="P208" s="28" t="str">
        <x:v>комплементарность ароматических семейств, вкусовой контраст и матричный эффект</x:v>
      </x:c>
      <x:c r="Q208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горечь, терпкость и жареная сладость. Баланс корректируется сахаром, кислотой, солью и горечью.</x:v>
      </x:c>
      <x:c r="R208" s="28" t="str">
        <x:v>обычно слабый; кислота даёт свежесть; партнёр: кофеин и терпкость создают сухость, но прямой тройничный эффект умерен</x:v>
      </x:c>
      <x:c r="S208" s="28" t="str">
        <x:v>сочная пектиновая мякоть; кожица несёт зелёные и цветочные ноты; лактоны хорошо удерживаются жиром и этанолом. Партнёр: водные настои извлекают полифенолы; жир и сахар смягчают горечь.</x:v>
      </x:c>
      <x:c r="T20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U20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Темный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горечь, терпкость и жареная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водные настои извлекают полифенолы; жир и сахар смягчают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V20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08" s="28" t="str">
        <x:v>мёд, цитрус или нейтральная жировая основа</x:v>
      </x:c>
      <x:c r="X208" s="28" t="str">
        <x:v>напиток, соус, десерт или горячее блюдо после пробной дегустации</x:v>
      </x:c>
      <x:c r="Y208" s="28" t="str">
        <x:v>напитки; еда; десерты; соусы/маринады</x:v>
      </x:c>
      <x:c r="Z208" s="28" t="str">
        <x:v>Средняя</x:v>
      </x:c>
      <x:c r="AA208" s="28" t="str">
        <x:v>The Art &amp; Science of Foodpairing.pdf</x:v>
      </x:c>
      <x:c r="AB208" s="28" t="str">
        <x:v>The Art &amp; Science of Foodpairing.pdf: 260–261</x:v>
      </x:c>
      <x:c r="AC208" s="28" t="str">
        <x:v>Ingredient pairings with peach and nectarine: dark chocolate.</x:v>
      </x:c>
      <x:c r="AD208" s="28" t="n">
        <x:v>1</x:v>
      </x:c>
      <x:c r="AE208" s="28" t="n">
        <x:v>1</x:v>
      </x:c>
      <x:c r="AF208" s="28" t="n">
        <x:f>IF(Z208="Высокая",3,IF(Z208="Средняя",2,1))+AD208*2+MIN(AE208,3)</x:f>
        <x:v>5</x:v>
      </x:c>
    </x:row>
    <x:row r="209" ht="62" customHeight="1">
      <x:c r="A209" s="28" t="str">
        <x:v>STN-0208</x:v>
      </x:c>
      <x:c r="B209" s="28" t="str">
        <x:v>персик</x:v>
      </x:c>
      <x:c r="C209" s="28" t="str">
        <x:v>Десерты и выпечка</x:v>
      </x:c>
      <x:c r="D209" s="28" t="str">
        <x:v>персик</x:v>
      </x:c>
      <x:c r="E209" s="28" t="str">
        <x:v>peach</x:v>
      </x:c>
      <x:c r="F209" s="28" t="str">
        <x:v>Косточковые фрукты</x:v>
      </x:c>
      <x:c r="G209" s="28" t="str">
        <x:v>тертый сырой корень сельдерея</x:v>
      </x:c>
      <x:c r="H209" s="28" t="str">
        <x:v>grated raw celeriac</x:v>
      </x:c>
      <x:c r="I209" s="28" t="str">
        <x:v>Сыры и молочные продукты</x:v>
      </x:c>
      <x:c r="J209" s="28" t="str">
        <x:v>сливочный, персиковый, кокосово-лактонный, цветочный, зелёный</x:v>
      </x:c>
      <x:c r="K209" s="28" t="str">
        <x:v>сливочный, молочный, ферментированный, иногда ореховый или пикантный</x:v>
      </x:c>
      <x:c r="L209" s="28" t="str">
        <x:v>γ- и δ-декалактон, γ- и δ-додекалактон, линалоол, бензальдегид, гексаналь, цис-3-гексенол</x:v>
      </x:c>
      <x:c r="M209" s="28" t="str">
        <x:v>лактоны, диацетил, жирные кислоты, сернистые и аминокислотные продукты ферментации</x:v>
      </x:c>
      <x:c r="N209" s="28" t="str">
        <x:v>сливочный</x:v>
      </x:c>
      <x:c r="O209" s="28" t="str">
        <x:v>надёжный единичный общий маркер не подтверждён; механизм не сводится к одной молекуле</x:v>
      </x:c>
      <x:c r="P209" s="28" t="str">
        <x:v>комплементарность ароматических семейств, вкусовой контраст и матричный эффект</x:v>
      </x:c>
      <x:c r="Q209" s="28" t="str">
        <x:v>Фруктовая кислота и сладость освежают жирную молочную матрицу; соль и умами сыра усиливают воспринимаемую фруктовость.</x:v>
      </x:c>
      <x:c r="R209" s="28" t="str">
        <x:v>обычно слабый; кислота даёт свежесть; партнёр: нет выраженного</x:v>
      </x:c>
      <x:c r="S209" s="28" t="str">
        <x:v>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</x:v>
      </x:c>
      <x:c r="T209" s="28" t="str">
        <x:v>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U20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Тертый сырой корень сельдерея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Общие ароматические направления: сливочный.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 Обработка: 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V209" s="28" t="str">
        <x:v>незрелый плод ароматически беден; перезрелый быстро окисляется; косточки не использовать без безопасной технологии. Избыток кислоты может свернуть молочную основу; фрукт и сыр проверяют при рабочей температуре.</x:v>
      </x:c>
      <x:c r="W209" s="28" t="str">
        <x:v>миндаль, ваниль или мёд</x:v>
      </x:c>
      <x:c r="X209" s="28" t="str">
        <x:v>тарт, крем, мороженое, выпечка, сырная подача или начинка</x:v>
      </x:c>
      <x:c r="Y209" s="28" t="str">
        <x:v>десерты; еда</x:v>
      </x:c>
      <x:c r="Z209" s="28" t="str">
        <x:v>Средняя</x:v>
      </x:c>
      <x:c r="AA209" s="28" t="str">
        <x:v>The Art &amp; Science of Foodpairing.pdf</x:v>
      </x:c>
      <x:c r="AB209" s="28" t="str">
        <x:v>The Art &amp; Science of Foodpairing.pdf: 260–261</x:v>
      </x:c>
      <x:c r="AC209" s="28" t="str">
        <x:v>Ingredient pairings with peach and nectarine: grated raw celeriac.</x:v>
      </x:c>
      <x:c r="AD209" s="28" t="n">
        <x:v>1</x:v>
      </x:c>
      <x:c r="AE209" s="28" t="n">
        <x:v>1</x:v>
      </x:c>
      <x:c r="AF209" s="28" t="n">
        <x:f>IF(Z209="Высокая",3,IF(Z209="Средняя",2,1))+AD209*2+MIN(AE209,3)</x:f>
        <x:v>5</x:v>
      </x:c>
    </x:row>
    <x:row r="210" ht="62" customHeight="1">
      <x:c r="A210" s="28" t="str">
        <x:v>STN-0209</x:v>
      </x:c>
      <x:c r="B210" s="28" t="str">
        <x:v>персик</x:v>
      </x:c>
      <x:c r="C210" s="28" t="str">
        <x:v>Еда и соусы</x:v>
      </x:c>
      <x:c r="D210" s="28" t="str">
        <x:v>персик</x:v>
      </x:c>
      <x:c r="E210" s="28" t="str">
        <x:v>peach</x:v>
      </x:c>
      <x:c r="F210" s="28" t="str">
        <x:v>Косточковые фрукты</x:v>
      </x:c>
      <x:c r="G210" s="28" t="str">
        <x:v>томаты черри</x:v>
      </x:c>
      <x:c r="H210" s="28" t="str">
        <x:v>cherry tomato</x:v>
      </x:c>
      <x:c r="I210" s="28" t="str">
        <x:v>Овощи и корнеплоды</x:v>
      </x:c>
      <x:c r="J210" s="28" t="str">
        <x:v>сливочный, персиковый, кокосово-лактонный, цветочный, зелёный</x:v>
      </x:c>
      <x:c r="K210" s="28" t="str">
        <x:v>зелёный, землистый, сладковатый или сернистый</x:v>
      </x:c>
      <x:c r="L210" s="28" t="str">
        <x:v>γ- и δ-декалактон, γ- и δ-додекалактон, линалоол, бензальдегид, гексаналь, цис-3-гексенол</x:v>
      </x:c>
      <x:c r="M210" s="28" t="str">
        <x:v>C6-альдегиды, метоксипиразины, терпены, сернистые соединения</x:v>
      </x:c>
      <x:c r="N210" s="28" t="str">
        <x:v>зелёный</x:v>
      </x:c>
      <x:c r="O210" s="28" t="str">
        <x:v>надёжный единичный общий маркер не подтверждён; механизм не сводится к одной молекуле</x:v>
      </x:c>
      <x:c r="P210" s="28" t="str">
        <x:v>комплементарность ароматических семейств, вкусовой контраст и матричный эффект</x:v>
      </x:c>
      <x:c r="Q210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</x:v>
      </x:c>
      <x:c r="R210" s="28" t="str">
        <x:v>обычно слабый; кислота даёт свежесть; партнёр: зависит от продукта</x:v>
      </x:c>
      <x:c r="S210" s="28" t="str">
        <x:v>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</x:v>
      </x:c>
      <x:c r="T21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21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Томаты черри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21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10" s="28" t="str">
        <x:v>мёд, травы или уксус</x:v>
      </x:c>
      <x:c r="X210" s="28" t="str">
        <x:v>соус, глазировка, чатни, маринад, гарнир или основное блюдо</x:v>
      </x:c>
      <x:c r="Y210" s="28" t="str">
        <x:v>еда; соусы/маринады</x:v>
      </x:c>
      <x:c r="Z210" s="28" t="str">
        <x:v>Средняя</x:v>
      </x:c>
      <x:c r="AA210" s="28" t="str">
        <x:v>The Art &amp; Science of Foodpairing.pdf</x:v>
      </x:c>
      <x:c r="AB210" s="28" t="str">
        <x:v>The Art &amp; Science of Foodpairing.pdf: 260–261</x:v>
      </x:c>
      <x:c r="AC210" s="28" t="str">
        <x:v>Ingredient pairings with peach and nectarine: cherry tomato.</x:v>
      </x:c>
      <x:c r="AD210" s="28" t="n">
        <x:v>1</x:v>
      </x:c>
      <x:c r="AE210" s="28" t="n">
        <x:v>1</x:v>
      </x:c>
      <x:c r="AF210" s="28" t="n">
        <x:f>IF(Z210="Высокая",3,IF(Z210="Средняя",2,1))+AD210*2+MIN(AE210,3)</x:f>
        <x:v>5</x:v>
      </x:c>
    </x:row>
    <x:row r="211" ht="62" customHeight="1">
      <x:c r="A211" s="28" t="str">
        <x:v>STN-0210</x:v>
      </x:c>
      <x:c r="B211" s="28" t="str">
        <x:v>персик</x:v>
      </x:c>
      <x:c r="C211" s="28" t="str">
        <x:v>Еда и соусы</x:v>
      </x:c>
      <x:c r="D211" s="28" t="str">
        <x:v>персик</x:v>
      </x:c>
      <x:c r="E211" s="28" t="str">
        <x:v>peach</x:v>
      </x:c>
      <x:c r="F211" s="28" t="str">
        <x:v>Косточковые фрукты</x:v>
      </x:c>
      <x:c r="G211" s="28" t="str">
        <x:v>тушеная пикша</x:v>
      </x:c>
      <x:c r="H211" s="28" t="str">
        <x:v>braised haddock</x:v>
      </x:c>
      <x:c r="I211" s="28" t="str">
        <x:v>Рыба и морепродукты</x:v>
      </x:c>
      <x:c r="J211" s="28" t="str">
        <x:v>сливочный, персиковый, кокосово-лактонный, цветочный, зелёный</x:v>
      </x:c>
      <x:c r="K211" s="28" t="str">
        <x:v>морской, солёный, умами, иногда йодистый и жареный</x:v>
      </x:c>
      <x:c r="L211" s="28" t="str">
        <x:v>γ- и δ-декалактон, γ- и δ-додекалактон, линалоол, бензальдегид, гексаналь, цис-3-гексенол</x:v>
      </x:c>
      <x:c r="M211" s="28" t="str">
        <x:v>амины, бромфенолы, альдегиды жирных кислот, сернистые соединения</x:v>
      </x:c>
      <x:c r="N211" s="28" t="str">
        <x:v>прямое семейное перекрытие не является главным механизмом</x:v>
      </x:c>
      <x:c r="O211" s="28" t="str">
        <x:v>надёжный единичный общий маркер не подтверждён; механизм не сводится к одной молекуле</x:v>
      </x:c>
      <x:c r="P211" s="28" t="str">
        <x:v>комплементарность ароматических семейств, вкусовой контраст и матричный эффект</x:v>
      </x:c>
      <x:c r="Q211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211" s="28" t="str">
        <x:v>обычно слабый; кислота даёт свежесть; партнёр: нет выраженного</x:v>
      </x:c>
      <x:c r="S211" s="28" t="str">
        <x:v>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</x:v>
      </x:c>
      <x:c r="T21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21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Тушеная пикша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211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W211" s="28" t="str">
        <x:v>цитрус, укроп или оливковое масло</x:v>
      </x:c>
      <x:c r="X211" s="28" t="str">
        <x:v>соус, глазировка, чатни, маринад, гарнир или основное блюдо</x:v>
      </x:c>
      <x:c r="Y211" s="28" t="str">
        <x:v>еда; соусы/маринады</x:v>
      </x:c>
      <x:c r="Z211" s="28" t="str">
        <x:v>Средняя</x:v>
      </x:c>
      <x:c r="AA211" s="28" t="str">
        <x:v>The Art &amp; Science of Foodpairing.pdf</x:v>
      </x:c>
      <x:c r="AB211" s="28" t="str">
        <x:v>The Art &amp; Science of Foodpairing.pdf: 260–261</x:v>
      </x:c>
      <x:c r="AC211" s="28" t="str">
        <x:v>Ingredient pairings with peach and nectarine: braised haddock.</x:v>
      </x:c>
      <x:c r="AD211" s="28" t="n">
        <x:v>1</x:v>
      </x:c>
      <x:c r="AE211" s="28" t="n">
        <x:v>1</x:v>
      </x:c>
      <x:c r="AF211" s="28" t="n">
        <x:f>IF(Z211="Высокая",3,IF(Z211="Средняя",2,1))+AD211*2+MIN(AE211,3)</x:f>
        <x:v>5</x:v>
      </x:c>
    </x:row>
    <x:row r="212" ht="62" customHeight="1">
      <x:c r="A212" s="28" t="str">
        <x:v>STN-0211</x:v>
      </x:c>
      <x:c r="B212" s="28" t="str">
        <x:v>персик</x:v>
      </x:c>
      <x:c r="C212" s="28" t="str">
        <x:v>Универсальные</x:v>
      </x:c>
      <x:c r="D212" s="28" t="str">
        <x:v>персик</x:v>
      </x:c>
      <x:c r="E212" s="28" t="str">
        <x:v>peach</x:v>
      </x:c>
      <x:c r="F212" s="28" t="str">
        <x:v>Косточковые фрукты</x:v>
      </x:c>
      <x:c r="G212" s="28" t="str">
        <x:v>укроп</x:v>
      </x:c>
      <x:c r="H212" s="28" t="str">
        <x:v>dill</x:v>
      </x:c>
      <x:c r="I212" s="28" t="str">
        <x:v>Травы и цветы</x:v>
      </x:c>
      <x:c r="J212" s="28" t="str">
        <x:v>сливочный, персиковый, кокосово-лактонный, цветочный, зелёный</x:v>
      </x:c>
      <x:c r="K212" s="28" t="str">
        <x:v>зелёный, цветочный, травянистый и эфирно-масличный</x:v>
      </x:c>
      <x:c r="L212" s="28" t="str">
        <x:v>γ- и δ-декалактон, γ- и δ-додекалактон, линалоол, бензальдегид, гексаналь, цис-3-гексенол</x:v>
      </x:c>
      <x:c r="M212" s="28" t="str">
        <x:v>линалоол, гераниол, эвгенол, 1,8-цинеол</x:v>
      </x:c>
      <x:c r="N212" s="28" t="str">
        <x:v>цветочный, зелёный</x:v>
      </x:c>
      <x:c r="O212" s="28" t="str">
        <x:v>линалоол</x:v>
      </x:c>
      <x:c r="P212" s="28" t="str">
        <x:v>прямое или классовое перекрытие характерных одорантов + вкусовой баланс</x:v>
      </x:c>
      <x:c r="Q212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212" s="28" t="str">
        <x:v>обычно слабый; кислота даёт свежесть; партнёр: у мяты возможен холодящий эффект ментола; у некоторых трав — камфорность</x:v>
      </x:c>
      <x:c r="S212" s="28" t="str">
        <x:v>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</x:v>
      </x:c>
      <x:c r="T21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21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21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12" s="28" t="str">
        <x:v>мёд, цитрус или нейтральная жировая основа</x:v>
      </x:c>
      <x:c r="X212" s="28" t="str">
        <x:v>напиток, соус, десерт или горячее блюдо после пробной дегустации</x:v>
      </x:c>
      <x:c r="Y212" s="28" t="str">
        <x:v>напитки; еда; десерты; соусы/маринады</x:v>
      </x:c>
      <x:c r="Z212" s="28" t="str">
        <x:v>Средняя</x:v>
      </x:c>
      <x:c r="AA212" s="28" t="str">
        <x:v>The Art &amp; Science of Foodpairing.pdf</x:v>
      </x:c>
      <x:c r="AB212" s="28" t="str">
        <x:v>The Art &amp; Science of Foodpairing.pdf: 260–261</x:v>
      </x:c>
      <x:c r="AC212" s="28" t="str">
        <x:v>Ingredient pairings with peach and nectarine: dill.</x:v>
      </x:c>
      <x:c r="AD212" s="28" t="n">
        <x:v>1</x:v>
      </x:c>
      <x:c r="AE212" s="28" t="n">
        <x:v>1</x:v>
      </x:c>
      <x:c r="AF212" s="28" t="n">
        <x:f>IF(Z212="Высокая",3,IF(Z212="Средняя",2,1))+AD212*2+MIN(AE212,3)</x:f>
        <x:v>5</x:v>
      </x:c>
    </x:row>
    <x:row r="213" ht="62" customHeight="1">
      <x:c r="A213" s="28" t="str">
        <x:v>STN-0212</x:v>
      </x:c>
      <x:c r="B213" s="28" t="str">
        <x:v>персик</x:v>
      </x:c>
      <x:c r="C213" s="28" t="str">
        <x:v>Универсальные</x:v>
      </x:c>
      <x:c r="D213" s="28" t="str">
        <x:v>персик</x:v>
      </x:c>
      <x:c r="E213" s="28" t="str">
        <x:v>peach</x:v>
      </x:c>
      <x:c r="F213" s="28" t="str">
        <x:v>Косточковые фрукты</x:v>
      </x:c>
      <x:c r="G213" s="28" t="str">
        <x:v>фиалка</x:v>
      </x:c>
      <x:c r="H213" s="28" t="str">
        <x:v>Фиалка</x:v>
      </x:c>
      <x:c r="I213" s="28" t="str">
        <x:v>Травы и цветы</x:v>
      </x:c>
      <x:c r="J213" s="28" t="str">
        <x:v>сливочный, персиковый, кокосово-лактонный, цветочный, зелёный</x:v>
      </x:c>
      <x:c r="K213" s="28" t="str">
        <x:v>зелёный, цветочный, травянистый и эфирно-масличный</x:v>
      </x:c>
      <x:c r="L213" s="28" t="str">
        <x:v>γ- и δ-декалактон, γ- и δ-додекалактон, линалоол, бензальдегид, гексаналь, цис-3-гексенол</x:v>
      </x:c>
      <x:c r="M213" s="28" t="str">
        <x:v>линалоол, гераниол, эвгенол, 1,8-цинеол</x:v>
      </x:c>
      <x:c r="N213" s="28" t="str">
        <x:v>цветочный, зелёный</x:v>
      </x:c>
      <x:c r="O213" s="28" t="str">
        <x:v>линалоол</x:v>
      </x:c>
      <x:c r="P213" s="28" t="str">
        <x:v>прямое или классовое перекрытие характерных одорантов + вкусовой баланс</x:v>
      </x:c>
      <x:c r="Q213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213" s="28" t="str">
        <x:v>обычно слабый; кислота даёт свежесть; партнёр: у мяты возможен холодящий эффект ментола; у некоторых трав — камфорность</x:v>
      </x:c>
      <x:c r="S213" s="28" t="str">
        <x:v>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</x:v>
      </x:c>
      <x:c r="T21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21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Фиалка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21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13" s="28" t="str">
        <x:v>мёд, цитрус или нейтральная жировая основа</x:v>
      </x:c>
      <x:c r="X213" s="28" t="str">
        <x:v>напиток, соус, десерт или горячее блюдо после пробной дегустации</x:v>
      </x:c>
      <x:c r="Y213" s="28" t="str">
        <x:v>напитки; еда; десерты; соусы/маринады</x:v>
      </x:c>
      <x:c r="Z213" s="28" t="str">
        <x:v>Гипотеза / практическая</x:v>
      </x:c>
      <x:c r="AA213" s="28" t="str">
        <x:v>Таблица сочетания(1).pdf</x:v>
      </x:c>
      <x:c r="AB213" s="28" t="str">
        <x:v>Таблица сочетания(1).pdf: 21</x:v>
      </x:c>
      <x:c r="AC213" s="28" t="str">
        <x:v>Пара указана в строке «Фиалка»: «персик» находится в колонке «Фрукты».</x:v>
      </x:c>
      <x:c r="AD213" s="28" t="n">
        <x:v>1</x:v>
      </x:c>
      <x:c r="AE213" s="28" t="n">
        <x:v>1</x:v>
      </x:c>
      <x:c r="AF213" s="28" t="n">
        <x:f>IF(Z213="Высокая",3,IF(Z213="Средняя",2,1))+AD213*2+MIN(AE213,3)</x:f>
        <x:v>4</x:v>
      </x:c>
    </x:row>
    <x:row r="214" ht="62" customHeight="1">
      <x:c r="A214" s="28" t="str">
        <x:v>STN-0213</x:v>
      </x:c>
      <x:c r="B214" s="28" t="str">
        <x:v>персик</x:v>
      </x:c>
      <x:c r="C214" s="28" t="str">
        <x:v>Еда и соусы</x:v>
      </x:c>
      <x:c r="D214" s="28" t="str">
        <x:v>персик</x:v>
      </x:c>
      <x:c r="E214" s="28" t="str">
        <x:v>peach</x:v>
      </x:c>
      <x:c r="F214" s="28" t="str">
        <x:v>Косточковые фрукты</x:v>
      </x:c>
      <x:c r="G214" s="28" t="str">
        <x:v>филе скумбрии</x:v>
      </x:c>
      <x:c r="H214" s="28" t="str">
        <x:v>mackerel fillet</x:v>
      </x:c>
      <x:c r="I214" s="28" t="str">
        <x:v>Рыба и морепродукты</x:v>
      </x:c>
      <x:c r="J214" s="28" t="str">
        <x:v>сливочный, персиковый, кокосово-лактонный, цветочный, зелёный</x:v>
      </x:c>
      <x:c r="K214" s="28" t="str">
        <x:v>морской, йодистый, зелёный, жирный</x:v>
      </x:c>
      <x:c r="L214" s="28" t="str">
        <x:v>γ- и δ-декалактон, γ- и δ-додекалактон, линалоол, бензальдегид, гексаналь, цис-3-гексенол</x:v>
      </x:c>
      <x:c r="M214" s="28" t="str">
        <x:v>альдегиды окисления липидов, бромфенолы, диметилсульфид, умами-соединения</x:v>
      </x:c>
      <x:c r="N214" s="28" t="str">
        <x:v>зелёный</x:v>
      </x:c>
      <x:c r="O214" s="28" t="str">
        <x:v>надёжный единичный общий маркер не подтверждён; механизм не сводится к одной молекуле</x:v>
      </x:c>
      <x:c r="P214" s="28" t="str">
        <x:v>комплементарность ароматических семейств, вкусовой контраст и матричный эффект</x:v>
      </x:c>
      <x:c r="Q214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214" s="28" t="str">
        <x:v>обычно слабый; кислота даёт свежесть; партнёр: нет выраженного</x:v>
      </x:c>
      <x:c r="S214" s="28" t="str">
        <x:v>сочная пектиновая мякоть; кожица несёт зелёные и цветочные ноты; лактоны хорошо удерживаются жиром и этанолом. Партнёр: кислота может денатурировать поверхностные белки; жир рыбы удерживает терпены.</x:v>
      </x:c>
      <x:c r="T21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U21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Филе скумбрии относится к группе «Рыба и морепродукты» и даёт профиль «морской, йодистый, зелёный, жирный»; типичные соединения или классы: альдегиды окисления липидов, бромфенолы, диметилсульфид, умами-соединения. По доступным материалам нельзя уверенно свести совместимость к одной общей молекуле. Общие ароматические направления: зелёный.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кислота может денатурировать поверхностные белки; жир рыбы удерживает терпены.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V214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W214" s="28" t="str">
        <x:v>цитрус, укроп или оливковое масло</x:v>
      </x:c>
      <x:c r="X214" s="28" t="str">
        <x:v>соус, глазировка, чатни, маринад, гарнир или основное блюдо</x:v>
      </x:c>
      <x:c r="Y214" s="28" t="str">
        <x:v>еда; соусы/маринады</x:v>
      </x:c>
      <x:c r="Z214" s="28" t="str">
        <x:v>Средняя</x:v>
      </x:c>
      <x:c r="AA214" s="28" t="str">
        <x:v>The Art &amp; Science of Foodpairing.pdf</x:v>
      </x:c>
      <x:c r="AB214" s="28" t="str">
        <x:v>The Art &amp; Science of Foodpairing.pdf: 260–261</x:v>
      </x:c>
      <x:c r="AC214" s="28" t="str">
        <x:v>Ingredient pairings with peach and nectarine: mackerel fillet.</x:v>
      </x:c>
      <x:c r="AD214" s="28" t="n">
        <x:v>1</x:v>
      </x:c>
      <x:c r="AE214" s="28" t="n">
        <x:v>1</x:v>
      </x:c>
      <x:c r="AF214" s="28" t="n">
        <x:f>IF(Z214="Высокая",3,IF(Z214="Средняя",2,1))+AD214*2+MIN(AE214,3)</x:f>
        <x:v>5</x:v>
      </x:c>
    </x:row>
    <x:row r="215" ht="62" customHeight="1">
      <x:c r="A215" s="28" t="str">
        <x:v>STN-0214</x:v>
      </x:c>
      <x:c r="B215" s="28" t="str">
        <x:v>персик</x:v>
      </x:c>
      <x:c r="C215" s="28" t="str">
        <x:v>Еда и соусы</x:v>
      </x:c>
      <x:c r="D215" s="28" t="str">
        <x:v>персик</x:v>
      </x:c>
      <x:c r="E215" s="28" t="str">
        <x:v>peach</x:v>
      </x:c>
      <x:c r="F215" s="28" t="str">
        <x:v>Косточковые фрукты</x:v>
      </x:c>
      <x:c r="G215" s="28" t="str">
        <x:v>филе трески</x:v>
      </x:c>
      <x:c r="H215" s="28" t="str">
        <x:v>cod fillet</x:v>
      </x:c>
      <x:c r="I215" s="28" t="str">
        <x:v>Рыба и морепродукты</x:v>
      </x:c>
      <x:c r="J215" s="28" t="str">
        <x:v>сливочный, персиковый, кокосово-лактонный, цветочный, зелёный</x:v>
      </x:c>
      <x:c r="K215" s="28" t="str">
        <x:v>морской, солёный, умами, иногда йодистый и жареный</x:v>
      </x:c>
      <x:c r="L215" s="28" t="str">
        <x:v>γ- и δ-декалактон, γ- и δ-додекалактон, линалоол, бензальдегид, гексаналь, цис-3-гексенол</x:v>
      </x:c>
      <x:c r="M215" s="28" t="str">
        <x:v>амины, бромфенолы, альдегиды жирных кислот, сернистые соединения</x:v>
      </x:c>
      <x:c r="N215" s="28" t="str">
        <x:v>прямое семейное перекрытие не является главным механизмом</x:v>
      </x:c>
      <x:c r="O215" s="28" t="str">
        <x:v>надёжный единичный общий маркер не подтверждён; механизм не сводится к одной молекуле</x:v>
      </x:c>
      <x:c r="P215" s="28" t="str">
        <x:v>комплементарность ароматических семейств, вкусовой контраст и матричный эффект</x:v>
      </x:c>
      <x:c r="Q215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215" s="28" t="str">
        <x:v>обычно слабый; кислота даёт свежесть; партнёр: нет выраженного</x:v>
      </x:c>
      <x:c r="S215" s="28" t="str">
        <x:v>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</x:v>
      </x:c>
      <x:c r="T21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21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Филе трески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215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W215" s="28" t="str">
        <x:v>цитрус, укроп или оливковое масло</x:v>
      </x:c>
      <x:c r="X215" s="28" t="str">
        <x:v>соус, глазировка, чатни, маринад, гарнир или основное блюдо</x:v>
      </x:c>
      <x:c r="Y215" s="28" t="str">
        <x:v>еда; соусы/маринады</x:v>
      </x:c>
      <x:c r="Z215" s="28" t="str">
        <x:v>Средняя</x:v>
      </x:c>
      <x:c r="AA215" s="28" t="str">
        <x:v>The Art &amp; Science of Foodpairing.pdf</x:v>
      </x:c>
      <x:c r="AB215" s="28" t="str">
        <x:v>The Art &amp; Science of Foodpairing.pdf: 260–261</x:v>
      </x:c>
      <x:c r="AC215" s="28" t="str">
        <x:v>Ingredient pairings with peach and nectarine: cod fillet.</x:v>
      </x:c>
      <x:c r="AD215" s="28" t="n">
        <x:v>1</x:v>
      </x:c>
      <x:c r="AE215" s="28" t="n">
        <x:v>1</x:v>
      </x:c>
      <x:c r="AF215" s="28" t="n">
        <x:f>IF(Z215="Высокая",3,IF(Z215="Средняя",2,1))+AD215*2+MIN(AE215,3)</x:f>
        <x:v>5</x:v>
      </x:c>
    </x:row>
    <x:row r="216" ht="62" customHeight="1">
      <x:c r="A216" s="28" t="str">
        <x:v>STN-0215</x:v>
      </x:c>
      <x:c r="B216" s="28" t="str">
        <x:v>персик</x:v>
      </x:c>
      <x:c r="C216" s="28" t="str">
        <x:v>Десерты и выпечка</x:v>
      </x:c>
      <x:c r="D216" s="28" t="str">
        <x:v>персик</x:v>
      </x:c>
      <x:c r="E216" s="28" t="str">
        <x:v>peach</x:v>
      </x:c>
      <x:c r="F216" s="28" t="str">
        <x:v>Косточковые фрукты</x:v>
      </x:c>
      <x:c r="G216" s="28" t="str">
        <x:v>фисташка</x:v>
      </x:c>
      <x:c r="H216" s="28" t="str">
        <x:v>фисташка | Фисташка | pistachio nut</x:v>
      </x:c>
      <x:c r="I216" s="28" t="str">
        <x:v>Орехи и семена</x:v>
      </x:c>
      <x:c r="J216" s="28" t="str">
        <x:v>сливочный, персиковый, кокосово-лактонный, цветочный, зелёный</x:v>
      </x:c>
      <x:c r="K216" s="28" t="str">
        <x:v>ореховый, жареный, маслянистый и иногда миндальный</x:v>
      </x:c>
      <x:c r="L216" s="28" t="str">
        <x:v>γ- и δ-декалактон, γ- и δ-додекалактон, линалоол, бензальдегид, гексаналь, цис-3-гексенол</x:v>
      </x:c>
      <x:c r="M216" s="28" t="str">
        <x:v>пиразины, бензальдегид, филбертон, жирные альдегиды</x:v>
      </x:c>
      <x:c r="N216" s="28" t="str">
        <x:v>прямое семейное перекрытие не является главным механизмом</x:v>
      </x:c>
      <x:c r="O216" s="28" t="str">
        <x:v>бензальдегид</x:v>
      </x:c>
      <x:c r="P216" s="28" t="str">
        <x:v>прямое или классовое перекрытие характерных одорантов + вкусовой баланс</x:v>
      </x:c>
      <x:c r="Q216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216" s="28" t="str">
        <x:v>обычно слабый; кислота даёт свежесть; партнёр: обычно отсутствует</x:v>
      </x:c>
      <x:c r="S216" s="28" t="str">
        <x:v>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</x:v>
      </x:c>
      <x:c r="T21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21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Фисташка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216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W216" s="28" t="str">
        <x:v>ваниль, шоколад или корица</x:v>
      </x:c>
      <x:c r="X216" s="28" t="str">
        <x:v>тарт, крем, мороженое, выпечка, сырная подача или начинка</x:v>
      </x:c>
      <x:c r="Y216" s="28" t="str">
        <x:v>десерты; еда</x:v>
      </x:c>
      <x:c r="Z216" s="28" t="str">
        <x:v>Высокая</x:v>
      </x:c>
      <x:c r="AA216" s="28" t="str">
        <x:v>The Art &amp; Science of Foodpairing.pdf | Таблица сочетания(1).pdf</x:v>
      </x:c>
      <x:c r="AB216" s="28" t="str">
        <x:v>Таблица сочетания(1).pdf: 15 | Таблица сочетания(1).pdf: 17 | The Art &amp; Science of Foodpairing.pdf: 260–261</x:v>
      </x:c>
      <x:c r="AC216" s="28" t="str">
        <x:v>Пара указана в строке «Персик» → колонка «Другое». Пара указана в строке «Фисташка»: «персики» находится в колонке «Фрукты». Ingredient pairings with peach and nectarine: pistachio nut.</x:v>
      </x:c>
      <x:c r="AD216" s="28" t="n">
        <x:v>2</x:v>
      </x:c>
      <x:c r="AE216" s="28" t="n">
        <x:v>3</x:v>
      </x:c>
      <x:c r="AF216" s="28" t="n">
        <x:f>IF(Z216="Высокая",3,IF(Z216="Средняя",2,1))+AD216*2+MIN(AE216,3)</x:f>
        <x:v>10</x:v>
      </x:c>
    </x:row>
    <x:row r="217" ht="62" customHeight="1">
      <x:c r="A217" s="28" t="str">
        <x:v>STN-0216</x:v>
      </x:c>
      <x:c r="B217" s="28" t="str">
        <x:v>персик</x:v>
      </x:c>
      <x:c r="C217" s="28" t="str">
        <x:v>Десерты и выпечка</x:v>
      </x:c>
      <x:c r="D217" s="28" t="str">
        <x:v>персик</x:v>
      </x:c>
      <x:c r="E217" s="28" t="str">
        <x:v>peach</x:v>
      </x:c>
      <x:c r="F217" s="28" t="str">
        <x:v>Косточковые фрукты</x:v>
      </x:c>
      <x:c r="G217" s="28" t="str">
        <x:v>фундук</x:v>
      </x:c>
      <x:c r="H217" s="28" t="str">
        <x:v>фундук</x:v>
      </x:c>
      <x:c r="I217" s="28" t="str">
        <x:v>Орехи и семена</x:v>
      </x:c>
      <x:c r="J217" s="28" t="str">
        <x:v>сливочный, персиковый, кокосово-лактонный, цветочный, зелёный</x:v>
      </x:c>
      <x:c r="K217" s="28" t="str">
        <x:v>жареный ореховый и маслянистый</x:v>
      </x:c>
      <x:c r="L217" s="28" t="str">
        <x:v>γ- и δ-декалактон, γ- и δ-додекалактон, линалоол, бензальдегид, гексаналь, цис-3-гексенол</x:v>
      </x:c>
      <x:c r="M217" s="28" t="str">
        <x:v>филбертон, пиразины</x:v>
      </x:c>
      <x:c r="N217" s="28" t="str">
        <x:v>прямое семейное перекрытие не является главным механизмом</x:v>
      </x:c>
      <x:c r="O217" s="28" t="str">
        <x:v>надёжный единичный общий маркер не подтверждён; механизм не сводится к одной молекуле</x:v>
      </x:c>
      <x:c r="P217" s="28" t="str">
        <x:v>комплементарность ароматических семейств, вкусовой контраст и матричный эффект</x:v>
      </x:c>
      <x:c r="Q217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217" s="28" t="str">
        <x:v>обычно слабый; кислота даёт свежесть; партнёр: обычно отсутствует</x:v>
      </x:c>
      <x:c r="S217" s="28" t="str">
        <x:v>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</x:v>
      </x:c>
      <x:c r="T21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21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Фундук относится к группе «Орехи и семена» и даёт профиль «жареный ореховый и маслянистый»; типичные соединения или классы: филбертон, пиразины. По доступным материалам нельзя уверенно свести совместимость к одной общей молекуле.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217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W217" s="28" t="str">
        <x:v>ваниль, шоколад или корица</x:v>
      </x:c>
      <x:c r="X217" s="28" t="str">
        <x:v>тарт, крем, мороженое, выпечка, сырная подача или начинка</x:v>
      </x:c>
      <x:c r="Y217" s="28" t="str">
        <x:v>десерты; еда</x:v>
      </x:c>
      <x:c r="Z217" s="28" t="str">
        <x:v>Гипотеза / практическая</x:v>
      </x:c>
      <x:c r="AA217" s="28" t="str">
        <x:v>Таблица сочетания(1).pdf</x:v>
      </x:c>
      <x:c r="AB217" s="28" t="str">
        <x:v>Таблица сочетания(1).pdf: 15</x:v>
      </x:c>
      <x:c r="AC217" s="28" t="str">
        <x:v>Пара указана в строке «Персик» → колонка «Другое».</x:v>
      </x:c>
      <x:c r="AD217" s="28" t="n">
        <x:v>1</x:v>
      </x:c>
      <x:c r="AE217" s="28" t="n">
        <x:v>1</x:v>
      </x:c>
      <x:c r="AF217" s="28" t="n">
        <x:f>IF(Z217="Высокая",3,IF(Z217="Средняя",2,1))+AD217*2+MIN(AE217,3)</x:f>
        <x:v>4</x:v>
      </x:c>
    </x:row>
    <x:row r="218" ht="62" customHeight="1">
      <x:c r="A218" s="28" t="str">
        <x:v>STN-0217</x:v>
      </x:c>
      <x:c r="B218" s="28" t="str">
        <x:v>персик</x:v>
      </x:c>
      <x:c r="C218" s="28" t="str">
        <x:v>Универсальные</x:v>
      </x:c>
      <x:c r="D218" s="28" t="str">
        <x:v>персик</x:v>
      </x:c>
      <x:c r="E218" s="28" t="str">
        <x:v>peach</x:v>
      </x:c>
      <x:c r="F218" s="28" t="str">
        <x:v>Косточковые фрукты</x:v>
      </x:c>
      <x:c r="G218" s="28" t="str">
        <x:v>хвоя сосны</x:v>
      </x:c>
      <x:c r="H218" s="28" t="str">
        <x:v>pine needles</x:v>
      </x:c>
      <x:c r="I218" s="28" t="str">
        <x:v>Травы, листья и цветы</x:v>
      </x:c>
      <x:c r="J218" s="28" t="str">
        <x:v>сливочный, персиковый, кокосово-лактонный, цветочный, зелёный</x:v>
      </x:c>
      <x:c r="K218" s="28" t="str">
        <x:v>зелёный, цветочный, цитрусовый или анисовый</x:v>
      </x:c>
      <x:c r="L218" s="28" t="str">
        <x:v>γ- и δ-декалактон, γ- и δ-додекалактон, линалоол, бензальдегид, гексаналь, цис-3-гексенол</x:v>
      </x:c>
      <x:c r="M218" s="28" t="str">
        <x:v>терпены, линалоол, гераниол, эвгенол, анетол, C6-альдегиды</x:v>
      </x:c>
      <x:c r="N218" s="28" t="str">
        <x:v>цветочный, зелёный</x:v>
      </x:c>
      <x:c r="O218" s="28" t="str">
        <x:v>линалоол</x:v>
      </x:c>
      <x:c r="P218" s="28" t="str">
        <x:v>прямое или классовое перекрытие характерных одорантов + вкусовой баланс</x:v>
      </x:c>
      <x:c r="Q218" s="28" t="str">
        <x:v>Цветочные и зелёные ноты расширяют верхнюю часть аромата; фруктовая сладость смягчает травяную горечь.</x:v>
      </x:c>
      <x:c r="R218" s="28" t="str">
        <x:v>обычно слабый; кислота даёт свежесть; партнёр: часто охлаждение/покалывание у мяты и хвои</x:v>
      </x:c>
      <x:c r="S218" s="28" t="str">
        <x:v>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</x:v>
      </x:c>
      <x:c r="T218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U21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Хвоя сосны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V21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18" s="28" t="str">
        <x:v>лимон, мёд или ваниль</x:v>
      </x:c>
      <x:c r="X218" s="28" t="str">
        <x:v>напиток, соус, десерт или горячее блюдо после пробной дегустации</x:v>
      </x:c>
      <x:c r="Y218" s="28" t="str">
        <x:v>напитки; еда; десерты; соусы/маринады</x:v>
      </x:c>
      <x:c r="Z218" s="28" t="str">
        <x:v>Средняя</x:v>
      </x:c>
      <x:c r="AA218" s="28" t="str">
        <x:v>The Art &amp; Science of Foodpairing.pdf</x:v>
      </x:c>
      <x:c r="AB218" s="28" t="str">
        <x:v>The Art &amp; Science of Foodpairing.pdf: 260–261</x:v>
      </x:c>
      <x:c r="AC218" s="28" t="str">
        <x:v>Ingredient pairings with peach and nectarine: pine needles.</x:v>
      </x:c>
      <x:c r="AD218" s="28" t="n">
        <x:v>1</x:v>
      </x:c>
      <x:c r="AE218" s="28" t="n">
        <x:v>1</x:v>
      </x:c>
      <x:c r="AF218" s="28" t="n">
        <x:f>IF(Z218="Высокая",3,IF(Z218="Средняя",2,1))+AD218*2+MIN(AE218,3)</x:f>
        <x:v>5</x:v>
      </x:c>
    </x:row>
    <x:row r="219" ht="62" customHeight="1">
      <x:c r="A219" s="28" t="str">
        <x:v>STN-0218</x:v>
      </x:c>
      <x:c r="B219" s="28" t="str">
        <x:v>персик</x:v>
      </x:c>
      <x:c r="C219" s="28" t="str">
        <x:v>Универсальные</x:v>
      </x:c>
      <x:c r="D219" s="28" t="str">
        <x:v>персик</x:v>
      </x:c>
      <x:c r="E219" s="28" t="str">
        <x:v>peach</x:v>
      </x:c>
      <x:c r="F219" s="28" t="str">
        <x:v>Косточковые фрукты</x:v>
      </x:c>
      <x:c r="G219" s="28" t="str">
        <x:v>цветы бузины</x:v>
      </x:c>
      <x:c r="H219" s="28" t="str">
        <x:v>elderflower blossom</x:v>
      </x:c>
      <x:c r="I219" s="28" t="str">
        <x:v>Травы и цветы</x:v>
      </x:c>
      <x:c r="J219" s="28" t="str">
        <x:v>сливочный, персиковый, кокосово-лактонный, цветочный, зелёный</x:v>
      </x:c>
      <x:c r="K219" s="28" t="str">
        <x:v>зелёный, цветочный, травянистый и эфирно-масличный</x:v>
      </x:c>
      <x:c r="L219" s="28" t="str">
        <x:v>γ- и δ-декалактон, γ- и δ-додекалактон, линалоол, бензальдегид, гексаналь, цис-3-гексенол</x:v>
      </x:c>
      <x:c r="M219" s="28" t="str">
        <x:v>линалоол, гераниол, эвгенол, 1,8-цинеол</x:v>
      </x:c>
      <x:c r="N219" s="28" t="str">
        <x:v>цветочный, зелёный</x:v>
      </x:c>
      <x:c r="O219" s="28" t="str">
        <x:v>линалоол</x:v>
      </x:c>
      <x:c r="P219" s="28" t="str">
        <x:v>прямое или классовое перекрытие характерных одорантов + вкусовой баланс</x:v>
      </x:c>
      <x:c r="Q219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219" s="28" t="str">
        <x:v>обычно слабый; кислота даёт свежесть; партнёр: у мяты возможен холодящий эффект ментола; у некоторых трав — камфорность</x:v>
      </x:c>
      <x:c r="S219" s="28" t="str">
        <x:v>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</x:v>
      </x:c>
      <x:c r="T21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21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Цветы бузины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21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19" s="28" t="str">
        <x:v>мёд, цитрус или нейтральная жировая основа</x:v>
      </x:c>
      <x:c r="X219" s="28" t="str">
        <x:v>напиток, соус, десерт или горячее блюдо после пробной дегустации</x:v>
      </x:c>
      <x:c r="Y219" s="28" t="str">
        <x:v>напитки; еда; десерты; соусы/маринады</x:v>
      </x:c>
      <x:c r="Z219" s="28" t="str">
        <x:v>Средняя</x:v>
      </x:c>
      <x:c r="AA219" s="28" t="str">
        <x:v>The Art &amp; Science of Foodpairing.pdf</x:v>
      </x:c>
      <x:c r="AB219" s="28" t="str">
        <x:v>The Art &amp; Science of Foodpairing.pdf: 260–261</x:v>
      </x:c>
      <x:c r="AC219" s="28" t="str">
        <x:v>Ingredient pairings with peach and nectarine: elderflower blossom.</x:v>
      </x:c>
      <x:c r="AD219" s="28" t="n">
        <x:v>1</x:v>
      </x:c>
      <x:c r="AE219" s="28" t="n">
        <x:v>1</x:v>
      </x:c>
      <x:c r="AF219" s="28" t="n">
        <x:f>IF(Z219="Высокая",3,IF(Z219="Средняя",2,1))+AD219*2+MIN(AE219,3)</x:f>
        <x:v>5</x:v>
      </x:c>
    </x:row>
    <x:row r="220" ht="62" customHeight="1">
      <x:c r="A220" s="28" t="str">
        <x:v>STN-0219</x:v>
      </x:c>
      <x:c r="B220" s="28" t="str">
        <x:v>персик</x:v>
      </x:c>
      <x:c r="C220" s="28" t="str">
        <x:v>Еда и соусы</x:v>
      </x:c>
      <x:c r="D220" s="28" t="str">
        <x:v>персик</x:v>
      </x:c>
      <x:c r="E220" s="28" t="str">
        <x:v>peach</x:v>
      </x:c>
      <x:c r="F220" s="28" t="str">
        <x:v>Косточковые фрукты</x:v>
      </x:c>
      <x:c r="G220" s="28" t="str">
        <x:v>цикорий</x:v>
      </x:c>
      <x:c r="H220" s="28" t="str">
        <x:v>chicory (Belgian endive)</x:v>
      </x:c>
      <x:c r="I220" s="28" t="str">
        <x:v>Овощи и корнеплоды</x:v>
      </x:c>
      <x:c r="J220" s="28" t="str">
        <x:v>сливочный, персиковый, кокосово-лактонный, цветочный, зелёный</x:v>
      </x:c>
      <x:c r="K220" s="28" t="str">
        <x:v>зелёный, землистый, сладковатый или сернистый</x:v>
      </x:c>
      <x:c r="L220" s="28" t="str">
        <x:v>γ- и δ-декалактон, γ- и δ-додекалактон, линалоол, бензальдегид, гексаналь, цис-3-гексенол</x:v>
      </x:c>
      <x:c r="M220" s="28" t="str">
        <x:v>C6-альдегиды, метоксипиразины, терпены, сернистые соединения</x:v>
      </x:c>
      <x:c r="N220" s="28" t="str">
        <x:v>зелёный</x:v>
      </x:c>
      <x:c r="O220" s="28" t="str">
        <x:v>надёжный единичный общий маркер не подтверждён; механизм не сводится к одной молекуле</x:v>
      </x:c>
      <x:c r="P220" s="28" t="str">
        <x:v>комплементарность ароматических семейств, вкусовой контраст и матричный эффект</x:v>
      </x:c>
      <x:c r="Q220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</x:v>
      </x:c>
      <x:c r="R220" s="28" t="str">
        <x:v>обычно слабый; кислота даёт свежесть; партнёр: зависит от продукта</x:v>
      </x:c>
      <x:c r="S220" s="28" t="str">
        <x:v>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</x:v>
      </x:c>
      <x:c r="T22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22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Цикорий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22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20" s="28" t="str">
        <x:v>мёд, травы или уксус</x:v>
      </x:c>
      <x:c r="X220" s="28" t="str">
        <x:v>соус, глазировка, чатни, маринад, гарнир или основное блюдо</x:v>
      </x:c>
      <x:c r="Y220" s="28" t="str">
        <x:v>еда; соусы/маринады</x:v>
      </x:c>
      <x:c r="Z220" s="28" t="str">
        <x:v>Средняя</x:v>
      </x:c>
      <x:c r="AA220" s="28" t="str">
        <x:v>The Art &amp; Science of Foodpairing.pdf</x:v>
      </x:c>
      <x:c r="AB220" s="28" t="str">
        <x:v>The Art &amp; Science of Foodpairing.pdf: 260–261</x:v>
      </x:c>
      <x:c r="AC220" s="28" t="str">
        <x:v>Ingredient pairings with peach and nectarine: chicory (Belgian endive).</x:v>
      </x:c>
      <x:c r="AD220" s="28" t="n">
        <x:v>1</x:v>
      </x:c>
      <x:c r="AE220" s="28" t="n">
        <x:v>1</x:v>
      </x:c>
      <x:c r="AF220" s="28" t="n">
        <x:f>IF(Z220="Высокая",3,IF(Z220="Средняя",2,1))+AD220*2+MIN(AE220,3)</x:f>
        <x:v>5</x:v>
      </x:c>
    </x:row>
    <x:row r="221" ht="62" customHeight="1">
      <x:c r="A221" s="28" t="str">
        <x:v>STN-0220</x:v>
      </x:c>
      <x:c r="B221" s="28" t="str">
        <x:v>персик</x:v>
      </x:c>
      <x:c r="C221" s="28" t="str">
        <x:v>Десерты и выпечка</x:v>
      </x:c>
      <x:c r="D221" s="28" t="str">
        <x:v>персик</x:v>
      </x:c>
      <x:c r="E221" s="28" t="str">
        <x:v>peach</x:v>
      </x:c>
      <x:c r="F221" s="28" t="str">
        <x:v>Косточковые фрукты</x:v>
      </x:c>
      <x:c r="G221" s="28" t="str">
        <x:v>цитрусовые</x:v>
      </x:c>
      <x:c r="H221" s="28" t="str">
        <x:v>цитрусовые</x:v>
      </x:c>
      <x:c r="I221" s="28" t="str">
        <x:v>Цитрусовые</x:v>
      </x:c>
      <x:c r="J221" s="28" t="str">
        <x:v>сливочный, персиковый, кокосово-лактонный, цветочный, зелёный</x:v>
      </x:c>
      <x:c r="K221" s="28" t="str">
        <x:v>цитрусовый, свежий, зелёный и цветочный</x:v>
      </x:c>
      <x:c r="L221" s="28" t="str">
        <x:v>γ- и δ-декалактон, γ- и δ-додекалактон, линалоол, бензальдегид, гексаналь, цис-3-гексенол</x:v>
      </x:c>
      <x:c r="M221" s="28" t="str">
        <x:v>лимонен, цитраль, линалоол, γ-терпинен</x:v>
      </x:c>
      <x:c r="N221" s="28" t="str">
        <x:v>цветочный, зелёный</x:v>
      </x:c>
      <x:c r="O221" s="28" t="str">
        <x:v>линалоол</x:v>
      </x:c>
      <x:c r="P221" s="28" t="str">
        <x:v>прямое или классовое перекрытие характерных одорантов + вкусовой баланс</x:v>
      </x:c>
      <x:c r="Q221" s="28" t="str">
        <x:v>Близкие фруктовые эфиры создают непрерывность, а различия в кислотности, терпкости и сладости формируют контраст.</x:v>
      </x:c>
      <x:c r="R221" s="28" t="str">
        <x:v>обычно слабый; кислота даёт свежесть; партнёр: кислота даёт покалывание и ощущение свежести</x:v>
      </x:c>
      <x:c r="S221" s="28" t="str">
        <x:v>сочная пектиновая мякоть; кожица несёт зелёные и цветочные ноты; лактоны хорошо удерживаются жиром и этанолом. Партнёр: сок водный и кислый, цедра содержит гидрофобные эфирные масла.</x:v>
      </x:c>
      <x:c r="T22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22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Цитрусовые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 и кислый, цедра содержит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22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21" s="28" t="str">
        <x:v>ваниль, мёд или розмарин</x:v>
      </x:c>
      <x:c r="X221" s="28" t="str">
        <x:v>сорбет, салат, джем, кордиал, лимонад, коктейль или фруктовый соус</x:v>
      </x:c>
      <x:c r="Y221" s="28" t="str">
        <x:v>напитки; десерты; соусы/маринады</x:v>
      </x:c>
      <x:c r="Z221" s="28" t="str">
        <x:v>Гипотеза / практическая</x:v>
      </x:c>
      <x:c r="AA221" s="28" t="str">
        <x:v>Таблица сочетания(1).pdf</x:v>
      </x:c>
      <x:c r="AB221" s="28" t="str">
        <x:v>Таблица сочетания(1).pdf: Таблица сочетания(1).pdf: 15 | Таблица сочетания(1).pdf: 15</x:v>
      </x:c>
      <x:c r="AC221" s="28" t="str">
        <x:v>Пара указана в таблице: «Персик» → колонка «Фрукты». Пара указана в строке «Персик» → колонка «Фрукты».</x:v>
      </x:c>
      <x:c r="AD221" s="28" t="n">
        <x:v>1</x:v>
      </x:c>
      <x:c r="AE221" s="28" t="n">
        <x:v>2</x:v>
      </x:c>
      <x:c r="AF221" s="28" t="n">
        <x:f>IF(Z221="Высокая",3,IF(Z221="Средняя",2,1))+AD221*2+MIN(AE221,3)</x:f>
        <x:v>5</x:v>
      </x:c>
    </x:row>
    <x:row r="222" ht="62" customHeight="1">
      <x:c r="A222" s="28" t="str">
        <x:v>STN-0221</x:v>
      </x:c>
      <x:c r="B222" s="28" t="str">
        <x:v>персик</x:v>
      </x:c>
      <x:c r="C222" s="28" t="str">
        <x:v>Десерты и выпечка</x:v>
      </x:c>
      <x:c r="D222" s="28" t="str">
        <x:v>персик</x:v>
      </x:c>
      <x:c r="E222" s="28" t="str">
        <x:v>peach</x:v>
      </x:c>
      <x:c r="F222" s="28" t="str">
        <x:v>Косточковые фрукты</x:v>
      </x:c>
      <x:c r="G222" s="28" t="str">
        <x:v>цукаты из апельсиновой кожуры</x:v>
      </x:c>
      <x:c r="H222" s="28" t="str">
        <x:v>candied orange peel</x:v>
      </x:c>
      <x:c r="I222" s="28" t="str">
        <x:v>Цитрусовые</x:v>
      </x:c>
      <x:c r="J222" s="28" t="str">
        <x:v>сливочный, персиковый, кокосово-лактонный, цветочный, зелёный</x:v>
      </x:c>
      <x:c r="K222" s="28" t="str">
        <x:v>цитрусовый, сладко-фруктовый, цветочный, восковой</x:v>
      </x:c>
      <x:c r="L222" s="28" t="str">
        <x:v>γ- и δ-декалактон, γ- и δ-додекалактон, линалоол, бензальдегид, гексаналь, цис-3-гексенол</x:v>
      </x:c>
      <x:c r="M222" s="28" t="str">
        <x:v>лимонен, линалол, деканаль, октаналь, мирцен</x:v>
      </x:c>
      <x:c r="N222" s="28" t="str">
        <x:v>цветочный</x:v>
      </x:c>
      <x:c r="O222" s="28" t="str">
        <x:v>надёжный единичный общий маркер не подтверждён; механизм не сводится к одной молекуле</x:v>
      </x:c>
      <x:c r="P222" s="28" t="str">
        <x:v>комплементарность ароматических семейств, вкусовой контраст и матричный эффект</x:v>
      </x:c>
      <x:c r="Q222" s="28" t="str">
        <x:v>Близкие фруктовые эфиры создают непрерывность, а различия в кислотности, терпкости и сладости формируют контраст.</x:v>
      </x:c>
      <x:c r="R222" s="28" t="str">
        <x:v>обычно слабый; кислота даёт свежесть; партнёр: нет выраженного</x:v>
      </x:c>
      <x:c r="S222" s="28" t="str">
        <x:v>сочная пектиновая мякоть; кожица несёт зелёные и цветочные ноты; лактоны хорошо удерживаются жиром и этанолом. Партнёр: сок водный; цедра и ликёры несут гидрофобные эфирные масла.</x:v>
      </x:c>
      <x:c r="T22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Апельсиновый профиль строится на лимонене и альдегидах с восково-сладкой нотой..</x:v>
      </x:c>
      <x:c r="U22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Цукаты из апельсиновой кожуры относится к группе «Цитрусовые» и даёт профиль «цитрусовый, сладко-фруктовый, цветочный, восковой»; типичные соединения или классы: лимонен, линалол, деканаль, октаналь, мирцен. По доступным материалам нельзя уверенно свести совместимость к одной общей молекуле.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водный; цедра и ликёры несут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Апельсиновый профиль строится на лимонене и альдегидах с восково-сладкой нотой..</x:v>
      </x:c>
      <x:c r="V22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22" s="28" t="str">
        <x:v>ваниль, мёд или розмарин</x:v>
      </x:c>
      <x:c r="X222" s="28" t="str">
        <x:v>сорбет, салат, джем, кордиал, лимонад, коктейль или фруктовый соус</x:v>
      </x:c>
      <x:c r="Y222" s="28" t="str">
        <x:v>напитки; десерты; соусы/маринады</x:v>
      </x:c>
      <x:c r="Z222" s="28" t="str">
        <x:v>Гипотеза / практическая</x:v>
      </x:c>
      <x:c r="AA222" s="28" t="str">
        <x:v>The Art &amp; Science of Foodpairing.pdf</x:v>
      </x:c>
      <x:c r="AB222" s="28" t="str">
        <x:v>The Art &amp; Science of Foodpairing.pdf: The Art &amp; Science of Foodpairing.pdf: 267</x:v>
      </x:c>
      <x:c r="AC222" s="28" t="str">
        <x:v>Пара представлена в ароматической диаграмме Foodpairing на странице 267.</x:v>
      </x:c>
      <x:c r="AD222" s="28" t="n">
        <x:v>1</x:v>
      </x:c>
      <x:c r="AE222" s="28" t="n">
        <x:v>1</x:v>
      </x:c>
      <x:c r="AF222" s="28" t="n">
        <x:f>IF(Z222="Высокая",3,IF(Z222="Средняя",2,1))+AD222*2+MIN(AE222,3)</x:f>
        <x:v>4</x:v>
      </x:c>
    </x:row>
    <x:row r="223" ht="62" customHeight="1">
      <x:c r="A223" s="28" t="str">
        <x:v>STN-0222</x:v>
      </x:c>
      <x:c r="B223" s="28" t="str">
        <x:v>персик</x:v>
      </x:c>
      <x:c r="C223" s="28" t="str">
        <x:v>Универсальные</x:v>
      </x:c>
      <x:c r="D223" s="28" t="str">
        <x:v>персик</x:v>
      </x:c>
      <x:c r="E223" s="28" t="str">
        <x:v>peach</x:v>
      </x:c>
      <x:c r="F223" s="28" t="str">
        <x:v>Косточковые фрукты</x:v>
      </x:c>
      <x:c r="G223" s="28" t="str">
        <x:v>черешня</x:v>
      </x:c>
      <x:c r="H223" s="28" t="str">
        <x:v>sweet cherry</x:v>
      </x:c>
      <x:c r="I223" s="28" t="str">
        <x:v>Ягоды и производные</x:v>
      </x:c>
      <x:c r="J223" s="28" t="str">
        <x:v>сливочный, персиковый, кокосово-лактонный, цветочный, зелёный</x:v>
      </x:c>
      <x:c r="K223" s="28" t="str">
        <x:v>миндальный, сладко-фруктовый, цветочный</x:v>
      </x:c>
      <x:c r="L223" s="28" t="str">
        <x:v>γ- и δ-декалактон, γ- и δ-додекалактон, линалоол, бензальдегид, гексаналь, цис-3-гексенол</x:v>
      </x:c>
      <x:c r="M223" s="28" t="str">
        <x:v>бензальдегид, бета-дамасценон, эфиры</x:v>
      </x:c>
      <x:c r="N223" s="28" t="str">
        <x:v>цветочный</x:v>
      </x:c>
      <x:c r="O223" s="28" t="str">
        <x:v>бензальдегид</x:v>
      </x:c>
      <x:c r="P223" s="28" t="str">
        <x:v>прямое или классовое перекрытие характерных одорантов + вкусовой баланс</x:v>
      </x:c>
      <x:c r="Q223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сладкий, умеренно кислый. Баланс корректируется сахаром, кислотой, солью и горечью.</x:v>
      </x:c>
      <x:c r="R223" s="28" t="str">
        <x:v>обычно слабый; кислота даёт свежесть; партнёр: обычно отсутствует; зависит от конкретного продукта</x:v>
      </x:c>
      <x:c r="S223" s="28" t="str">
        <x:v>сочная пектиновая мякоть; кожица несёт зелёные и цветочные ноты; лактоны хорошо удерживаются жиром и этанолом. Партнёр: нежнее кислой вишни; легко становится приторной.</x:v>
      </x:c>
      <x:c r="T22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U22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Черешня относится к группе «Ягоды и производные» и даёт профиль «миндальный, сладко-фруктовый, цветочный»; типичные соединения или классы: бензальдегид, бета-дамасценон, эфиры. В рабочих профилях пересекаются: бензальдегид.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сладкий, умеренно кислый.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нежнее кислой вишни; легко становится приторной.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V22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23" s="28" t="str">
        <x:v>мёд, цитрус или нейтральная жировая основа</x:v>
      </x:c>
      <x:c r="X223" s="28" t="str">
        <x:v>напиток, соус, десерт или горячее блюдо после пробной дегустации</x:v>
      </x:c>
      <x:c r="Y223" s="28" t="str">
        <x:v>напитки; еда; десерты; соусы/маринады</x:v>
      </x:c>
      <x:c r="Z223" s="28" t="str">
        <x:v>Средняя</x:v>
      </x:c>
      <x:c r="AA223" s="28" t="str">
        <x:v>The Art &amp; Science of Foodpairing.pdf</x:v>
      </x:c>
      <x:c r="AB223" s="28" t="str">
        <x:v>The Art &amp; Science of Foodpairing.pdf: The Art &amp; Science of Foodpairing: 260, 261 | The Art &amp; Science of Foodpairing.pdf: 260–261</x:v>
      </x:c>
      <x:c r="AC223" s="28" t="str">
        <x:v>Ingredient pairings with Peach: sweet cherry | Ingredient pairings with Peach: sweet cherry | Ingredient pairings with Peach: sweet cherry Ingredient pairings with peach and nectarine: sweet cherry.</x:v>
      </x:c>
      <x:c r="AD223" s="28" t="n">
        <x:v>1</x:v>
      </x:c>
      <x:c r="AE223" s="28" t="n">
        <x:v>2</x:v>
      </x:c>
      <x:c r="AF223" s="28" t="n">
        <x:f>IF(Z223="Высокая",3,IF(Z223="Средняя",2,1))+AD223*2+MIN(AE223,3)</x:f>
        <x:v>6</x:v>
      </x:c>
    </x:row>
    <x:row r="224" ht="62" customHeight="1">
      <x:c r="A224" s="28" t="str">
        <x:v>STN-0223</x:v>
      </x:c>
      <x:c r="B224" s="28" t="str">
        <x:v>персик</x:v>
      </x:c>
      <x:c r="C224" s="28" t="str">
        <x:v>Десерты и выпечка</x:v>
      </x:c>
      <x:c r="D224" s="28" t="str">
        <x:v>персик</x:v>
      </x:c>
      <x:c r="E224" s="28" t="str">
        <x:v>peach</x:v>
      </x:c>
      <x:c r="F224" s="28" t="str">
        <x:v>Косточковые фрукты</x:v>
      </x:c>
      <x:c r="G224" s="28" t="str">
        <x:v>черная смородина</x:v>
      </x:c>
      <x:c r="H224" s="28" t="str">
        <x:v>Чёрная смородина</x:v>
      </x:c>
      <x:c r="I224" s="28" t="str">
        <x:v>Ягоды</x:v>
      </x:c>
      <x:c r="J224" s="28" t="str">
        <x:v>сливочный, персиковый, кокосово-лактонный, цветочный, зелёный</x:v>
      </x:c>
      <x:c r="K224" s="28" t="str">
        <x:v>красно-фруктовый, цветочный, зелёный и иногда сернистый</x:v>
      </x:c>
      <x:c r="L224" s="28" t="str">
        <x:v>γ- и δ-декалактон, γ- и δ-додекалактон, линалоол, бензальдегид, гексаналь, цис-3-гексенол</x:v>
      </x:c>
      <x:c r="M224" s="28" t="str">
        <x:v>фуранеол, эфиры, иононы, зелёные альдегиды</x:v>
      </x:c>
      <x:c r="N224" s="28" t="str">
        <x:v>цветочный, зелёный</x:v>
      </x:c>
      <x:c r="O224" s="28" t="str">
        <x:v>надёжный единичный общий маркер не подтверждён; механизм не сводится к одной молекуле</x:v>
      </x:c>
      <x:c r="P224" s="28" t="str">
        <x:v>комплементарность ароматических семейств, вкусовой контраст и матричный эффект</x:v>
      </x:c>
      <x:c r="Q224" s="28" t="str">
        <x:v>Близкие фруктовые эфиры создают непрерывность, а различия в кислотности, терпкости и сладости формируют контраст.</x:v>
      </x:c>
      <x:c r="R224" s="28" t="str">
        <x:v>обычно слабый; кислота даёт свежесть; партнёр: обычно слабый; кислота усиливает свежесть</x:v>
      </x:c>
      <x:c r="S224" s="28" t="str">
        <x:v>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</x:v>
      </x:c>
      <x:c r="T22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22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Черная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22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24" s="28" t="str">
        <x:v>ваниль, мята или миндаль</x:v>
      </x:c>
      <x:c r="X224" s="28" t="str">
        <x:v>сорбет, салат, джем, кордиал, лимонад, коктейль или фруктовый соус</x:v>
      </x:c>
      <x:c r="Y224" s="28" t="str">
        <x:v>напитки; десерты; соусы/маринады</x:v>
      </x:c>
      <x:c r="Z224" s="28" t="str">
        <x:v>Гипотеза / практическая</x:v>
      </x:c>
      <x:c r="AA224" s="28" t="str">
        <x:v>Таблица сочетания(1).pdf</x:v>
      </x:c>
      <x:c r="AB224" s="28" t="str">
        <x:v>Таблица сочетания(1).pdf: Таблица сочетаний: 2 | Таблица сочетания(1).pdf: 2</x:v>
      </x:c>
      <x:c r="AC224" s="28" t="str">
        <x:v>Чёрная смородина: персик Пара указана в строке «Чёрная смородина»: «персик» находится в колонке «Фрукты».</x:v>
      </x:c>
      <x:c r="AD224" s="28" t="n">
        <x:v>1</x:v>
      </x:c>
      <x:c r="AE224" s="28" t="n">
        <x:v>2</x:v>
      </x:c>
      <x:c r="AF224" s="28" t="n">
        <x:f>IF(Z224="Высокая",3,IF(Z224="Средняя",2,1))+AD224*2+MIN(AE224,3)</x:f>
        <x:v>5</x:v>
      </x:c>
    </x:row>
    <x:row r="225" ht="62" customHeight="1">
      <x:c r="A225" s="28" t="str">
        <x:v>STN-0224</x:v>
      </x:c>
      <x:c r="B225" s="28" t="str">
        <x:v>персик</x:v>
      </x:c>
      <x:c r="C225" s="28" t="str">
        <x:v>Десерты и выпечка</x:v>
      </x:c>
      <x:c r="D225" s="28" t="str">
        <x:v>персик</x:v>
      </x:c>
      <x:c r="E225" s="28" t="str">
        <x:v>peach</x:v>
      </x:c>
      <x:c r="F225" s="28" t="str">
        <x:v>Косточковые фрукты</x:v>
      </x:c>
      <x:c r="G225" s="28" t="str">
        <x:v>черника</x:v>
      </x:c>
      <x:c r="H225" s="28" t="str">
        <x:v>Черника | черника</x:v>
      </x:c>
      <x:c r="I225" s="28" t="str">
        <x:v>Ягоды</x:v>
      </x:c>
      <x:c r="J225" s="28" t="str">
        <x:v>сливочный, персиковый, кокосово-лактонный, цветочный, зелёный</x:v>
      </x:c>
      <x:c r="K225" s="28" t="str">
        <x:v>красно-фруктовый, цветочный, зелёный и иногда сернистый</x:v>
      </x:c>
      <x:c r="L225" s="28" t="str">
        <x:v>γ- и δ-декалактон, γ- и δ-додекалактон, линалоол, бензальдегид, гексаналь, цис-3-гексенол</x:v>
      </x:c>
      <x:c r="M225" s="28" t="str">
        <x:v>фуранеол, эфиры, иононы, зелёные альдегиды</x:v>
      </x:c>
      <x:c r="N225" s="28" t="str">
        <x:v>цветочный, зелёный</x:v>
      </x:c>
      <x:c r="O225" s="28" t="str">
        <x:v>надёжный единичный общий маркер не подтверждён; механизм не сводится к одной молекуле</x:v>
      </x:c>
      <x:c r="P225" s="28" t="str">
        <x:v>комплементарность ароматических семейств, вкусовой контраст и матричный эффект</x:v>
      </x:c>
      <x:c r="Q225" s="28" t="str">
        <x:v>Близкие фруктовые эфиры создают непрерывность, а различия в кислотности, терпкости и сладости формируют контраст.</x:v>
      </x:c>
      <x:c r="R225" s="28" t="str">
        <x:v>обычно слабый; кислота даёт свежесть; партнёр: обычно слабый; кислота усиливает свежесть</x:v>
      </x:c>
      <x:c r="S225" s="28" t="str">
        <x:v>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</x:v>
      </x:c>
      <x:c r="T22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22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22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25" s="28" t="str">
        <x:v>ваниль, мята или миндаль</x:v>
      </x:c>
      <x:c r="X225" s="28" t="str">
        <x:v>сорбет, салат, джем, кордиал, лимонад, коктейль или фруктовый соус</x:v>
      </x:c>
      <x:c r="Y225" s="28" t="str">
        <x:v>напитки; десерты; соусы/маринады</x:v>
      </x:c>
      <x:c r="Z225" s="28" t="str">
        <x:v>Средняя</x:v>
      </x:c>
      <x:c r="AA225" s="28" t="str">
        <x:v>Тезариус вкусов (Ники Сегнит)(1).pdf</x:v>
      </x:c>
      <x:c r="AB225" s="28" t="str">
        <x:v>Тезариус вкусов (Ники Сегнит)(1).pdf: Тезариус вкусов: 751, 905 | Тезариус вкусов (Ники Сегнит)(1).pdf: 751 | Тезариус вкусов (Ники Сегнит)(1).pdf: 905</x:v>
      </x:c>
      <x:c r="AC225" s="28" t="str">
        <x:v>Персик и черника. Это нечто более американское, чем даже яблочный пирог. Пара хорошо смотрится в коблерах (см. Персик и ежевика) и тартах. Обрати- те внимание на то, что персики с белой мякотью, как правило, очень сладкие и менее кислые, чем те, у ко- торых мякоть желтая. Они также обладают и более сильным вкусом с нежными оттенками жасмина и чая, которые вступают в «высокие отношения» с цветоч- ным, но вместе с тем вяжущим вкусом черники | Черника и персик. См. Персик и черника Персик и черника. Это нечто более американское, Черника и персик. См. Персик и черника</x:v>
      </x:c>
      <x:c r="AD225" s="28" t="n">
        <x:v>1</x:v>
      </x:c>
      <x:c r="AE225" s="28" t="n">
        <x:v>3</x:v>
      </x:c>
      <x:c r="AF225" s="28" t="n">
        <x:f>IF(Z225="Высокая",3,IF(Z225="Средняя",2,1))+AD225*2+MIN(AE225,3)</x:f>
        <x:v>7</x:v>
      </x:c>
    </x:row>
    <x:row r="226" ht="62" customHeight="1">
      <x:c r="A226" s="28" t="str">
        <x:v>STN-0225</x:v>
      </x:c>
      <x:c r="B226" s="28" t="str">
        <x:v>персик</x:v>
      </x:c>
      <x:c r="C226" s="28" t="str">
        <x:v>Универсальные</x:v>
      </x:c>
      <x:c r="D226" s="28" t="str">
        <x:v>персик</x:v>
      </x:c>
      <x:c r="E226" s="28" t="str">
        <x:v>peach</x:v>
      </x:c>
      <x:c r="F226" s="28" t="str">
        <x:v>Косточковые фрукты</x:v>
      </x:c>
      <x:c r="G226" s="28" t="str">
        <x:v>чернослив</x:v>
      </x:c>
      <x:c r="H226" s="28" t="str">
        <x:v>Peach | Agen prunes</x:v>
      </x:c>
      <x:c r="I226" s="28" t="str">
        <x:v>Сушёные косточковые фрукты</x:v>
      </x:c>
      <x:c r="J226" s="28" t="str">
        <x:v>сливочный, персиковый, кокосово-лактонный, цветочный, зелёный</x:v>
      </x:c>
      <x:c r="K226" s="28" t="str">
        <x:v>тёмно-фруктовый, карамельный, винный, слегка дымный и миндальный</x:v>
      </x:c>
      <x:c r="L226" s="28" t="str">
        <x:v>γ- и δ-декалактон, γ- и δ-додекалактон, линалоол, бензальдегид, гексаналь, цис-3-гексенол</x:v>
      </x:c>
      <x:c r="M226" s="28" t="str">
        <x:v>фурфурол, 5-метилфурфурол, мальтол, лактоны, бензальдегид, продукты термического распада сахаров</x:v>
      </x:c>
      <x:c r="N226" s="28" t="str">
        <x:v>прямое семейное перекрытие не является главным механизмом</x:v>
      </x:c>
      <x:c r="O226" s="28" t="str">
        <x:v>бензальдегид</x:v>
      </x:c>
      <x:c r="P226" s="28" t="str">
        <x:v>прямое или классовое перекрытие характерных одорантов + вкусовой баланс</x:v>
      </x:c>
      <x:c r="Q226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</x:v>
      </x:c>
      <x:c r="R226" s="28" t="str">
        <x:v>обычно слабый; кислота даёт свежесть; партнёр: слабый; возможна лёгкая терпкость</x:v>
      </x:c>
      <x:c r="S226" s="28" t="str">
        <x:v>сочная пектиновая мякоть; кожица несёт зелёные и цветочные ноты; лактоны хорошо удерживаются жиром и этанолом. Партнёр: маловодная, богатая сахарами, пектином и сорбитолом; хорошо удерживает специи и алкоголь.</x:v>
      </x:c>
      <x:c r="T22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U22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Чернослив относится к группе «Сушёные косточковые фрукты» и даёт профиль «тёмно-фруктовый, карамельный, винный, слегка дымный и миндальный»; типичные соединения или классы: фурфурол, 5-метилфурфурол, мальтол, лактоны, бензальдегид, продукты термического распада сахаров. В рабочих профилях пересекаются: бензальдегид.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маловодная, богатая сахарами, пектином и сорбитолом; хорошо удерживает специи и алкоголь.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V22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26" s="28" t="str">
        <x:v>мёд, цитрус или нейтральная жировая основа</x:v>
      </x:c>
      <x:c r="X226" s="28" t="str">
        <x:v>напиток, соус, десерт или горячее блюдо после пробной дегустации</x:v>
      </x:c>
      <x:c r="Y226" s="28" t="str">
        <x:v>напитки; еда; десерты; соусы/маринады</x:v>
      </x:c>
      <x:c r="Z226" s="28" t="str">
        <x:v>Средняя</x:v>
      </x:c>
      <x:c r="AA226" s="28" t="str">
        <x:v>The Art &amp; Science of Foodpairing.pdf</x:v>
      </x:c>
      <x:c r="AB226" s="28" t="str">
        <x:v>The Art &amp; Science of Foodpairing.pdf: 260 | The Art &amp; Science of Foodpairing.pdf: 260–261</x:v>
      </x:c>
      <x:c r="AC226" s="28" t="str">
        <x:v>Ингредиент «Agen prunes» указан на странице профиля/сетки сочетаний «Peach». Ingredient pairings with peach and nectarine: Agen prunes.</x:v>
      </x:c>
      <x:c r="AD226" s="28" t="n">
        <x:v>1</x:v>
      </x:c>
      <x:c r="AE226" s="28" t="n">
        <x:v>3</x:v>
      </x:c>
      <x:c r="AF226" s="28" t="n">
        <x:f>IF(Z226="Высокая",3,IF(Z226="Средняя",2,1))+AD226*2+MIN(AE226,3)</x:f>
        <x:v>7</x:v>
      </x:c>
    </x:row>
    <x:row r="227" ht="62" customHeight="1">
      <x:c r="A227" s="28" t="str">
        <x:v>STN-0226</x:v>
      </x:c>
      <x:c r="B227" s="28" t="str">
        <x:v>персик</x:v>
      </x:c>
      <x:c r="C227" s="28" t="str">
        <x:v>Еда и соусы</x:v>
      </x:c>
      <x:c r="D227" s="28" t="str">
        <x:v>персик</x:v>
      </x:c>
      <x:c r="E227" s="28" t="str">
        <x:v>peach</x:v>
      </x:c>
      <x:c r="F227" s="28" t="str">
        <x:v>Косточковые фрукты</x:v>
      </x:c>
      <x:c r="G227" s="28" t="str">
        <x:v>черный трюфель</x:v>
      </x:c>
      <x:c r="H227" s="28" t="str">
        <x:v>Black truffle</x:v>
      </x:c>
      <x:c r="I227" s="28" t="str">
        <x:v>Грибы и трюфели</x:v>
      </x:c>
      <x:c r="J227" s="28" t="str">
        <x:v>сливочный, персиковый, кокосово-лактонный, цветочный, зелёный</x:v>
      </x:c>
      <x:c r="K227" s="28" t="str">
        <x:v>землистый, грибной, ореховый и умами</x:v>
      </x:c>
      <x:c r="L227" s="28" t="str">
        <x:v>γ- и δ-декалактон, γ- и δ-додекалактон, линалоол, бензальдегид, гексаналь, цис-3-гексенол</x:v>
      </x:c>
      <x:c r="M227" s="28" t="str">
        <x:v>1-октен-3-ол, 1-октен-3-он, сернистые соединения</x:v>
      </x:c>
      <x:c r="N227" s="28" t="str">
        <x:v>прямое семейное перекрытие не является главным механизмом</x:v>
      </x:c>
      <x:c r="O227" s="28" t="str">
        <x:v>надёжный единичный общий маркер не подтверждён; механизм не сводится к одной молекуле</x:v>
      </x:c>
      <x:c r="P227" s="28" t="str">
        <x:v>комплементарность ароматических семейств, вкусовой контраст и матричный эффект</x:v>
      </x:c>
      <x:c r="Q227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умами и лёгкая горечь. Баланс корректируется сахаром, кислотой, солью и горечью.</x:v>
      </x:c>
      <x:c r="R227" s="28" t="str">
        <x:v>обычно слабый; кислота даёт свежесть; партнёр: нет выраженного</x:v>
      </x:c>
      <x:c r="S227" s="28" t="str">
        <x:v>сочная пектиновая мякоть; кожица несёт зелёные и цветочные ноты; лактоны хорошо удерживаются жиром и этанолом. Партнёр: вода и клетчатка; обжарка создаёт новые жареные молекулы.</x:v>
      </x:c>
      <x:c r="T22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22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Черный трюфель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умами и лёгкая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вода и клетчатка; обжарка создаёт новые жареные молекулы.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22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27" s="28" t="str">
        <x:v>сливочное масло, тимьян или твёрдый сыр</x:v>
      </x:c>
      <x:c r="X227" s="28" t="str">
        <x:v>соус, глазировка, чатни, маринад, гарнир или основное блюдо</x:v>
      </x:c>
      <x:c r="Y227" s="28" t="str">
        <x:v>еда; соусы/маринады</x:v>
      </x:c>
      <x:c r="Z227" s="28" t="str">
        <x:v>Средняя</x:v>
      </x:c>
      <x:c r="AA227" s="28" t="str">
        <x:v>The Art &amp; Science of Foodpairing.pdf</x:v>
      </x:c>
      <x:c r="AB227" s="28" t="str">
        <x:v>The Art &amp; Science of Foodpairing.pdf: 192</x:v>
      </x:c>
      <x:c r="AC227" s="28" t="str">
        <x:v>Ингредиент «peach juice» указан на странице профиля/сетки сочетаний «Black truffle».</x:v>
      </x:c>
      <x:c r="AD227" s="28" t="n">
        <x:v>1</x:v>
      </x:c>
      <x:c r="AE227" s="28" t="n">
        <x:v>1</x:v>
      </x:c>
      <x:c r="AF227" s="28" t="n">
        <x:f>IF(Z227="Высокая",3,IF(Z227="Средняя",2,1))+AD227*2+MIN(AE227,3)</x:f>
        <x:v>5</x:v>
      </x:c>
    </x:row>
    <x:row r="228" ht="62" customHeight="1">
      <x:c r="A228" s="28" t="str">
        <x:v>STN-0227</x:v>
      </x:c>
      <x:c r="B228" s="28" t="str">
        <x:v>персик</x:v>
      </x:c>
      <x:c r="C228" s="28" t="str">
        <x:v>Универсальные</x:v>
      </x:c>
      <x:c r="D228" s="28" t="str">
        <x:v>персик</x:v>
      </x:c>
      <x:c r="E228" s="28" t="str">
        <x:v>peach</x:v>
      </x:c>
      <x:c r="F228" s="28" t="str">
        <x:v>Косточковые фрукты</x:v>
      </x:c>
      <x:c r="G228" s="28" t="str">
        <x:v>шиитаке</x:v>
      </x:c>
      <x:c r="H228" s="28" t="str">
        <x:v>Shiitake mushroom</x:v>
      </x:c>
      <x:c r="I228" s="28" t="str">
        <x:v>Прочее</x:v>
      </x:c>
      <x:c r="J228" s="28" t="str">
        <x:v>сливочный, персиковый, кокосово-лактонный, цветочный, зелёный</x:v>
      </x:c>
      <x:c r="K228" s="28" t="str">
        <x:v>комплексный</x:v>
      </x:c>
      <x:c r="L228" s="28" t="str">
        <x:v>γ- и δ-декалактон, γ- и δ-додекалактон, линалоол, бензальдегид, гексаналь, цис-3-гексенол</x:v>
      </x:c>
      <x:c r="M228" s="28" t="str">
        <x:v>не конкретизированы</x:v>
      </x:c>
      <x:c r="N228" s="28" t="str">
        <x:v>прямое семейное перекрытие не является главным механизмом</x:v>
      </x:c>
      <x:c r="O228" s="28" t="str">
        <x:v>надёжный единичный общий маркер не подтверждён; механизм не сводится к одной молекуле</x:v>
      </x:c>
      <x:c r="P228" s="28" t="str">
        <x:v>комплементарность ароматических семейств, вкусовой контраст и матричный эффект</x:v>
      </x:c>
      <x:c r="Q228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</x:v>
      </x:c>
      <x:c r="R228" s="28" t="str">
        <x:v>обычно слабый; кислота даёт свежесть; партнёр: обычно отсутствует; зависит от конкретного продукта</x:v>
      </x:c>
      <x:c r="S228" s="28" t="str">
        <x:v>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</x:v>
      </x:c>
      <x:c r="T22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22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Шиитаке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22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28" s="28" t="str">
        <x:v>мёд, цитрус или нейтральная жировая основа</x:v>
      </x:c>
      <x:c r="X228" s="28" t="str">
        <x:v>напиток, соус, десерт или горячее блюдо после пробной дегустации</x:v>
      </x:c>
      <x:c r="Y228" s="28" t="str">
        <x:v>напитки; еда; десерты; соусы/маринады</x:v>
      </x:c>
      <x:c r="Z228" s="28" t="str">
        <x:v>Средняя</x:v>
      </x:c>
      <x:c r="AA228" s="28" t="str">
        <x:v>The Art &amp; Science of Foodpairing.pdf</x:v>
      </x:c>
      <x:c r="AB228" s="28" t="str">
        <x:v>The Art &amp; Science of Foodpairing.pdf: 126</x:v>
      </x:c>
      <x:c r="AC228" s="28" t="str">
        <x:v>Ингредиент «peach» указан на странице профиля/сетки сочетаний «Shiitake mushroom».</x:v>
      </x:c>
      <x:c r="AD228" s="28" t="n">
        <x:v>1</x:v>
      </x:c>
      <x:c r="AE228" s="28" t="n">
        <x:v>1</x:v>
      </x:c>
      <x:c r="AF228" s="28" t="n">
        <x:f>IF(Z228="Высокая",3,IF(Z228="Средняя",2,1))+AD228*2+MIN(AE228,3)</x:f>
        <x:v>5</x:v>
      </x:c>
    </x:row>
    <x:row r="229" ht="62" customHeight="1">
      <x:c r="A229" s="28" t="str">
        <x:v>STN-0228</x:v>
      </x:c>
      <x:c r="B229" s="28" t="str">
        <x:v>персик</x:v>
      </x:c>
      <x:c r="C229" s="28" t="str">
        <x:v>Универсальные</x:v>
      </x:c>
      <x:c r="D229" s="28" t="str">
        <x:v>персик</x:v>
      </x:c>
      <x:c r="E229" s="28" t="str">
        <x:v>peach</x:v>
      </x:c>
      <x:c r="F229" s="28" t="str">
        <x:v>Косточковые фрукты</x:v>
      </x:c>
      <x:c r="G229" s="28" t="str">
        <x:v>шнитт-лук</x:v>
      </x:c>
      <x:c r="H229" s="28" t="str">
        <x:v>chives</x:v>
      </x:c>
      <x:c r="I229" s="28" t="str">
        <x:v>Травы, листья и цветы</x:v>
      </x:c>
      <x:c r="J229" s="28" t="str">
        <x:v>сливочный, персиковый, кокосово-лактонный, цветочный, зелёный</x:v>
      </x:c>
      <x:c r="K229" s="28" t="str">
        <x:v>зелёный, цветочный, цитрусовый или анисовый</x:v>
      </x:c>
      <x:c r="L229" s="28" t="str">
        <x:v>γ- и δ-декалактон, γ- и δ-додекалактон, линалоол, бензальдегид, гексаналь, цис-3-гексенол</x:v>
      </x:c>
      <x:c r="M229" s="28" t="str">
        <x:v>терпены, линалоол, гераниол, эвгенол, анетол, C6-альдегиды</x:v>
      </x:c>
      <x:c r="N229" s="28" t="str">
        <x:v>цветочный, зелёный</x:v>
      </x:c>
      <x:c r="O229" s="28" t="str">
        <x:v>линалоол</x:v>
      </x:c>
      <x:c r="P229" s="28" t="str">
        <x:v>прямое или классовое перекрытие характерных одорантов + вкусовой баланс</x:v>
      </x:c>
      <x:c r="Q229" s="28" t="str">
        <x:v>Цветочные и зелёные ноты расширяют верхнюю часть аромата; фруктовая сладость смягчает травяную горечь.</x:v>
      </x:c>
      <x:c r="R229" s="28" t="str">
        <x:v>обычно слабый; кислота даёт свежесть; партнёр: часто охлаждение/покалывание у мяты и хвои</x:v>
      </x:c>
      <x:c r="S229" s="28" t="str">
        <x:v>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</x:v>
      </x:c>
      <x:c r="T229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U22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Шнитт-лук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V22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29" s="28" t="str">
        <x:v>лимон, мёд или ваниль</x:v>
      </x:c>
      <x:c r="X229" s="28" t="str">
        <x:v>напиток, соус, десерт или горячее блюдо после пробной дегустации</x:v>
      </x:c>
      <x:c r="Y229" s="28" t="str">
        <x:v>напитки; еда; десерты; соусы/маринады</x:v>
      </x:c>
      <x:c r="Z229" s="28" t="str">
        <x:v>Средняя</x:v>
      </x:c>
      <x:c r="AA229" s="28" t="str">
        <x:v>The Art &amp; Science of Foodpairing.pdf</x:v>
      </x:c>
      <x:c r="AB229" s="28" t="str">
        <x:v>The Art &amp; Science of Foodpairing.pdf: 260–261</x:v>
      </x:c>
      <x:c r="AC229" s="28" t="str">
        <x:v>Ingredient pairings with peach and nectarine: chives.</x:v>
      </x:c>
      <x:c r="AD229" s="28" t="n">
        <x:v>1</x:v>
      </x:c>
      <x:c r="AE229" s="28" t="n">
        <x:v>1</x:v>
      </x:c>
      <x:c r="AF229" s="28" t="n">
        <x:f>IF(Z229="Высокая",3,IF(Z229="Средняя",2,1))+AD229*2+MIN(AE229,3)</x:f>
        <x:v>5</x:v>
      </x:c>
    </x:row>
    <x:row r="230" ht="62" customHeight="1">
      <x:c r="A230" s="28" t="str">
        <x:v>STN-0229</x:v>
      </x:c>
      <x:c r="B230" s="28" t="str">
        <x:v>персик</x:v>
      </x:c>
      <x:c r="C230" s="28" t="str">
        <x:v>Универсальные</x:v>
      </x:c>
      <x:c r="D230" s="28" t="str">
        <x:v>персик</x:v>
      </x:c>
      <x:c r="E230" s="28" t="str">
        <x:v>peach</x:v>
      </x:c>
      <x:c r="F230" s="28" t="str">
        <x:v>Косточковые фрукты</x:v>
      </x:c>
      <x:c r="G230" s="28" t="str">
        <x:v>шоколад</x:v>
      </x:c>
      <x:c r="H230" s="28" t="str">
        <x:v>шоколад | Chocolate</x:v>
      </x:c>
      <x:c r="I230" s="28" t="str">
        <x:v>Чай, кофе и какао</x:v>
      </x:c>
      <x:c r="J230" s="28" t="str">
        <x:v>сливочный, персиковый, кокосово-лактонный, цветочный, зелёный</x:v>
      </x:c>
      <x:c r="K230" s="28" t="str">
        <x:v>какао, жареный, ореховый и фруктовый</x:v>
      </x:c>
      <x:c r="L230" s="28" t="str">
        <x:v>γ- и δ-декалактон, γ- и δ-додекалактон, линалоол, бензальдегид, гексаналь, цис-3-гексенол</x:v>
      </x:c>
      <x:c r="M230" s="28" t="str">
        <x:v>пиразины, альдегиды Стреккера, фураны</x:v>
      </x:c>
      <x:c r="N230" s="28" t="str">
        <x:v>прямое семейное перекрытие не является главным механизмом</x:v>
      </x:c>
      <x:c r="O230" s="28" t="str">
        <x:v>надёжный единичный общий маркер не подтверждён; механизм не сводится к одной молекуле</x:v>
      </x:c>
      <x:c r="P230" s="28" t="str">
        <x:v>комплементарность ароматических семейств, вкусовой контраст и матричный эффект</x:v>
      </x:c>
      <x:c r="Q230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горечь, терпкость и жареная сладость. Баланс корректируется сахаром, кислотой, солью и горечью.</x:v>
      </x:c>
      <x:c r="R230" s="28" t="str">
        <x:v>обычно слабый; кислота даёт свежесть; партнёр: кофеин и терпкость создают сухость, но прямой тройничный эффект умерен</x:v>
      </x:c>
      <x:c r="S230" s="28" t="str">
        <x:v>сочная пектиновая мякоть; кожица несёт зелёные и цветочные ноты; лактоны хорошо удерживаются жиром и этанолом. Партнёр: водные настои извлекают полифенолы; жир и сахар смягчают горечь.</x:v>
      </x:c>
      <x:c r="T23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U23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горечь, терпкость и жареная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водные настои извлекают полифенолы; жир и сахар смягчают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V23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30" s="28" t="str">
        <x:v>мёд, цитрус или нейтральная жировая основа</x:v>
      </x:c>
      <x:c r="X230" s="28" t="str">
        <x:v>напиток, соус, десерт или горячее блюдо после пробной дегустации</x:v>
      </x:c>
      <x:c r="Y230" s="28" t="str">
        <x:v>напитки; еда; десерты; соусы/маринады</x:v>
      </x:c>
      <x:c r="Z230" s="28" t="str">
        <x:v>Высокая</x:v>
      </x:c>
      <x:c r="AA230" s="28" t="str">
        <x:v>The Art &amp; Science of Foodpairing.pdf | Таблица сочетания(1).pdf</x:v>
      </x:c>
      <x:c r="AB230" s="28" t="str">
        <x:v>Таблица сочетания(1).pdf: 15 | The Art &amp; Science of Foodpairing.pdf: 62</x:v>
      </x:c>
      <x:c r="AC230" s="28" t="str">
        <x:v>Пара указана в строке «Персик» → колонка «Другое». Ингредиент «peach» указан на странице профиля/сетки сочетаний «Chocolate».</x:v>
      </x:c>
      <x:c r="AD230" s="28" t="n">
        <x:v>2</x:v>
      </x:c>
      <x:c r="AE230" s="28" t="n">
        <x:v>2</x:v>
      </x:c>
      <x:c r="AF230" s="28" t="n">
        <x:f>IF(Z230="Высокая",3,IF(Z230="Средняя",2,1))+AD230*2+MIN(AE230,3)</x:f>
        <x:v>9</x:v>
      </x:c>
    </x:row>
    <x:row r="231" ht="62" customHeight="1">
      <x:c r="A231" s="28" t="str">
        <x:v>STN-0230</x:v>
      </x:c>
      <x:c r="B231" s="28" t="str">
        <x:v>персик</x:v>
      </x:c>
      <x:c r="C231" s="28" t="str">
        <x:v>Универсальные</x:v>
      </x:c>
      <x:c r="D231" s="28" t="str">
        <x:v>персик</x:v>
      </x:c>
      <x:c r="E231" s="28" t="str">
        <x:v>peach</x:v>
      </x:c>
      <x:c r="F231" s="28" t="str">
        <x:v>Косточковые фрукты</x:v>
      </x:c>
      <x:c r="G231" s="28" t="str">
        <x:v>эстрагон</x:v>
      </x:c>
      <x:c r="H231" s="28" t="str">
        <x:v>tarragon</x:v>
      </x:c>
      <x:c r="I231" s="28" t="str">
        <x:v>Травы и цветы</x:v>
      </x:c>
      <x:c r="J231" s="28" t="str">
        <x:v>сливочный, персиковый, кокосово-лактонный, цветочный, зелёный</x:v>
      </x:c>
      <x:c r="K231" s="28" t="str">
        <x:v>зелёный, травянистый, цветочный</x:v>
      </x:c>
      <x:c r="L231" s="28" t="str">
        <x:v>γ- и δ-декалактон, γ- и δ-додекалактон, линалоол, бензальдегид, гексаналь, цис-3-гексенол</x:v>
      </x:c>
      <x:c r="M231" s="28" t="str">
        <x:v>гераниол, линалоол, терпены, эвгенол</x:v>
      </x:c>
      <x:c r="N231" s="28" t="str">
        <x:v>цветочный, зелёный</x:v>
      </x:c>
      <x:c r="O231" s="28" t="str">
        <x:v>линалоол</x:v>
      </x:c>
      <x:c r="P231" s="28" t="str">
        <x:v>прямое или классовое перекрытие характерных одорантов + вкусовой баланс</x:v>
      </x:c>
      <x:c r="Q231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горьковатый, свежий. Баланс корректируется сахаром, кислотой, солью и горечью.</x:v>
      </x:c>
      <x:c r="R231" s="28" t="str">
        <x:v>обычно слабый; кислота даёт свежесть; партнёр: обычно отсутствует; зависит от конкретного продукта</x:v>
      </x:c>
      <x:c r="S231" s="28" t="str">
        <x:v>сочная пектиновая мякоть; кожица несёт зелёные и цветочные ноты; лактоны хорошо удерживаются жиром и этанолом. Партнёр: летучие масла чувствительны к нагреву.</x:v>
      </x:c>
      <x:c r="T23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23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Эстрагон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горьковатый, свежий.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летучие масла чувствительны к нагреву.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23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31" s="28" t="str">
        <x:v>мёд, цитрус или нейтральная жировая основа</x:v>
      </x:c>
      <x:c r="X231" s="28" t="str">
        <x:v>напиток, соус, десерт или горячее блюдо после пробной дегустации</x:v>
      </x:c>
      <x:c r="Y231" s="28" t="str">
        <x:v>напитки; еда; десерты; соусы/маринады</x:v>
      </x:c>
      <x:c r="Z231" s="28" t="str">
        <x:v>Средняя</x:v>
      </x:c>
      <x:c r="AA231" s="28" t="str">
        <x:v>The Art &amp; Science of Foodpairing.pdf</x:v>
      </x:c>
      <x:c r="AB231" s="28" t="str">
        <x:v>The Art &amp; Science of Foodpairing.pdf: 260–261</x:v>
      </x:c>
      <x:c r="AC231" s="28" t="str">
        <x:v>Ingredient pairings with peach and nectarine: tarragon.</x:v>
      </x:c>
      <x:c r="AD231" s="28" t="n">
        <x:v>1</x:v>
      </x:c>
      <x:c r="AE231" s="28" t="n">
        <x:v>1</x:v>
      </x:c>
      <x:c r="AF231" s="28" t="n">
        <x:f>IF(Z231="Высокая",3,IF(Z231="Средняя",2,1))+AD231*2+MIN(AE231,3)</x:f>
        <x:v>5</x:v>
      </x:c>
    </x:row>
    <x:row r="232" ht="62" customHeight="1">
      <x:c r="A232" s="28" t="str">
        <x:v>STN-0231</x:v>
      </x:c>
      <x:c r="B232" s="28" t="str">
        <x:v>персик</x:v>
      </x:c>
      <x:c r="C232" s="28" t="str">
        <x:v>Универсальные</x:v>
      </x:c>
      <x:c r="D232" s="28" t="str">
        <x:v>персик</x:v>
      </x:c>
      <x:c r="E232" s="28" t="str">
        <x:v>peach</x:v>
      </x:c>
      <x:c r="F232" s="28" t="str">
        <x:v>Косточковые фрукты</x:v>
      </x:c>
      <x:c r="G232" s="28" t="str">
        <x:v>ягоды</x:v>
      </x:c>
      <x:c r="H232" s="28" t="str">
        <x:v>ягоды</x:v>
      </x:c>
      <x:c r="I232" s="28" t="str">
        <x:v>Прочее</x:v>
      </x:c>
      <x:c r="J232" s="28" t="str">
        <x:v>сливочный, персиковый, кокосово-лактонный, цветочный, зелёный</x:v>
      </x:c>
      <x:c r="K232" s="28" t="str">
        <x:v>комплексный</x:v>
      </x:c>
      <x:c r="L232" s="28" t="str">
        <x:v>γ- и δ-декалактон, γ- и δ-додекалактон, линалоол, бензальдегид, гексаналь, цис-3-гексенол</x:v>
      </x:c>
      <x:c r="M232" s="28" t="str">
        <x:v>не конкретизированы</x:v>
      </x:c>
      <x:c r="N232" s="28" t="str">
        <x:v>прямое семейное перекрытие не является главным механизмом</x:v>
      </x:c>
      <x:c r="O232" s="28" t="str">
        <x:v>надёжный единичный общий маркер не подтверждён; механизм не сводится к одной молекуле</x:v>
      </x:c>
      <x:c r="P232" s="28" t="str">
        <x:v>комплементарность ароматических семейств, вкусовой контраст и матричный эффект</x:v>
      </x:c>
      <x:c r="Q232" s="28" t="str">
        <x:v>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</x:v>
      </x:c>
      <x:c r="R232" s="28" t="str">
        <x:v>обычно слабый; кислота даёт свежесть; партнёр: обычно отсутствует; зависит от конкретного продукта</x:v>
      </x:c>
      <x:c r="S232" s="28" t="str">
        <x:v>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</x:v>
      </x:c>
      <x:c r="T23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23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Ягоды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23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32" s="28" t="str">
        <x:v>мёд, цитрус или нейтральная жировая основа</x:v>
      </x:c>
      <x:c r="X232" s="28" t="str">
        <x:v>напиток, соус, десерт или горячее блюдо после пробной дегустации</x:v>
      </x:c>
      <x:c r="Y232" s="28" t="str">
        <x:v>напитки; еда; десерты; соусы/маринады</x:v>
      </x:c>
      <x:c r="Z232" s="28" t="str">
        <x:v>Гипотеза / практическая</x:v>
      </x:c>
      <x:c r="AA232" s="28" t="str">
        <x:v>Таблица сочетания(1).pdf</x:v>
      </x:c>
      <x:c r="AB232" s="28" t="str">
        <x:v>Таблица сочетания(1).pdf: 15</x:v>
      </x:c>
      <x:c r="AC232" s="28" t="str">
        <x:v>Пара указана в строке «Персик» → колонка «Фрукты».</x:v>
      </x:c>
      <x:c r="AD232" s="28" t="n">
        <x:v>1</x:v>
      </x:c>
      <x:c r="AE232" s="28" t="n">
        <x:v>1</x:v>
      </x:c>
      <x:c r="AF232" s="28" t="n">
        <x:f>IF(Z232="Высокая",3,IF(Z232="Средняя",2,1))+AD232*2+MIN(AE232,3)</x:f>
        <x:v>4</x:v>
      </x:c>
    </x:row>
    <x:row r="233" ht="62" customHeight="1">
      <x:c r="A233" s="28" t="str">
        <x:v>STN-0232</x:v>
      </x:c>
      <x:c r="B233" s="28" t="str">
        <x:v>персик</x:v>
      </x:c>
      <x:c r="C233" s="28" t="str">
        <x:v>Универсальные</x:v>
      </x:c>
      <x:c r="D233" s="28" t="str">
        <x:v>персик</x:v>
      </x:c>
      <x:c r="E233" s="28" t="str">
        <x:v>peach</x:v>
      </x:c>
      <x:c r="F233" s="28" t="str">
        <x:v>Косточковые фрукты</x:v>
      </x:c>
      <x:c r="G233" s="28" t="str">
        <x:v>ягоды можжевельника</x:v>
      </x:c>
      <x:c r="H233" s="28" t="str">
        <x:v>Ягоды можжевельника</x:v>
      </x:c>
      <x:c r="I233" s="28" t="str">
        <x:v>Прочее</x:v>
      </x:c>
      <x:c r="J233" s="28" t="str">
        <x:v>сливочный, персиковый, кокосово-лактонный, цветочный, зелёный</x:v>
      </x:c>
      <x:c r="K233" s="28" t="str">
        <x:v>ароматический профиль зависит от конкретного ингредиента</x:v>
      </x:c>
      <x:c r="L233" s="28" t="str">
        <x:v>γ- и δ-декалактон, γ- и δ-додекалактон, линалоол, бензальдегид, гексаналь, цис-3-гексенол</x:v>
      </x:c>
      <x:c r="M233" s="28" t="str">
        <x:v>летучие соединения конкретного продукта</x:v>
      </x:c>
      <x:c r="N233" s="28" t="str">
        <x:v>прямое семейное перекрытие не является главным механизмом</x:v>
      </x:c>
      <x:c r="O233" s="28" t="str">
        <x:v>надёжный единичный общий маркер не подтверждён; механизм не сводится к одной молекуле</x:v>
      </x:c>
      <x:c r="P233" s="28" t="str">
        <x:v>комплементарность ароматических семейств, вкусовой контраст и матричный эффект</x:v>
      </x:c>
      <x:c r="Q233" s="28" t="str">
        <x:v>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</x:v>
      </x:c>
      <x:c r="R233" s="28" t="str">
        <x:v>обычно слабый; кислота даёт свежесть; партнёр: возможен в зависимости от состава</x:v>
      </x:c>
      <x:c r="S233" s="28" t="str">
        <x:v>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</x:v>
      </x:c>
      <x:c r="T23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U23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Ягоды можжевельника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V23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W233" s="28" t="str">
        <x:v>мёд, цитрус или нейтральная жировая основа</x:v>
      </x:c>
      <x:c r="X233" s="28" t="str">
        <x:v>напиток, соус, десерт или горячее блюдо после пробной дегустации</x:v>
      </x:c>
      <x:c r="Y233" s="28" t="str">
        <x:v>напитки; еда; десерты; соусы/маринады</x:v>
      </x:c>
      <x:c r="Z233" s="28" t="str">
        <x:v>Гипотеза / практическая</x:v>
      </x:c>
      <x:c r="AA233" s="28" t="str">
        <x:v>Таблица сочетания(1).pdf</x:v>
      </x:c>
      <x:c r="AB233" s="28" t="str">
        <x:v>Таблица сочетания(1).pdf: 10</x:v>
      </x:c>
      <x:c r="AC233" s="28" t="str">
        <x:v>Пара указана в строке «Ягоды можжевельника»: «персик» находится в колонке «Фрукты».</x:v>
      </x:c>
      <x:c r="AD233" s="28" t="n">
        <x:v>1</x:v>
      </x:c>
      <x:c r="AE233" s="28" t="n">
        <x:v>1</x:v>
      </x:c>
      <x:c r="AF233" s="28" t="n">
        <x:f>IF(Z233="Высокая",3,IF(Z233="Средняя",2,1))+AD233*2+MIN(AE233,3)</x:f>
        <x:v>4</x:v>
      </x:c>
    </x:row>
    <x:row r="234" ht="62" customHeight="1">
      <x:c r="A234" s="28" t="str">
        <x:v>STN-0233</x:v>
      </x:c>
      <x:c r="B234" s="28" t="str">
        <x:v>персик</x:v>
      </x:c>
      <x:c r="C234" s="28" t="str">
        <x:v>Еда и соусы</x:v>
      </x:c>
      <x:c r="D234" s="28" t="str">
        <x:v>персик</x:v>
      </x:c>
      <x:c r="E234" s="28" t="str">
        <x:v>peach</x:v>
      </x:c>
      <x:c r="F234" s="28" t="str">
        <x:v>Косточковые фрукты</x:v>
      </x:c>
      <x:c r="G234" s="28" t="str">
        <x:v>японский соевый соус</x:v>
      </x:c>
      <x:c r="H234" s="28" t="str">
        <x:v>Japanese soy sauce</x:v>
      </x:c>
      <x:c r="I234" s="28" t="str">
        <x:v>Ферментированные продукты, соусы и уксусы</x:v>
      </x:c>
      <x:c r="J234" s="28" t="str">
        <x:v>сливочный, персиковый, кокосово-лактонный, цветочный, зелёный</x:v>
      </x:c>
      <x:c r="K234" s="28" t="str">
        <x:v>кислый, умами, ферментированный, солёный</x:v>
      </x:c>
      <x:c r="L234" s="28" t="str">
        <x:v>γ- и δ-декалактон, γ- и δ-додекалактон, линалоол, бензальдегид, гексаналь, цис-3-гексенол</x:v>
      </x:c>
      <x:c r="M234" s="28" t="str">
        <x:v>уксусная кислота, эфиры, аминокислотные и ферментационные соединения</x:v>
      </x:c>
      <x:c r="N234" s="28" t="str">
        <x:v>прямое семейное перекрытие не является главным механизмом</x:v>
      </x:c>
      <x:c r="O234" s="28" t="str">
        <x:v>надёжный единичный общий маркер не подтверждён; механизм не сводится к одной молекуле</x:v>
      </x:c>
      <x:c r="P234" s="28" t="str">
        <x:v>комплементарность ароматических семейств, вкусовой контраст и матричный эффект</x:v>
      </x:c>
      <x:c r="Q234" s="28" t="str">
        <x:v>Кислота, соль и умами усиливают контраст с фруктовой сладостью; сочетание работает в малой дозировке как приправа.</x:v>
      </x:c>
      <x:c r="R234" s="28" t="str">
        <x:v>обычно слабый; кислота даёт свежесть; партнёр: кислота усиливает слюноотделение</x:v>
      </x:c>
      <x:c r="S234" s="28" t="str">
        <x:v>сочная пектиновая мякоть; кожица несёт зелёные и цветочные ноты; лактоны хорошо удерживаются жиром и этанолом. Партнёр: водная и солевая матрица; часть ароматов удерживается белком и сахаром.</x:v>
      </x:c>
      <x:c r="T23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U23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Японский соевый соус относится к группе «Ферментированные продукты, соусы и уксусы» и даёт профиль «кислый, умами, ферментированный, солёный»; типичные соединения или классы: уксусная кислота, эфиры, аминокислотные и ферментационные соединения. По доступным материалам нельзя уверенно свести совместимость к одной общей молекуле. Кислота, соль и умами усиливают контраст с фруктовой сладостью; сочетание работает в малой дозировке как приправа. Матрица пары: сочная пектиновая мякоть; кожица несёт зелёные и цветочные ноты; лактоны хорошо удерживаются жиром и этанолом. Партнёр: водная и солевая матрица; часть ароматов удерживается белком и сахаром.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V234" s="28" t="str">
        <x:v>незрелый плод ароматически беден; перезрелый быстро окисляется; косточки не использовать без безопасной технологии. Соль и кислота быстро становятся доминирующими; используйте как акцент.</x:v>
      </x:c>
      <x:c r="W234" s="28" t="str">
        <x:v>мёд, имбирь или соевый соус</x:v>
      </x:c>
      <x:c r="X234" s="28" t="str">
        <x:v>соус, глазировка, чатни, маринад, гарнир или основное блюдо</x:v>
      </x:c>
      <x:c r="Y234" s="28" t="str">
        <x:v>еда; соусы/маринады</x:v>
      </x:c>
      <x:c r="Z234" s="28" t="str">
        <x:v>Средняя</x:v>
      </x:c>
      <x:c r="AA234" s="28" t="str">
        <x:v>The Art &amp; Science of Foodpairing.pdf</x:v>
      </x:c>
      <x:c r="AB234" s="28" t="str">
        <x:v>The Art &amp; Science of Foodpairing.pdf: 301</x:v>
      </x:c>
      <x:c r="AC234" s="28" t="str">
        <x:v>Ингредиент «peach» указан на странице профиля/сетки сочетаний «Japanese soy sauce».</x:v>
      </x:c>
      <x:c r="AD234" s="28" t="n">
        <x:v>1</x:v>
      </x:c>
      <x:c r="AE234" s="28" t="n">
        <x:v>1</x:v>
      </x:c>
      <x:c r="AF234" s="28" t="n">
        <x:f>IF(Z234="Высокая",3,IF(Z234="Средняя",2,1))+AD234*2+MIN(AE234,3)</x:f>
        <x:v>5</x:v>
      </x:c>
    </x:row>
    <x:row r="235" ht="62" customHeight="1">
      <x:c r="A235" s="28" t="str">
        <x:v>STN-0234</x:v>
      </x:c>
      <x:c r="B235" s="28" t="str">
        <x:v>нектарин</x:v>
      </x:c>
      <x:c r="C235" s="28" t="str">
        <x:v>Напитки</x:v>
      </x:c>
      <x:c r="D235" s="28" t="str">
        <x:v>нектарин</x:v>
      </x:c>
      <x:c r="E235" s="28" t="str">
        <x:v>nectarine</x:v>
      </x:c>
      <x:c r="F235" s="28" t="str">
        <x:v>Косточковые фрукты</x:v>
      </x:c>
      <x:c r="G235" s="28" t="str">
        <x:v>абрикосовый бренди</x:v>
      </x:c>
      <x:c r="H235" s="28" t="str">
        <x:v>apricot brandy</x:v>
      </x:c>
      <x:c r="I235" s="28" t="str">
        <x:v>Алкогольные напитки</x:v>
      </x:c>
      <x:c r="J235" s="28" t="str">
        <x:v>персиковый, фруктовый, цветочный, зелёный, сливочно-лактонный</x:v>
      </x:c>
      <x:c r="K235" s="28" t="str">
        <x:v>эфирный, фруктовый, цветочный, древесный или ферментативный</x:v>
      </x:c>
      <x:c r="L235" s="28" t="str">
        <x:v>γ- и δ-декалактон, γ- и δ-додекалактон, фруктовые эфиры, линалоол, бензальдегид, C6-альдегиды</x:v>
      </x:c>
      <x:c r="M235" s="28" t="str">
        <x:v>этиловые эфиры, высшие спирты, альдегиды, дубовые лактоны</x:v>
      </x:c>
      <x:c r="N235" s="28" t="str">
        <x:v>цветочный, фруктовый</x:v>
      </x:c>
      <x:c r="O235" s="28" t="str">
        <x:v>эфиры</x:v>
      </x:c>
      <x:c r="P235" s="28" t="str">
        <x:v>прямое или классовое перекрытие характерных одорантов + вкусовой баланс</x:v>
      </x:c>
      <x:c r="Q235" s="28" t="str">
        <x:v>Этанол усиливает летучесть лактонов и терпенов; сахар и кислотность должны быть настроены так, чтобы крепость не маскировала плод.</x:v>
      </x:c>
      <x:c r="R235" s="28" t="str">
        <x:v>слабый; кислотность усиливает свежесть; партнёр: согревание и жжение этанола</x:v>
      </x:c>
      <x:c r="S235" s="28" t="str">
        <x:v>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</x:v>
      </x:c>
      <x:c r="T235" s="28" t="str">
        <x:v>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U23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Абрикосовый бренди относится к группе «Алкогольные напитки» 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В рабочих профилях пересекаются: эфиры. Общие ароматические направления: цветочный, фруктовый. Этанол усиливает летучесть лактонов и терпенов; сахар и кислотность должны быть настроены так, чтобы крепость не маскировала плод. Матрица пары: 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 Обработка: 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V235" s="28" t="str">
        <x:v>не перегревать и не переслащивать; иначе исчезает свежая фруктовая детализация. Высокая крепость и избыток сахара маскируют свежесть; после мацерации контролируйте терпкость кожицы.</x:v>
      </x:c>
      <x:c r="W235" s="28" t="str">
        <x:v>цитрус, чай или вермут</x:v>
      </x:c>
      <x:c r="X235" s="28" t="str">
        <x:v>коктейль, кордиал, настой, спритц, чайный или кофейный напиток</x:v>
      </x:c>
      <x:c r="Y235" s="28" t="str">
        <x:v>напитки</x:v>
      </x:c>
      <x:c r="Z235" s="28" t="str">
        <x:v>Средняя</x:v>
      </x:c>
      <x:c r="AA235" s="28" t="str">
        <x:v>The Art &amp; Science of Foodpairing.pdf</x:v>
      </x:c>
      <x:c r="AB235" s="28" t="str">
        <x:v>The Art &amp; Science of Foodpairing.pdf: 260–261</x:v>
      </x:c>
      <x:c r="AC235" s="28" t="str">
        <x:v>Ingredient pairings with peach and nectarine: apricot brandy.</x:v>
      </x:c>
      <x:c r="AD235" s="28" t="n">
        <x:v>1</x:v>
      </x:c>
      <x:c r="AE235" s="28" t="n">
        <x:v>1</x:v>
      </x:c>
      <x:c r="AF235" s="28" t="n">
        <x:f>IF(Z235="Высокая",3,IF(Z235="Средняя",2,1))+AD235*2+MIN(AE235,3)</x:f>
        <x:v>5</x:v>
      </x:c>
    </x:row>
    <x:row r="236" ht="62" customHeight="1">
      <x:c r="A236" s="28" t="str">
        <x:v>STN-0235</x:v>
      </x:c>
      <x:c r="B236" s="28" t="str">
        <x:v>нектарин</x:v>
      </x:c>
      <x:c r="C236" s="28" t="str">
        <x:v>Напитки</x:v>
      </x:c>
      <x:c r="D236" s="28" t="str">
        <x:v>нектарин</x:v>
      </x:c>
      <x:c r="E236" s="28" t="str">
        <x:v>nectarine</x:v>
      </x:c>
      <x:c r="F236" s="28" t="str">
        <x:v>Косточковые фрукты</x:v>
      </x:c>
      <x:c r="G236" s="28" t="str">
        <x:v>абсент</x:v>
      </x:c>
      <x:c r="H236" s="28" t="str">
        <x:v>absinthe</x:v>
      </x:c>
      <x:c r="I236" s="28" t="str">
        <x:v>Алкогольные напитки</x:v>
      </x:c>
      <x:c r="J236" s="28" t="str">
        <x:v>персиковый, фруктовый, цветочный, зелёный, сливочно-лактонный</x:v>
      </x:c>
      <x:c r="K236" s="28" t="str">
        <x:v>эфирный, фруктовый, цветочный, древесный или ферментативный</x:v>
      </x:c>
      <x:c r="L236" s="28" t="str">
        <x:v>γ- и δ-декалактон, γ- и δ-додекалактон, фруктовые эфиры, линалоол, бензальдегид, C6-альдегиды</x:v>
      </x:c>
      <x:c r="M236" s="28" t="str">
        <x:v>этиловые эфиры, высшие спирты, альдегиды, дубовые лактоны</x:v>
      </x:c>
      <x:c r="N236" s="28" t="str">
        <x:v>цветочный, фруктовый</x:v>
      </x:c>
      <x:c r="O236" s="28" t="str">
        <x:v>эфиры</x:v>
      </x:c>
      <x:c r="P236" s="28" t="str">
        <x:v>прямое или классовое перекрытие характерных одорантов + вкусовой баланс</x:v>
      </x:c>
      <x:c r="Q236" s="28" t="str">
        <x:v>Этанол усиливает летучесть лактонов и терпенов; сахар и кислотность должны быть настроены так, чтобы крепость не маскировала плод.</x:v>
      </x:c>
      <x:c r="R236" s="28" t="str">
        <x:v>слабый; кислотность усиливает свежесть; партнёр: согревание и жжение этанола</x:v>
      </x:c>
      <x:c r="S236" s="28" t="str">
        <x:v>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</x:v>
      </x:c>
      <x:c r="T236" s="28" t="str">
        <x:v>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U23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Абсент относится к группе «Алкогольные напитки» 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В рабочих профилях пересекаются: эфиры. Общие ароматические направления: цветочный, фруктовый. Этанол усиливает летучесть лактонов и терпенов; сахар и кислотность должны быть настроены так, чтобы крепость не маскировала плод. Матрица пары: 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 Обработка: 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V236" s="28" t="str">
        <x:v>не перегревать и не переслащивать; иначе исчезает свежая фруктовая детализация. Высокая крепость и избыток сахара маскируют свежесть; после мацерации контролируйте терпкость кожицы.</x:v>
      </x:c>
      <x:c r="W236" s="28" t="str">
        <x:v>цитрус, чай или вермут</x:v>
      </x:c>
      <x:c r="X236" s="28" t="str">
        <x:v>коктейль, кордиал, настой, спритц, чайный или кофейный напиток</x:v>
      </x:c>
      <x:c r="Y236" s="28" t="str">
        <x:v>напитки</x:v>
      </x:c>
      <x:c r="Z236" s="28" t="str">
        <x:v>Средняя</x:v>
      </x:c>
      <x:c r="AA236" s="28" t="str">
        <x:v>The Art &amp; Science of Foodpairing.pdf</x:v>
      </x:c>
      <x:c r="AB236" s="28" t="str">
        <x:v>The Art &amp; Science of Foodpairing.pdf: 260–261</x:v>
      </x:c>
      <x:c r="AC236" s="28" t="str">
        <x:v>Ingredient pairings with peach and nectarine: absinthe.</x:v>
      </x:c>
      <x:c r="AD236" s="28" t="n">
        <x:v>1</x:v>
      </x:c>
      <x:c r="AE236" s="28" t="n">
        <x:v>1</x:v>
      </x:c>
      <x:c r="AF236" s="28" t="n">
        <x:f>IF(Z236="Высокая",3,IF(Z236="Средняя",2,1))+AD236*2+MIN(AE236,3)</x:f>
        <x:v>5</x:v>
      </x:c>
    </x:row>
    <x:row r="237" ht="62" customHeight="1">
      <x:c r="A237" s="28" t="str">
        <x:v>STN-0236</x:v>
      </x:c>
      <x:c r="B237" s="28" t="str">
        <x:v>нектарин</x:v>
      </x:c>
      <x:c r="C237" s="28" t="str">
        <x:v>Универсальные</x:v>
      </x:c>
      <x:c r="D237" s="28" t="str">
        <x:v>нектарин</x:v>
      </x:c>
      <x:c r="E237" s="28" t="str">
        <x:v>nectarine</x:v>
      </x:c>
      <x:c r="F237" s="28" t="str">
        <x:v>Косточковые фрукты</x:v>
      </x:c>
      <x:c r="G237" s="28" t="str">
        <x:v>авокадо</x:v>
      </x:c>
      <x:c r="H237" s="28" t="str">
        <x:v>avocado</x:v>
      </x:c>
      <x:c r="I237" s="28" t="str">
        <x:v>Тропические фрукты и жирные матрицы</x:v>
      </x:c>
      <x:c r="J237" s="28" t="str">
        <x:v>персиковый, фруктовый, цветочный, зелёный, сливочно-лактонный</x:v>
      </x:c>
      <x:c r="K237" s="28" t="str">
        <x:v>зелёный, травянистый, ореховый, маслянистый и слегка грибной</x:v>
      </x:c>
      <x:c r="L237" s="28" t="str">
        <x:v>γ- и δ-декалактон, γ- и δ-додекалактон, фруктовые эфиры, линалоол, бензальдегид, C6-альдегиды</x:v>
      </x:c>
      <x:c r="M237" s="28" t="str">
        <x:v>гексаналь, (E)-2-гексеналь, 1-гексен-3-он, спирты и продукты окисления липидов</x:v>
      </x:c>
      <x:c r="N237" s="28" t="str">
        <x:v>зелёный</x:v>
      </x:c>
      <x:c r="O237" s="28" t="str">
        <x:v>надёжный единичный общий маркер не подтверждён; механизм не сводится к одной молекуле</x:v>
      </x:c>
      <x:c r="P237" s="28" t="str">
        <x:v>комплементарность ароматических семейств, вкусовой контраст и матричный эффект</x:v>
      </x:c>
      <x:c r="Q237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мягкий, жирный, почти несладкий; лёгкая растительная горечь. Баланс корректируется сахаром, кислотой, солью и горечью.</x:v>
      </x:c>
      <x:c r="R237" s="28" t="str">
        <x:v>слабый; кислотность усиливает свежесть; партнёр: кислотное покалывание зависит от плода; специальные эффекты указаны в паспорте</x:v>
      </x:c>
      <x:c r="S237" s="28" t="str">
        <x:v>водно-пектиновая; гидрофобные лактоны лучше проявляются в жире и этаноле. Партнёр: высокожировая эмульсия; хорошо растворяет гидрофобные ароматические молекулы.</x:v>
      </x:c>
      <x:c r="T23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U23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мягкий, жирный, почти несладкий; лёгкая растительная горечь.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высокожировая эмульсия; хорошо растворяет гидрофобные ароматические молекулы.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V23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37" s="28" t="str">
        <x:v>мёд, цитрус или нейтральная жировая основа</x:v>
      </x:c>
      <x:c r="X237" s="28" t="str">
        <x:v>напиток, соус, десерт или горячее блюдо после пробной дегустации</x:v>
      </x:c>
      <x:c r="Y237" s="28" t="str">
        <x:v>напитки; еда; десерты; соусы/маринады</x:v>
      </x:c>
      <x:c r="Z237" s="28" t="str">
        <x:v>Средняя</x:v>
      </x:c>
      <x:c r="AA237" s="28" t="str">
        <x:v>The Art &amp; Science of Foodpairing.pdf</x:v>
      </x:c>
      <x:c r="AB237" s="28" t="str">
        <x:v>The Art &amp; Science of Foodpairing.pdf: 260–261</x:v>
      </x:c>
      <x:c r="AC237" s="28" t="str">
        <x:v>Ingredient pairings with peach and nectarine: avocado.</x:v>
      </x:c>
      <x:c r="AD237" s="28" t="n">
        <x:v>1</x:v>
      </x:c>
      <x:c r="AE237" s="28" t="n">
        <x:v>1</x:v>
      </x:c>
      <x:c r="AF237" s="28" t="n">
        <x:f>IF(Z237="Высокая",3,IF(Z237="Средняя",2,1))+AD237*2+MIN(AE237,3)</x:f>
        <x:v>5</x:v>
      </x:c>
    </x:row>
    <x:row r="238" ht="62" customHeight="1">
      <x:c r="A238" s="28" t="str">
        <x:v>STN-0237</x:v>
      </x:c>
      <x:c r="B238" s="28" t="str">
        <x:v>нектарин</x:v>
      </x:c>
      <x:c r="C238" s="28" t="str">
        <x:v>Универсальные</x:v>
      </x:c>
      <x:c r="D238" s="28" t="str">
        <x:v>нектарин</x:v>
      </x:c>
      <x:c r="E238" s="28" t="str">
        <x:v>nectarine</x:v>
      </x:c>
      <x:c r="F238" s="28" t="str">
        <x:v>Косточковые фрукты</x:v>
      </x:c>
      <x:c r="G238" s="28" t="str">
        <x:v>айва</x:v>
      </x:c>
      <x:c r="H238" s="28" t="str">
        <x:v>Айва</x:v>
      </x:c>
      <x:c r="I238" s="28" t="str">
        <x:v>Семечковые фрукты</x:v>
      </x:c>
      <x:c r="J238" s="28" t="str">
        <x:v>персиковый, фруктовый, цветочный, зелёный, сливочно-лактонный</x:v>
      </x:c>
      <x:c r="K238" s="28" t="str">
        <x:v>цветочный, яблочно-грушевый, цитрусовый, медовый и слегка древесный</x:v>
      </x:c>
      <x:c r="L238" s="28" t="str">
        <x:v>γ- и δ-декалактон, γ- и δ-додекалактон, фруктовые эфиры, линалоол, бензальдегид, C6-альдегиды</x:v>
      </x:c>
      <x:c r="M238" s="28" t="str">
        <x:v>эфиры жирных кислот, лактоны, линалоол, α-терпинеол, C6-альдегиды</x:v>
      </x:c>
      <x:c r="N238" s="28" t="str">
        <x:v>цветочный</x:v>
      </x:c>
      <x:c r="O238" s="28" t="str">
        <x:v>линалоол, c6-альдегиды, эфиры</x:v>
      </x:c>
      <x:c r="P238" s="28" t="str">
        <x:v>прямое или классовое перекрытие характерных одорантов + вкусовой баланс</x:v>
      </x:c>
      <x:c r="Q238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кислотность и выраженная терпкость в сыром виде; после нагрева — сладко-фруктовый профиль. Баланс корректируется сахаром, кислотой, солью и горечью.</x:v>
      </x:c>
      <x:c r="R238" s="28" t="str">
        <x:v>слабый; кислотность усиливает свежесть; партнёр: кислотное покалывание зависит от плода; специальные эффекты указаны в паспорте</x:v>
      </x:c>
      <x:c r="S238" s="28" t="str">
        <x:v>водно-пектиновая; гидрофобные лактоны лучше проявляются в жире и этаноле. Партнёр: плотная, пектиновая и малосочная; хорошо удерживает аромат в желе и сиропах.</x:v>
      </x:c>
      <x:c r="T23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сырая айва жёсткая и вяжущая; избыток дубильных веществ требует сахара, жира или длительного нагрева.</x:v>
      </x:c>
      <x:c r="U23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Айва относится к группе «Семечковые фрукты» и даёт профиль «цветочный, яблочно-грушевый, цитрусовый, медовый и слегка древесный»; типичные соединения или классы: эфиры жирных кислот, лактоны, линалоол, α-терпинеол, C6-альдегиды. В рабочих профилях пересекаются: линалоол, c6-альдегиды, эфиры.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кислотность и выраженная терпкость в сыром виде; после нагрева — сладко-фруктовый профиль.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плотная, пектиновая и малосочная; хорошо удерживает аромат в желе и сиропах.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сырая айва жёсткая и вяжущая; избыток дубильных веществ требует сахара, жира или длительного нагрева.</x:v>
      </x:c>
      <x:c r="V23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38" s="28" t="str">
        <x:v>мёд, цитрус или нейтральная жировая основа</x:v>
      </x:c>
      <x:c r="X238" s="28" t="str">
        <x:v>напиток, соус, десерт или горячее блюдо после пробной дегустации</x:v>
      </x:c>
      <x:c r="Y238" s="28" t="str">
        <x:v>напитки; еда; десерты; соусы/маринады</x:v>
      </x:c>
      <x:c r="Z238" s="28" t="str">
        <x:v>Гипотеза / практическая</x:v>
      </x:c>
      <x:c r="AA238" s="28" t="str">
        <x:v>Таблица сочетания(1).pdf</x:v>
      </x:c>
      <x:c r="AB238" s="28" t="str">
        <x:v>Таблица сочетания(1).pdf: Таблица сочетаний: 18 | Таблица сочетания(1).pdf: 18</x:v>
      </x:c>
      <x:c r="AC238" s="28" t="str">
        <x:v>Таблица сочетаний: В строке «Айва» ингредиент «нектарин» указан как рекомендуемое сочетание в колонке «Фрукты». Пара указана в строке «Айва»: «нектарин» находится в колонке «Фрукты».</x:v>
      </x:c>
      <x:c r="AD238" s="28" t="n">
        <x:v>1</x:v>
      </x:c>
      <x:c r="AE238" s="28" t="n">
        <x:v>2</x:v>
      </x:c>
      <x:c r="AF238" s="28" t="n">
        <x:f>IF(Z238="Высокая",3,IF(Z238="Средняя",2,1))+AD238*2+MIN(AE238,3)</x:f>
        <x:v>5</x:v>
      </x:c>
    </x:row>
    <x:row r="239" ht="62" customHeight="1">
      <x:c r="A239" s="28" t="str">
        <x:v>STN-0238</x:v>
      </x:c>
      <x:c r="B239" s="28" t="str">
        <x:v>нектарин</x:v>
      </x:c>
      <x:c r="C239" s="28" t="str">
        <x:v>Напитки</x:v>
      </x:c>
      <x:c r="D239" s="28" t="str">
        <x:v>нектарин</x:v>
      </x:c>
      <x:c r="E239" s="28" t="str">
        <x:v>nectarine</x:v>
      </x:c>
      <x:c r="F239" s="28" t="str">
        <x:v>Косточковые фрукты</x:v>
      </x:c>
      <x:c r="G239" s="28" t="str">
        <x:v>амаретто</x:v>
      </x:c>
      <x:c r="H239" s="28" t="str">
        <x:v>Amaretto</x:v>
      </x:c>
      <x:c r="I239" s="28" t="str">
        <x:v>Алкогольные напитки</x:v>
      </x:c>
      <x:c r="J239" s="28" t="str">
        <x:v>персиковый, фруктовый, цветочный, зелёный, сливочно-лактонный</x:v>
      </x:c>
      <x:c r="K239" s="28" t="str">
        <x:v>эфирный, фруктовый, цветочный, древесный или ферментативный</x:v>
      </x:c>
      <x:c r="L239" s="28" t="str">
        <x:v>γ- и δ-декалактон, γ- и δ-додекалактон, фруктовые эфиры, линалоол, бензальдегид, C6-альдегиды</x:v>
      </x:c>
      <x:c r="M239" s="28" t="str">
        <x:v>этиловые эфиры, высшие спирты, альдегиды, дубовые лактоны</x:v>
      </x:c>
      <x:c r="N239" s="28" t="str">
        <x:v>цветочный, фруктовый</x:v>
      </x:c>
      <x:c r="O239" s="28" t="str">
        <x:v>эфиры</x:v>
      </x:c>
      <x:c r="P239" s="28" t="str">
        <x:v>прямое или классовое перекрытие характерных одорантов + вкусовой баланс</x:v>
      </x:c>
      <x:c r="Q239" s="28" t="str">
        <x:v>Этанол усиливает летучесть лактонов и терпенов; сахар и кислотность должны быть настроены так, чтобы крепость не маскировала плод.</x:v>
      </x:c>
      <x:c r="R239" s="28" t="str">
        <x:v>слабый; кислотность усиливает свежесть; партнёр: согревание и жжение этанола</x:v>
      </x:c>
      <x:c r="S239" s="28" t="str">
        <x:v>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</x:v>
      </x:c>
      <x:c r="T239" s="28" t="str">
        <x:v>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U23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Амаретто относится к группе «Алкогольные напитки» 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В рабочих профилях пересекаются: эфиры. Общие ароматические направления: цветочный, фруктовый. Этанол усиливает летучесть лактонов и терпенов; сахар и кислотность должны быть настроены так, чтобы крепость не маскировала плод. Матрица пары: 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 Обработка: 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V239" s="28" t="str">
        <x:v>не перегревать и не переслащивать; иначе исчезает свежая фруктовая детализация. Высокая крепость и избыток сахара маскируют свежесть; после мацерации контролируйте терпкость кожицы.</x:v>
      </x:c>
      <x:c r="W239" s="28" t="str">
        <x:v>цитрус, чай или вермут</x:v>
      </x:c>
      <x:c r="X239" s="28" t="str">
        <x:v>коктейль, кордиал, настой, спритц, чайный или кофейный напиток</x:v>
      </x:c>
      <x:c r="Y239" s="28" t="str">
        <x:v>напитки</x:v>
      </x:c>
      <x:c r="Z239" s="28" t="str">
        <x:v>Средняя</x:v>
      </x:c>
      <x:c r="AA239" s="28" t="str">
        <x:v>The Art &amp; Science of Foodpairing.pdf</x:v>
      </x:c>
      <x:c r="AB239" s="28" t="str">
        <x:v>The Art &amp; Science of Foodpairing.pdf: 260–261</x:v>
      </x:c>
      <x:c r="AC239" s="28" t="str">
        <x:v>Ingredient pairings with peach and nectarine: Amaretto.</x:v>
      </x:c>
      <x:c r="AD239" s="28" t="n">
        <x:v>1</x:v>
      </x:c>
      <x:c r="AE239" s="28" t="n">
        <x:v>1</x:v>
      </x:c>
      <x:c r="AF239" s="28" t="n">
        <x:f>IF(Z239="Высокая",3,IF(Z239="Средняя",2,1))+AD239*2+MIN(AE239,3)</x:f>
        <x:v>5</x:v>
      </x:c>
    </x:row>
    <x:row r="240" ht="62" customHeight="1">
      <x:c r="A240" s="28" t="str">
        <x:v>STN-0239</x:v>
      </x:c>
      <x:c r="B240" s="28" t="str">
        <x:v>нектарин</x:v>
      </x:c>
      <x:c r="C240" s="28" t="str">
        <x:v>Универсальные</x:v>
      </x:c>
      <x:c r="D240" s="28" t="str">
        <x:v>нектарин</x:v>
      </x:c>
      <x:c r="E240" s="28" t="str">
        <x:v>nectarine</x:v>
      </x:c>
      <x:c r="F240" s="28" t="str">
        <x:v>Косточковые фрукты</x:v>
      </x:c>
      <x:c r="G240" s="28" t="str">
        <x:v>ананас</x:v>
      </x:c>
      <x:c r="H240" s="28" t="str">
        <x:v>ананас | Pineapple</x:v>
      </x:c>
      <x:c r="I240" s="28" t="str">
        <x:v>Тропические фрукты</x:v>
      </x:c>
      <x:c r="J240" s="28" t="str">
        <x:v>персиковый, фруктовый, цветочный, зелёный, сливочно-лактонный</x:v>
      </x:c>
      <x:c r="K240" s="28" t="str">
        <x:v>яркий фруктовый, конфетный, цитрусовый, зелёный и слегка сернистый</x:v>
      </x:c>
      <x:c r="L240" s="28" t="str">
        <x:v>γ- и δ-декалактон, γ- и δ-додекалактон, фруктовые эфиры, линалоол, бензальдегид, C6-альдегиды</x:v>
      </x:c>
      <x:c r="M240" s="28" t="str">
        <x:v>метилгексаноат, этилгексаноат, этилбутират, метил-3-(метилтио)пропионат и другие сернистые следы</x:v>
      </x:c>
      <x:c r="N240" s="28" t="str">
        <x:v>фруктовый, зелёный</x:v>
      </x:c>
      <x:c r="O240" s="28" t="str">
        <x:v>надёжный единичный общий маркер не подтверждён; механизм не сводится к одной молекуле</x:v>
      </x:c>
      <x:c r="P240" s="28" t="str">
        <x:v>комплементарность ароматических семейств, вкусовой контраст и матричный эффект</x:v>
      </x:c>
      <x:c r="Q240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выраженная сладость и кислотность; лёгкая терпкость сердцевины. Баланс корректируется сахаром, кислотой, солью и горечью.</x:v>
      </x:c>
      <x:c r="R240" s="28" t="str">
        <x:v>слабый; кислотность усиливает свежесть; партнёр: кислотное покалывание зависит от плода; специальные эффекты указаны в паспорте</x:v>
      </x:c>
      <x:c r="S240" s="28" t="str">
        <x:v>водно-пектиновая; гидрофобные лактоны лучше проявляются в жире и этаноле. Партнёр: водная и кислая; содержит протеазу бромелайн, разрушающую белки.</x:v>
      </x:c>
      <x:c r="T24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U24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Ананас относится к группе «Тропические фрукты» и даёт профиль «яркий фруктовый, конфетный, цитрусовый, зелёный и слегка сернистый»; типичные соединения или классы: метилгексаноат, этилгексаноат, этилбутират, метил-3-(метилтио)пропионат и другие сернистые следы. По доступным материалам нельзя уверенно свести совместимость к одной общей молекуле. Общие ароматические направления: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выраженная сладость и кислотность; лёгкая терпкость сердцевины.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кислая; содержит протеазу бромелайн, разрушающую белки.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V24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40" s="28" t="str">
        <x:v>мёд, цитрус или нейтральная жировая основа</x:v>
      </x:c>
      <x:c r="X240" s="28" t="str">
        <x:v>напиток, соус, десерт или горячее блюдо после пробной дегустации</x:v>
      </x:c>
      <x:c r="Y240" s="28" t="str">
        <x:v>напитки; еда; десерты; соусы/маринады</x:v>
      </x:c>
      <x:c r="Z240" s="28" t="str">
        <x:v>Средняя</x:v>
      </x:c>
      <x:c r="AA240" s="28" t="str">
        <x:v>The Art &amp; Science of Foodpairing.pdf</x:v>
      </x:c>
      <x:c r="AB240" s="28" t="str">
        <x:v>The Art &amp; Science of Foodpairing.pdf: The Art &amp; Science of Foodpairing: 243 | The Art &amp; Science of Foodpairing.pdf: 243</x:v>
      </x:c>
      <x:c r="AC240" s="28" t="str">
        <x:v>The Art &amp; Science of Foodpairing: Ингредиент указан в указателе книги на страницах профиля и pairing grids для «ананас»: 243. Ингредиент «nectarine» указан на странице профиля/сетки сочетаний «Pineapple».</x:v>
      </x:c>
      <x:c r="AD240" s="28" t="n">
        <x:v>1</x:v>
      </x:c>
      <x:c r="AE240" s="28" t="n">
        <x:v>2</x:v>
      </x:c>
      <x:c r="AF240" s="28" t="n">
        <x:f>IF(Z240="Высокая",3,IF(Z240="Средняя",2,1))+AD240*2+MIN(AE240,3)</x:f>
        <x:v>6</x:v>
      </x:c>
    </x:row>
    <x:row r="241" ht="62" customHeight="1">
      <x:c r="A241" s="28" t="str">
        <x:v>STN-0240</x:v>
      </x:c>
      <x:c r="B241" s="28" t="str">
        <x:v>нектарин</x:v>
      </x:c>
      <x:c r="C241" s="28" t="str">
        <x:v>Универсальные</x:v>
      </x:c>
      <x:c r="D241" s="28" t="str">
        <x:v>нектарин</x:v>
      </x:c>
      <x:c r="E241" s="28" t="str">
        <x:v>nectarine</x:v>
      </x:c>
      <x:c r="F241" s="28" t="str">
        <x:v>Косточковые фрукты</x:v>
      </x:c>
      <x:c r="G241" s="28" t="str">
        <x:v>анис</x:v>
      </x:c>
      <x:c r="H241" s="28" t="str">
        <x:v>анис</x:v>
      </x:c>
      <x:c r="I241" s="28" t="str">
        <x:v>Специи и острые компоненты</x:v>
      </x:c>
      <x:c r="J241" s="28" t="str">
        <x:v>персиковый, фруктовый, цветочный, зелёный, сливочно-лактонный</x:v>
      </x:c>
      <x:c r="K241" s="28" t="str">
        <x:v>сладкий лакричный и пряный</x:v>
      </x:c>
      <x:c r="L241" s="28" t="str">
        <x:v>γ- и δ-декалактон, γ- и δ-додекалактон, фруктовые эфиры, линалоол, бензальдегид, C6-альдегиды</x:v>
      </x:c>
      <x:c r="M241" s="28" t="str">
        <x:v>анетол</x:v>
      </x:c>
      <x:c r="N241" s="28" t="str">
        <x:v>прямое семейное перекрытие не является главным механизмом</x:v>
      </x:c>
      <x:c r="O241" s="28" t="str">
        <x:v>надёжный единичный общий маркер не подтверждён; механизм не сводится к одной молекуле</x:v>
      </x:c>
      <x:c r="P241" s="28" t="str">
        <x:v>комплементарность ароматических семейств, вкусовой контраст и матричный эффект</x:v>
      </x:c>
      <x:c r="Q241" s="28" t="str">
        <x:v>Сладость и кислота фрукта смягчают остроту и горечь специи, а пряный компонент удлиняет ароматическое послевкусие.</x:v>
      </x:c>
      <x:c r="R241" s="28" t="str">
        <x:v>слабый; кислотность усиливает свежесть; партнёр: капсаицин, пиперин, гингеролы и камфорные терпены создают жжение, тепло или охлаждение</x:v>
      </x:c>
      <x:c r="S241" s="28" t="str">
        <x:v>водно-пектиновая; гидрофобные лактоны лучше проявляются в жире и этаноле. Партнёр: ароматические масла хорошо переходят в жир и этанол.</x:v>
      </x:c>
      <x:c r="T241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24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Анис относится к группе «Специи и острые компоненты» и даёт профиль «сладкий лакричный и пряный»; типичные соединения или классы: анетол.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241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W241" s="28" t="str">
        <x:v>мёд, цитрус или миндаль</x:v>
      </x:c>
      <x:c r="X241" s="28" t="str">
        <x:v>напиток, соус, десерт или горячее блюдо после пробной дегустации</x:v>
      </x:c>
      <x:c r="Y241" s="28" t="str">
        <x:v>напитки; еда; десерты; соусы/маринады</x:v>
      </x:c>
      <x:c r="Z241" s="28" t="str">
        <x:v>Гипотеза / практическая</x:v>
      </x:c>
      <x:c r="AA241" s="28" t="str">
        <x:v>Таблица сочетания(1).pdf</x:v>
      </x:c>
      <x:c r="AB241" s="28" t="str">
        <x:v>Таблица сочетания(1).pdf: 14</x:v>
      </x:c>
      <x:c r="AC241" s="28" t="str">
        <x:v>Пара указана в строке «Нектарин» → колонка «Травы и специи».</x:v>
      </x:c>
      <x:c r="AD241" s="28" t="n">
        <x:v>1</x:v>
      </x:c>
      <x:c r="AE241" s="28" t="n">
        <x:v>1</x:v>
      </x:c>
      <x:c r="AF241" s="28" t="n">
        <x:f>IF(Z241="Высокая",3,IF(Z241="Средняя",2,1))+AD241*2+MIN(AE241,3)</x:f>
        <x:v>4</x:v>
      </x:c>
    </x:row>
    <x:row r="242" ht="62" customHeight="1">
      <x:c r="A242" s="28" t="str">
        <x:v>STN-0241</x:v>
      </x:c>
      <x:c r="B242" s="28" t="str">
        <x:v>нектарин</x:v>
      </x:c>
      <x:c r="C242" s="28" t="str">
        <x:v>Десерты и выпечка</x:v>
      </x:c>
      <x:c r="D242" s="28" t="str">
        <x:v>нектарин</x:v>
      </x:c>
      <x:c r="E242" s="28" t="str">
        <x:v>nectarine</x:v>
      </x:c>
      <x:c r="F242" s="28" t="str">
        <x:v>Косточковые фрукты</x:v>
      </x:c>
      <x:c r="G242" s="28" t="str">
        <x:v>апельсин</x:v>
      </x:c>
      <x:c r="H242" s="28" t="str">
        <x:v>Апельсин | апельсин</x:v>
      </x:c>
      <x:c r="I242" s="28" t="str">
        <x:v>Цитрусовые</x:v>
      </x:c>
      <x:c r="J242" s="28" t="str">
        <x:v>персиковый, фруктовый, цветочный, зелёный, сливочно-лактонный</x:v>
      </x:c>
      <x:c r="K242" s="28" t="str">
        <x:v>сладкий цитрусовый и цветочный</x:v>
      </x:c>
      <x:c r="L242" s="28" t="str">
        <x:v>γ- и δ-декалактон, γ- и δ-додекалактон, фруктовые эфиры, линалоол, бензальдегид, C6-альдегиды</x:v>
      </x:c>
      <x:c r="M242" s="28" t="str">
        <x:v>лимонен, линалоол, деканаль</x:v>
      </x:c>
      <x:c r="N242" s="28" t="str">
        <x:v>цветочный</x:v>
      </x:c>
      <x:c r="O242" s="28" t="str">
        <x:v>линалоол</x:v>
      </x:c>
      <x:c r="P242" s="28" t="str">
        <x:v>прямое или классовое перекрытие характерных одорантов + вкусовой баланс</x:v>
      </x:c>
      <x:c r="Q242" s="28" t="str">
        <x:v>Близкие фруктовые эфиры создают непрерывность, а различия в кислотности, терпкости и сладости формируют контраст.</x:v>
      </x:c>
      <x:c r="R242" s="28" t="str">
        <x:v>слабый; кислотность усиливает свежесть; партнёр: кислота даёт покалывание и ощущение свежести</x:v>
      </x:c>
      <x:c r="S242" s="28" t="str">
        <x:v>водно-пектиновая; гидрофобные лактоны лучше проявляются в жире и этаноле. Партнёр: сок водный и кислый, цедра содержит гидрофобные эфирные масла.</x:v>
      </x:c>
      <x:c r="T24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24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24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42" s="28" t="str">
        <x:v>ваниль, мёд или розмарин</x:v>
      </x:c>
      <x:c r="X242" s="28" t="str">
        <x:v>сорбет, салат, джем, кордиал, лимонад, коктейль или фруктовый соус</x:v>
      </x:c>
      <x:c r="Y242" s="28" t="str">
        <x:v>напитки; десерты; соусы/маринады</x:v>
      </x:c>
      <x:c r="Z242" s="28" t="str">
        <x:v>Гипотеза / практическая</x:v>
      </x:c>
      <x:c r="AA242" s="28" t="str">
        <x:v>Таблица сочетания(1).pdf</x:v>
      </x:c>
      <x:c r="AB242" s="28" t="str">
        <x:v>Таблица сочетания(1).pdf: Таблица сочетания(1).pdf: 14 | Таблица сочетания(1).pdf: 14</x:v>
      </x:c>
      <x:c r="AC242" s="28" t="str">
        <x:v>Пара указана в таблице: «Нектарин» → колонка «Фрукты». Пара указана в строке «Нектарин» → колонка «Фрукты». Пара указана в строке «Апельсин»: «нектарин» находится в колонке «Фрукты».</x:v>
      </x:c>
      <x:c r="AD242" s="28" t="n">
        <x:v>1</x:v>
      </x:c>
      <x:c r="AE242" s="28" t="n">
        <x:v>3</x:v>
      </x:c>
      <x:c r="AF242" s="28" t="n">
        <x:f>IF(Z242="Высокая",3,IF(Z242="Средняя",2,1))+AD242*2+MIN(AE242,3)</x:f>
        <x:v>6</x:v>
      </x:c>
    </x:row>
    <x:row r="243" ht="62" customHeight="1">
      <x:c r="A243" s="28" t="str">
        <x:v>STN-0242</x:v>
      </x:c>
      <x:c r="B243" s="28" t="str">
        <x:v>нектарин</x:v>
      </x:c>
      <x:c r="C243" s="28" t="str">
        <x:v>Универсальные</x:v>
      </x:c>
      <x:c r="D243" s="28" t="str">
        <x:v>нектарин</x:v>
      </x:c>
      <x:c r="E243" s="28" t="str">
        <x:v>nectarine</x:v>
      </x:c>
      <x:c r="F243" s="28" t="str">
        <x:v>Косточковые фрукты</x:v>
      </x:c>
      <x:c r="G243" s="28" t="str">
        <x:v>артишок</x:v>
      </x:c>
      <x:c r="H243" s="28" t="str">
        <x:v>Artichoke</x:v>
      </x:c>
      <x:c r="I243" s="28" t="str">
        <x:v>Овощи и грибы</x:v>
      </x:c>
      <x:c r="J243" s="28" t="str">
        <x:v>персиковый, фруктовый, цветочный, зелёный, сливочно-лактонный</x:v>
      </x:c>
      <x:c r="K243" s="28" t="str">
        <x:v>зелёный, землистый, сернистый</x:v>
      </x:c>
      <x:c r="L243" s="28" t="str">
        <x:v>γ- и δ-декалактон, γ- и δ-додекалактон, фруктовые эфиры, линалоол, бензальдегид, C6-альдегиды</x:v>
      </x:c>
      <x:c r="M243" s="28" t="str">
        <x:v>C6-альдегиды, пиразины, сернистые соединения</x:v>
      </x:c>
      <x:c r="N243" s="28" t="str">
        <x:v>зелёный</x:v>
      </x:c>
      <x:c r="O243" s="28" t="str">
        <x:v>c6-альдегиды</x:v>
      </x:c>
      <x:c r="P243" s="28" t="str">
        <x:v>прямое или классовое перекрытие характерных одорантов + вкусовой баланс</x:v>
      </x:c>
      <x:c r="Q243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растительный, иногда умами. Баланс корректируется сахаром, кислотой, солью и горечью.</x:v>
      </x:c>
      <x:c r="R243" s="28" t="str">
        <x:v>слабый; кислотность усиливает свежесть; партнёр: обычно отсутствует; зависит от конкретного продукта</x:v>
      </x:c>
      <x:c r="S243" s="28" t="str">
        <x:v>водно-пектиновая; гидрофобные лактоны лучше проявляются в жире и этаноле. Партнёр: высокая доля воды; нагрев меняет зелёный профиль.</x:v>
      </x:c>
      <x:c r="T24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24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Артишок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растительный, иногда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высокая доля воды; нагрев меняет зелёный профиль.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24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43" s="28" t="str">
        <x:v>мёд, цитрус или нейтральная жировая основа</x:v>
      </x:c>
      <x:c r="X243" s="28" t="str">
        <x:v>напиток, соус, десерт или горячее блюдо после пробной дегустации</x:v>
      </x:c>
      <x:c r="Y243" s="28" t="str">
        <x:v>напитки; еда; десерты; соусы/маринады</x:v>
      </x:c>
      <x:c r="Z243" s="28" t="str">
        <x:v>Средняя</x:v>
      </x:c>
      <x:c r="AA243" s="28" t="str">
        <x:v>The Art &amp; Science of Foodpairing.pdf</x:v>
      </x:c>
      <x:c r="AB243" s="28" t="str">
        <x:v>The Art &amp; Science of Foodpairing.pdf: 329</x:v>
      </x:c>
      <x:c r="AC243" s="28" t="str">
        <x:v>Ингредиент «nectarine» указан на странице профиля/сетки сочетаний «Artichoke».</x:v>
      </x:c>
      <x:c r="AD243" s="28" t="n">
        <x:v>1</x:v>
      </x:c>
      <x:c r="AE243" s="28" t="n">
        <x:v>1</x:v>
      </x:c>
      <x:c r="AF243" s="28" t="n">
        <x:f>IF(Z243="Высокая",3,IF(Z243="Средняя",2,1))+AD243*2+MIN(AE243,3)</x:f>
        <x:v>5</x:v>
      </x:c>
    </x:row>
    <x:row r="244" ht="62" customHeight="1">
      <x:c r="A244" s="28" t="str">
        <x:v>STN-0243</x:v>
      </x:c>
      <x:c r="B244" s="28" t="str">
        <x:v>нектарин</x:v>
      </x:c>
      <x:c r="C244" s="28" t="str">
        <x:v>Универсальные</x:v>
      </x:c>
      <x:c r="D244" s="28" t="str">
        <x:v>нектарин</x:v>
      </x:c>
      <x:c r="E244" s="28" t="str">
        <x:v>nectarine</x:v>
      </x:c>
      <x:c r="F244" s="28" t="str">
        <x:v>Косточковые фрукты</x:v>
      </x:c>
      <x:c r="G244" s="28" t="str">
        <x:v>бадьян</x:v>
      </x:c>
      <x:c r="H244" s="28" t="str">
        <x:v>star anise</x:v>
      </x:c>
      <x:c r="I244" s="28" t="str">
        <x:v>Специи и острые компоненты</x:v>
      </x:c>
      <x:c r="J244" s="28" t="str">
        <x:v>персиковый, фруктовый, цветочный, зелёный, сливочно-лактонный</x:v>
      </x:c>
      <x:c r="K244" s="28" t="str">
        <x:v>пряный, древесный, тёплый, цитрусовый или анисовый</x:v>
      </x:c>
      <x:c r="L244" s="28" t="str">
        <x:v>γ- и δ-декалактон, γ- и δ-додекалактон, фруктовые эфиры, линалоол, бензальдегид, C6-альдегиды</x:v>
      </x:c>
      <x:c r="M244" s="28" t="str">
        <x:v>эвгенол, коричный альдегид, анетол, терпинилацетат</x:v>
      </x:c>
      <x:c r="N244" s="28" t="str">
        <x:v>прямое семейное перекрытие не является главным механизмом</x:v>
      </x:c>
      <x:c r="O244" s="28" t="str">
        <x:v>надёжный единичный общий маркер не подтверждён; механизм не сводится к одной молекуле</x:v>
      </x:c>
      <x:c r="P244" s="28" t="str">
        <x:v>комплементарность ароматических семейств, вкусовой контраст и матричный эффект</x:v>
      </x:c>
      <x:c r="Q244" s="28" t="str">
        <x:v>Сладость и кислота фрукта смягчают остроту и горечь специи, а пряный компонент удлиняет ароматическое послевкусие.</x:v>
      </x:c>
      <x:c r="R244" s="28" t="str">
        <x:v>слабый; кислотность усиливает свежесть; партнёр: капсаицин, пиперин, гингеролы и камфорные терпены создают жжение, тепло или охлаждение</x:v>
      </x:c>
      <x:c r="S244" s="28" t="str">
        <x:v>водно-пектиновая; гидрофобные лактоны лучше проявляются в жире и этаноле. Партнёр: ароматические масла хорошо переходят в жир и этанол.</x:v>
      </x:c>
      <x:c r="T244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24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Бадьян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244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W244" s="28" t="str">
        <x:v>мёд, цитрус или миндаль</x:v>
      </x:c>
      <x:c r="X244" s="28" t="str">
        <x:v>напиток, соус, десерт или горячее блюдо после пробной дегустации</x:v>
      </x:c>
      <x:c r="Y244" s="28" t="str">
        <x:v>напитки; еда; десерты; соусы/маринады</x:v>
      </x:c>
      <x:c r="Z244" s="28" t="str">
        <x:v>Средняя</x:v>
      </x:c>
      <x:c r="AA244" s="28" t="str">
        <x:v>The Art &amp; Science of Foodpairing.pdf</x:v>
      </x:c>
      <x:c r="AB244" s="28" t="str">
        <x:v>The Art &amp; Science of Foodpairing.pdf: 260–261</x:v>
      </x:c>
      <x:c r="AC244" s="28" t="str">
        <x:v>Ingredient pairings with peach and nectarine: star anise.</x:v>
      </x:c>
      <x:c r="AD244" s="28" t="n">
        <x:v>1</x:v>
      </x:c>
      <x:c r="AE244" s="28" t="n">
        <x:v>1</x:v>
      </x:c>
      <x:c r="AF244" s="28" t="n">
        <x:f>IF(Z244="Высокая",3,IF(Z244="Средняя",2,1))+AD244*2+MIN(AE244,3)</x:f>
        <x:v>5</x:v>
      </x:c>
    </x:row>
    <x:row r="245" ht="62" customHeight="1">
      <x:c r="A245" s="28" t="str">
        <x:v>STN-0244</x:v>
      </x:c>
      <x:c r="B245" s="28" t="str">
        <x:v>нектарин</x:v>
      </x:c>
      <x:c r="C245" s="28" t="str">
        <x:v>Еда и соусы</x:v>
      </x:c>
      <x:c r="D245" s="28" t="str">
        <x:v>нектарин</x:v>
      </x:c>
      <x:c r="E245" s="28" t="str">
        <x:v>nectarine</x:v>
      </x:c>
      <x:c r="F245" s="28" t="str">
        <x:v>Косточковые фрукты</x:v>
      </x:c>
      <x:c r="G245" s="28" t="str">
        <x:v>байонская ветчина</x:v>
      </x:c>
      <x:c r="H245" s="28" t="str">
        <x:v>Bayonne ham</x:v>
      </x:c>
      <x:c r="I245" s="28" t="str">
        <x:v>Мясо и птица</x:v>
      </x:c>
      <x:c r="J245" s="28" t="str">
        <x:v>персиковый, фруктовый, цветочный, зелёный, сливочно-лактонный</x:v>
      </x:c>
      <x:c r="K245" s="28" t="str">
        <x:v>жареный, мясной, жирный, иногда копчёный и пряный</x:v>
      </x:c>
      <x:c r="L245" s="28" t="str">
        <x:v>γ- и δ-декалактон, γ- и δ-додекалактон, фруктовые эфиры, линалоол, бензальдегид, C6-альдегиды</x:v>
      </x:c>
      <x:c r="M245" s="28" t="str">
        <x:v>пиразины, фураны, сернистые соединения, продукты Майяра, жирные альдегиды</x:v>
      </x:c>
      <x:c r="N245" s="28" t="str">
        <x:v>прямое семейное перекрытие не является главным механизмом</x:v>
      </x:c>
      <x:c r="O245" s="28" t="str">
        <x:v>надёжный единичный общий маркер не подтверждён; механизм не сводится к одной молекуле</x:v>
      </x:c>
      <x:c r="P245" s="28" t="str">
        <x:v>комплементарность ароматических семейств, вкусовой контраст и матричный эффект</x:v>
      </x:c>
      <x:c r="Q245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245" s="28" t="str">
        <x:v>слабый; кислотность усиливает свежесть; партнёр: тепловой/пряный зависит от обработки</x:v>
      </x:c>
      <x:c r="S245" s="28" t="str">
        <x:v>водно-пектиновая; гидрофобные лактоны лучше проявляются в жире и этаноле. Партнёр: жир удерживает фруктовые лактоны; белок смягчает кислотность.</x:v>
      </x:c>
      <x:c r="T245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U24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Байонская ветчина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V245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W245" s="28" t="str">
        <x:v>розмарин, горчица или хересный уксус</x:v>
      </x:c>
      <x:c r="X245" s="28" t="str">
        <x:v>соус, глазировка, чатни, маринад, гарнир или основное блюдо</x:v>
      </x:c>
      <x:c r="Y245" s="28" t="str">
        <x:v>еда; соусы/маринады</x:v>
      </x:c>
      <x:c r="Z245" s="28" t="str">
        <x:v>Средняя</x:v>
      </x:c>
      <x:c r="AA245" s="28" t="str">
        <x:v>The Art &amp; Science of Foodpairing.pdf</x:v>
      </x:c>
      <x:c r="AB245" s="28" t="str">
        <x:v>The Art &amp; Science of Foodpairing.pdf: 260–261</x:v>
      </x:c>
      <x:c r="AC245" s="28" t="str">
        <x:v>Ingredient pairings with peach and nectarine: Bayonne ham.</x:v>
      </x:c>
      <x:c r="AD245" s="28" t="n">
        <x:v>1</x:v>
      </x:c>
      <x:c r="AE245" s="28" t="n">
        <x:v>1</x:v>
      </x:c>
      <x:c r="AF245" s="28" t="n">
        <x:f>IF(Z245="Высокая",3,IF(Z245="Средняя",2,1))+AD245*2+MIN(AE245,3)</x:f>
        <x:v>5</x:v>
      </x:c>
    </x:row>
    <x:row r="246" ht="62" customHeight="1">
      <x:c r="A246" s="28" t="str">
        <x:v>STN-0245</x:v>
      </x:c>
      <x:c r="B246" s="28" t="str">
        <x:v>нектарин</x:v>
      </x:c>
      <x:c r="C246" s="28" t="str">
        <x:v>Еда и соусы</x:v>
      </x:c>
      <x:c r="D246" s="28" t="str">
        <x:v>нектарин</x:v>
      </x:c>
      <x:c r="E246" s="28" t="str">
        <x:v>nectarine</x:v>
      </x:c>
      <x:c r="F246" s="28" t="str">
        <x:v>Косточковые фрукты</x:v>
      </x:c>
      <x:c r="G246" s="28" t="str">
        <x:v>баранина на гриле</x:v>
      </x:c>
      <x:c r="H246" s="28" t="str">
        <x:v>grilled lamb</x:v>
      </x:c>
      <x:c r="I246" s="28" t="str">
        <x:v>Мясо и птица</x:v>
      </x:c>
      <x:c r="J246" s="28" t="str">
        <x:v>персиковый, фруктовый, цветочный, зелёный, сливочно-лактонный</x:v>
      </x:c>
      <x:c r="K246" s="28" t="str">
        <x:v>жареный, жирный, сернистый, умами</x:v>
      </x:c>
      <x:c r="L246" s="28" t="str">
        <x:v>γ- и δ-декалактон, γ- и δ-додекалактон, фруктовые эфиры, линалоол, бензальдегид, C6-альдегиды</x:v>
      </x:c>
      <x:c r="M246" s="28" t="str">
        <x:v>альдегиды, пиразины, сернистые соединения</x:v>
      </x:c>
      <x:c r="N246" s="28" t="str">
        <x:v>прямое семейное перекрытие не является главным механизмом</x:v>
      </x:c>
      <x:c r="O246" s="28" t="str">
        <x:v>надёжный единичный общий маркер не подтверждён; механизм не сводится к одной молекуле</x:v>
      </x:c>
      <x:c r="P246" s="28" t="str">
        <x:v>комплементарность ароматических семейств, вкусовой контраст и матричный эффект</x:v>
      </x:c>
      <x:c r="Q246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246" s="28" t="str">
        <x:v>слабый; кислотность усиливает свежесть; партнёр: обычно отсутствует; зависит от конкретного продукта</x:v>
      </x:c>
      <x:c r="S246" s="28" t="str">
        <x:v>водно-пектиновая; гидрофобные лактоны лучше проявляются в жире и этаноле. Партнёр: жир переносит аромат; реакция Майяра создаёт новые одоранты.</x:v>
      </x:c>
      <x:c r="T246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U24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Баранина на гриле относится к группе «Мясо и птица» и даёт профиль «жареный, жирный, сернистый, умами»; типичные соединения или классы: альдегиды, пиразины,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переносит аромат; реакция Майяра создаёт новые одоранты.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V246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W246" s="28" t="str">
        <x:v>розмарин, горчица или хересный уксус</x:v>
      </x:c>
      <x:c r="X246" s="28" t="str">
        <x:v>соус, глазировка, чатни, маринад, гарнир или основное блюдо</x:v>
      </x:c>
      <x:c r="Y246" s="28" t="str">
        <x:v>еда; соусы/маринады</x:v>
      </x:c>
      <x:c r="Z246" s="28" t="str">
        <x:v>Средняя</x:v>
      </x:c>
      <x:c r="AA246" s="28" t="str">
        <x:v>The Art &amp; Science of Foodpairing.pdf</x:v>
      </x:c>
      <x:c r="AB246" s="28" t="str">
        <x:v>The Art &amp; Science of Foodpairing.pdf: 260–261</x:v>
      </x:c>
      <x:c r="AC246" s="28" t="str">
        <x:v>Ingredient pairings with peach and nectarine: grilled lamb.</x:v>
      </x:c>
      <x:c r="AD246" s="28" t="n">
        <x:v>1</x:v>
      </x:c>
      <x:c r="AE246" s="28" t="n">
        <x:v>1</x:v>
      </x:c>
      <x:c r="AF246" s="28" t="n">
        <x:f>IF(Z246="Высокая",3,IF(Z246="Средняя",2,1))+AD246*2+MIN(AE246,3)</x:f>
        <x:v>5</x:v>
      </x:c>
    </x:row>
    <x:row r="247" ht="62" customHeight="1">
      <x:c r="A247" s="28" t="str">
        <x:v>STN-0246</x:v>
      </x:c>
      <x:c r="B247" s="28" t="str">
        <x:v>нектарин</x:v>
      </x:c>
      <x:c r="C247" s="28" t="str">
        <x:v>Десерты и выпечка</x:v>
      </x:c>
      <x:c r="D247" s="28" t="str">
        <x:v>нектарин</x:v>
      </x:c>
      <x:c r="E247" s="28" t="str">
        <x:v>nectarine</x:v>
      </x:c>
      <x:c r="F247" s="28" t="str">
        <x:v>Косточковые фрукты</x:v>
      </x:c>
      <x:c r="G247" s="28" t="str">
        <x:v>бейгл</x:v>
      </x:c>
      <x:c r="H247" s="28" t="str">
        <x:v>bagel</x:v>
      </x:c>
      <x:c r="I247" s="28" t="str">
        <x:v>Злаки и выпечка</x:v>
      </x:c>
      <x:c r="J247" s="28" t="str">
        <x:v>персиковый, фруктовый, цветочный, зелёный, сливочно-лактонный</x:v>
      </x:c>
      <x:c r="K247" s="28" t="str">
        <x:v>хлебный, зерновой, жареный, сливочный</x:v>
      </x:c>
      <x:c r="L247" s="28" t="str">
        <x:v>γ- и δ-декалактон, γ- и δ-додекалактон, фруктовые эфиры, линалоол, бензальдегид, C6-альдегиды</x:v>
      </x:c>
      <x:c r="M247" s="28" t="str">
        <x:v>пиразины, фураны, мальтол, продукты Майяра</x:v>
      </x:c>
      <x:c r="N247" s="28" t="str">
        <x:v>прямое семейное перекрытие не является главным механизмом</x:v>
      </x:c>
      <x:c r="O247" s="28" t="str">
        <x:v>надёжный единичный общий маркер не подтверждён; механизм не сводится к одной молекуле</x:v>
      </x:c>
      <x:c r="P247" s="28" t="str">
        <x:v>комплементарность ароматических семейств, вкусовой контраст и матричный эффект</x:v>
      </x:c>
      <x:c r="Q247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</x:v>
      </x:c>
      <x:c r="R247" s="28" t="str">
        <x:v>слабый; кислотность усиливает свежесть; партнёр: нет выраженного</x:v>
      </x:c>
      <x:c r="S247" s="28" t="str">
        <x:v>водно-пектиновая; гидрофобные лактоны лучше проявляются в жире и этаноле. Партнёр: крахмальная матрица приглушает кислоту и распределяет аромат.</x:v>
      </x:c>
      <x:c r="T24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24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Бейгл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крахмальная матрица приглушает кислоту и распределяет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24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47" s="28" t="str">
        <x:v>сливочное масло, ваниль или орех</x:v>
      </x:c>
      <x:c r="X247" s="28" t="str">
        <x:v>тарт, крем, мороженое, выпечка, сырная подача или начинка</x:v>
      </x:c>
      <x:c r="Y247" s="28" t="str">
        <x:v>десерты; еда</x:v>
      </x:c>
      <x:c r="Z247" s="28" t="str">
        <x:v>Средняя</x:v>
      </x:c>
      <x:c r="AA247" s="28" t="str">
        <x:v>The Art &amp; Science of Foodpairing.pdf</x:v>
      </x:c>
      <x:c r="AB247" s="28" t="str">
        <x:v>The Art &amp; Science of Foodpairing.pdf: 260–261</x:v>
      </x:c>
      <x:c r="AC247" s="28" t="str">
        <x:v>Ingredient pairings with peach and nectarine: bagel.</x:v>
      </x:c>
      <x:c r="AD247" s="28" t="n">
        <x:v>1</x:v>
      </x:c>
      <x:c r="AE247" s="28" t="n">
        <x:v>1</x:v>
      </x:c>
      <x:c r="AF247" s="28" t="n">
        <x:f>IF(Z247="Высокая",3,IF(Z247="Средняя",2,1))+AD247*2+MIN(AE247,3)</x:f>
        <x:v>5</x:v>
      </x:c>
    </x:row>
    <x:row r="248" ht="62" customHeight="1">
      <x:c r="A248" s="28" t="str">
        <x:v>STN-0247</x:v>
      </x:c>
      <x:c r="B248" s="28" t="str">
        <x:v>нектарин</x:v>
      </x:c>
      <x:c r="C248" s="28" t="str">
        <x:v>Универсальные</x:v>
      </x:c>
      <x:c r="D248" s="28" t="str">
        <x:v>нектарин</x:v>
      </x:c>
      <x:c r="E248" s="28" t="str">
        <x:v>nectarine</x:v>
      </x:c>
      <x:c r="F248" s="28" t="str">
        <x:v>Косточковые фрукты</x:v>
      </x:c>
      <x:c r="G248" s="28" t="str">
        <x:v>белый перец</x:v>
      </x:c>
      <x:c r="H248" s="28" t="str">
        <x:v>White peppercorn</x:v>
      </x:c>
      <x:c r="I248" s="28" t="str">
        <x:v>Специи и острые компоненты</x:v>
      </x:c>
      <x:c r="J248" s="28" t="str">
        <x:v>персиковый, фруктовый, цветочный, зелёный, сливочно-лактонный</x:v>
      </x:c>
      <x:c r="K248" s="28" t="str">
        <x:v>пряный, древесный, цветочный или жгучий</x:v>
      </x:c>
      <x:c r="L248" s="28" t="str">
        <x:v>γ- и δ-декалактон, γ- и δ-додекалактон, фруктовые эфиры, линалоол, бензальдегид, C6-альдегиды</x:v>
      </x:c>
      <x:c r="M248" s="28" t="str">
        <x:v>эвгенол, циннамальдегид, анетол, терпены, капсаициноиды, пиперин</x:v>
      </x:c>
      <x:c r="N248" s="28" t="str">
        <x:v>цветочный</x:v>
      </x:c>
      <x:c r="O248" s="28" t="str">
        <x:v>надёжный единичный общий маркер не подтверждён; механизм не сводится к одной молекуле</x:v>
      </x:c>
      <x:c r="P248" s="28" t="str">
        <x:v>комплементарность ароматических семейств, вкусовой контраст и матричный эффект</x:v>
      </x:c>
      <x:c r="Q248" s="28" t="str">
        <x:v>Сладость и кислота фрукта смягчают остроту и горечь специи, а пряный компонент удлиняет ароматическое послевкусие.</x:v>
      </x:c>
      <x:c r="R248" s="28" t="str">
        <x:v>слабый; кислотность усиливает свежесть; партнёр: выраженный: жжение, тепло или покалывание</x:v>
      </x:c>
      <x:c r="S248" s="28" t="str">
        <x:v>водно-пектиновая; гидрофобные лактоны лучше проявляются в жире и этаноле. Партнёр: гидрофобные молекулы хорошо переходят в жир и этанол.</x:v>
      </x:c>
      <x:c r="T248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U24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Белый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V248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W248" s="28" t="str">
        <x:v>мёд, цитрус или миндаль</x:v>
      </x:c>
      <x:c r="X248" s="28" t="str">
        <x:v>напиток, соус, десерт или горячее блюдо после пробной дегустации</x:v>
      </x:c>
      <x:c r="Y248" s="28" t="str">
        <x:v>напитки; еда; десерты; соусы/маринады</x:v>
      </x:c>
      <x:c r="Z248" s="28" t="str">
        <x:v>Средняя</x:v>
      </x:c>
      <x:c r="AA248" s="28" t="str">
        <x:v>The Art &amp; Science of Foodpairing.pdf</x:v>
      </x:c>
      <x:c r="AB248" s="28" t="str">
        <x:v>The Art &amp; Science of Foodpairing.pdf: 273</x:v>
      </x:c>
      <x:c r="AC248" s="28" t="str">
        <x:v>Ингредиент «nectarine» указан на странице профиля/сетки сочетаний «White peppercorn».</x:v>
      </x:c>
      <x:c r="AD248" s="28" t="n">
        <x:v>1</x:v>
      </x:c>
      <x:c r="AE248" s="28" t="n">
        <x:v>1</x:v>
      </x:c>
      <x:c r="AF248" s="28" t="n">
        <x:f>IF(Z248="Высокая",3,IF(Z248="Средняя",2,1))+AD248*2+MIN(AE248,3)</x:f>
        <x:v>5</x:v>
      </x:c>
    </x:row>
    <x:row r="249" ht="62" customHeight="1">
      <x:c r="A249" s="28" t="str">
        <x:v>STN-0248</x:v>
      </x:c>
      <x:c r="B249" s="28" t="str">
        <x:v>нектарин</x:v>
      </x:c>
      <x:c r="C249" s="28" t="str">
        <x:v>Десерты и выпечка</x:v>
      </x:c>
      <x:c r="D249" s="28" t="str">
        <x:v>нектарин</x:v>
      </x:c>
      <x:c r="E249" s="28" t="str">
        <x:v>nectarine</x:v>
      </x:c>
      <x:c r="F249" s="28" t="str">
        <x:v>Косточковые фрукты</x:v>
      </x:c>
      <x:c r="G249" s="28" t="str">
        <x:v>белый тостовый хлеб</x:v>
      </x:c>
      <x:c r="H249" s="28" t="str">
        <x:v>white toasting bread</x:v>
      </x:c>
      <x:c r="I249" s="28" t="str">
        <x:v>Злаки и выпечка</x:v>
      </x:c>
      <x:c r="J249" s="28" t="str">
        <x:v>персиковый, фруктовый, цветочный, зелёный, сливочно-лактонный</x:v>
      </x:c>
      <x:c r="K249" s="28" t="str">
        <x:v>хлебный, зерновой, жареный, сливочный</x:v>
      </x:c>
      <x:c r="L249" s="28" t="str">
        <x:v>γ- и δ-декалактон, γ- и δ-додекалактон, фруктовые эфиры, линалоол, бензальдегид, C6-альдегиды</x:v>
      </x:c>
      <x:c r="M249" s="28" t="str">
        <x:v>пиразины, фураны, мальтол, продукты Майяра</x:v>
      </x:c>
      <x:c r="N249" s="28" t="str">
        <x:v>прямое семейное перекрытие не является главным механизмом</x:v>
      </x:c>
      <x:c r="O249" s="28" t="str">
        <x:v>надёжный единичный общий маркер не подтверждён; механизм не сводится к одной молекуле</x:v>
      </x:c>
      <x:c r="P249" s="28" t="str">
        <x:v>комплементарность ароматических семейств, вкусовой контраст и матричный эффект</x:v>
      </x:c>
      <x:c r="Q249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</x:v>
      </x:c>
      <x:c r="R249" s="28" t="str">
        <x:v>слабый; кислотность усиливает свежесть; партнёр: нет выраженного</x:v>
      </x:c>
      <x:c r="S249" s="28" t="str">
        <x:v>водно-пектиновая; гидрофобные лактоны лучше проявляются в жире и этаноле. Партнёр: крахмальная матрица приглушает кислоту и распределяет аромат.</x:v>
      </x:c>
      <x:c r="T24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24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Белый тостовый хлеб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крахмальная матрица приглушает кислоту и распределяет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24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49" s="28" t="str">
        <x:v>сливочное масло, ваниль или орех</x:v>
      </x:c>
      <x:c r="X249" s="28" t="str">
        <x:v>тарт, крем, мороженое, выпечка, сырная подача или начинка</x:v>
      </x:c>
      <x:c r="Y249" s="28" t="str">
        <x:v>десерты; еда</x:v>
      </x:c>
      <x:c r="Z249" s="28" t="str">
        <x:v>Средняя</x:v>
      </x:c>
      <x:c r="AA249" s="28" t="str">
        <x:v>The Art &amp; Science of Foodpairing.pdf</x:v>
      </x:c>
      <x:c r="AB249" s="28" t="str">
        <x:v>The Art &amp; Science of Foodpairing.pdf: 260–261</x:v>
      </x:c>
      <x:c r="AC249" s="28" t="str">
        <x:v>Ingredient pairings with peach and nectarine: white toasting bread.</x:v>
      </x:c>
      <x:c r="AD249" s="28" t="n">
        <x:v>1</x:v>
      </x:c>
      <x:c r="AE249" s="28" t="n">
        <x:v>1</x:v>
      </x:c>
      <x:c r="AF249" s="28" t="n">
        <x:f>IF(Z249="Высокая",3,IF(Z249="Средняя",2,1))+AD249*2+MIN(AE249,3)</x:f>
        <x:v>5</x:v>
      </x:c>
    </x:row>
    <x:row r="250" ht="62" customHeight="1">
      <x:c r="A250" s="28" t="str">
        <x:v>STN-0249</x:v>
      </x:c>
      <x:c r="B250" s="28" t="str">
        <x:v>нектарин</x:v>
      </x:c>
      <x:c r="C250" s="28" t="str">
        <x:v>Десерты и выпечка</x:v>
      </x:c>
      <x:c r="D250" s="28" t="str">
        <x:v>нектарин</x:v>
      </x:c>
      <x:c r="E250" s="28" t="str">
        <x:v>nectarine</x:v>
      </x:c>
      <x:c r="F250" s="28" t="str">
        <x:v>Косточковые фрукты</x:v>
      </x:c>
      <x:c r="G250" s="28" t="str">
        <x:v>бергамот</x:v>
      </x:c>
      <x:c r="H250" s="28" t="str">
        <x:v>bergamot orange</x:v>
      </x:c>
      <x:c r="I250" s="28" t="str">
        <x:v>Цитрусовые</x:v>
      </x:c>
      <x:c r="J250" s="28" t="str">
        <x:v>персиковый, фруктовый, цветочный, зелёный, сливочно-лактонный</x:v>
      </x:c>
      <x:c r="K250" s="28" t="str">
        <x:v>зелёный, цветочный, цитрусовый</x:v>
      </x:c>
      <x:c r="L250" s="28" t="str">
        <x:v>γ- и δ-декалактон, γ- и δ-додекалактон, фруктовые эфиры, линалоол, бензальдегид, C6-альдегиды</x:v>
      </x:c>
      <x:c r="M250" s="28" t="str">
        <x:v>лимонен, линалоол, цитраль</x:v>
      </x:c>
      <x:c r="N250" s="28" t="str">
        <x:v>цветочный, зелёный</x:v>
      </x:c>
      <x:c r="O250" s="28" t="str">
        <x:v>линалоол</x:v>
      </x:c>
      <x:c r="P250" s="28" t="str">
        <x:v>прямое или классовое перекрытие характерных одорантов + вкусовой баланс</x:v>
      </x:c>
      <x:c r="Q250" s="28" t="str">
        <x:v>Близкие фруктовые эфиры создают непрерывность, а различия в кислотности, терпкости и сладости формируют контраст.</x:v>
      </x:c>
      <x:c r="R250" s="28" t="str">
        <x:v>слабый; кислотность усиливает свежесть; партнёр: обычно отсутствует; зависит от конкретного продукта</x:v>
      </x:c>
      <x:c r="S250" s="28" t="str">
        <x:v>водно-пектиновая; гидрофобные лактоны лучше проявляются в жире и этаноле. Партнёр: вода и эфирные масла; цедра гидрофобна.</x:v>
      </x:c>
      <x:c r="T25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25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Бергамот относится к группе «Цитрусовые» и даёт профиль «зелёный, цветочный, цитрусовый»; типичные соединения или классы: лимонен, линалоол, цитраль.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вода и эфирные масла; цедра гидрофобна.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25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50" s="28" t="str">
        <x:v>ваниль, мёд или розмарин</x:v>
      </x:c>
      <x:c r="X250" s="28" t="str">
        <x:v>сорбет, салат, джем, кордиал, лимонад, коктейль или фруктовый соус</x:v>
      </x:c>
      <x:c r="Y250" s="28" t="str">
        <x:v>напитки; десерты; соусы/маринады</x:v>
      </x:c>
      <x:c r="Z250" s="28" t="str">
        <x:v>Средняя</x:v>
      </x:c>
      <x:c r="AA250" s="28" t="str">
        <x:v>The Art &amp; Science of Foodpairing.pdf</x:v>
      </x:c>
      <x:c r="AB250" s="28" t="str">
        <x:v>The Art &amp; Science of Foodpairing.pdf: 260–261</x:v>
      </x:c>
      <x:c r="AC250" s="28" t="str">
        <x:v>Ingredient pairings with peach and nectarine: bergamot orange.</x:v>
      </x:c>
      <x:c r="AD250" s="28" t="n">
        <x:v>1</x:v>
      </x:c>
      <x:c r="AE250" s="28" t="n">
        <x:v>1</x:v>
      </x:c>
      <x:c r="AF250" s="28" t="n">
        <x:f>IF(Z250="Высокая",3,IF(Z250="Средняя",2,1))+AD250*2+MIN(AE250,3)</x:f>
        <x:v>5</x:v>
      </x:c>
    </x:row>
    <x:row r="251" ht="62" customHeight="1">
      <x:c r="A251" s="28" t="str">
        <x:v>STN-0250</x:v>
      </x:c>
      <x:c r="B251" s="28" t="str">
        <x:v>нектарин</x:v>
      </x:c>
      <x:c r="C251" s="28" t="str">
        <x:v>Универсальные</x:v>
      </x:c>
      <x:c r="D251" s="28" t="str">
        <x:v>нектарин</x:v>
      </x:c>
      <x:c r="E251" s="28" t="str">
        <x:v>nectarine</x:v>
      </x:c>
      <x:c r="F251" s="28" t="str">
        <x:v>Косточковые фрукты</x:v>
      </x:c>
      <x:c r="G251" s="28" t="str">
        <x:v>бриошь</x:v>
      </x:c>
      <x:c r="H251" s="28" t="str">
        <x:v>brioche</x:v>
      </x:c>
      <x:c r="I251" s="28" t="str">
        <x:v>Злаки, хлеб и выпечка</x:v>
      </x:c>
      <x:c r="J251" s="28" t="str">
        <x:v>персиковый, фруктовый, цветочный, зелёный, сливочно-лактонный</x:v>
      </x:c>
      <x:c r="K251" s="28" t="str">
        <x:v>хлебный, зерновой, ореховый, жареный и карамельный</x:v>
      </x:c>
      <x:c r="L251" s="28" t="str">
        <x:v>γ- и δ-декалактон, γ- и δ-додекалактон, фруктовые эфиры, линалоол, бензальдегид, C6-альдегиды</x:v>
      </x:c>
      <x:c r="M251" s="28" t="str">
        <x:v>2-ацетил-1-пирролин, пиразины, фураны, мальтол</x:v>
      </x:c>
      <x:c r="N251" s="28" t="str">
        <x:v>прямое семейное перекрытие не является главным механизмом</x:v>
      </x:c>
      <x:c r="O251" s="28" t="str">
        <x:v>надёжный единичный общий маркер не подтверждён; механизм не сводится к одной молекуле</x:v>
      </x:c>
      <x:c r="P251" s="28" t="str">
        <x:v>комплементарность ароматических семейств, вкусовой контраст и матричный эффект</x:v>
      </x:c>
      <x:c r="Q251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крахмалистость, лёгкая сладость и жареная горечь. Баланс корректируется сахаром, кислотой, солью и горечью.</x:v>
      </x:c>
      <x:c r="R251" s="28" t="str">
        <x:v>слабый; кислотность усиливает свежесть; партнёр: отсутствует</x:v>
      </x:c>
      <x:c r="S251" s="28" t="str">
        <x:v>водно-пектиновая; гидрофобные лактоны лучше проявляются в жире и этаноле. Партнёр: крахмал и клетчатка смягчают кислоту и поглощают ароматические соусы.</x:v>
      </x:c>
      <x:c r="T25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U25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Бриошь относится к группе «Злаки, хлеб и выпечка» и даёт профиль «хлебный, зерновой, ореховый, жареный и карамельный»; типичные соединения или классы: 2-ацетил-1-пирролин, пиразины, фураны, мальтол.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крахмалистость, лёгкая сладость и жареная горечь.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 и клетчатка смягчают кислоту и поглощают ароматические соусы.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V25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51" s="28" t="str">
        <x:v>мёд, цитрус или нейтральная жировая основа</x:v>
      </x:c>
      <x:c r="X251" s="28" t="str">
        <x:v>напиток, соус, десерт или горячее блюдо после пробной дегустации</x:v>
      </x:c>
      <x:c r="Y251" s="28" t="str">
        <x:v>напитки; еда; десерты; соусы/маринады</x:v>
      </x:c>
      <x:c r="Z251" s="28" t="str">
        <x:v>Средняя</x:v>
      </x:c>
      <x:c r="AA251" s="28" t="str">
        <x:v>The Art &amp; Science of Foodpairing.pdf</x:v>
      </x:c>
      <x:c r="AB251" s="28" t="str">
        <x:v>The Art &amp; Science of Foodpairing.pdf: 260–261</x:v>
      </x:c>
      <x:c r="AC251" s="28" t="str">
        <x:v>Ingredient pairings with peach and nectarine: brioche.</x:v>
      </x:c>
      <x:c r="AD251" s="28" t="n">
        <x:v>1</x:v>
      </x:c>
      <x:c r="AE251" s="28" t="n">
        <x:v>1</x:v>
      </x:c>
      <x:c r="AF251" s="28" t="n">
        <x:f>IF(Z251="Высокая",3,IF(Z251="Средняя",2,1))+AD251*2+MIN(AE251,3)</x:f>
        <x:v>5</x:v>
      </x:c>
    </x:row>
    <x:row r="252" ht="62" customHeight="1">
      <x:c r="A252" s="28" t="str">
        <x:v>STN-0251</x:v>
      </x:c>
      <x:c r="B252" s="28" t="str">
        <x:v>нектарин</x:v>
      </x:c>
      <x:c r="C252" s="28" t="str">
        <x:v>Еда и соусы</x:v>
      </x:c>
      <x:c r="D252" s="28" t="str">
        <x:v>нектарин</x:v>
      </x:c>
      <x:c r="E252" s="28" t="str">
        <x:v>nectarine</x:v>
      </x:c>
      <x:c r="F252" s="28" t="str">
        <x:v>Косточковые фрукты</x:v>
      </x:c>
      <x:c r="G252" s="28" t="str">
        <x:v>вакаме</x:v>
      </x:c>
      <x:c r="H252" s="28" t="str">
        <x:v>wakame seaweed</x:v>
      </x:c>
      <x:c r="I252" s="28" t="str">
        <x:v>Рыба и морепродукты</x:v>
      </x:c>
      <x:c r="J252" s="28" t="str">
        <x:v>персиковый, фруктовый, цветочный, зелёный, сливочно-лактонный</x:v>
      </x:c>
      <x:c r="K252" s="28" t="str">
        <x:v>морской, солёный, умами, иногда йодистый и жареный</x:v>
      </x:c>
      <x:c r="L252" s="28" t="str">
        <x:v>γ- и δ-декалактон, γ- и δ-додекалактон, фруктовые эфиры, линалоол, бензальдегид, C6-альдегиды</x:v>
      </x:c>
      <x:c r="M252" s="28" t="str">
        <x:v>амины, бромфенолы, альдегиды жирных кислот, сернистые соединения</x:v>
      </x:c>
      <x:c r="N252" s="28" t="str">
        <x:v>прямое семейное перекрытие не является главным механизмом</x:v>
      </x:c>
      <x:c r="O252" s="28" t="str">
        <x:v>надёжный единичный общий маркер не подтверждён; механизм не сводится к одной молекуле</x:v>
      </x:c>
      <x:c r="P252" s="28" t="str">
        <x:v>комплементарность ароматических семейств, вкусовой контраст и матричный эффект</x:v>
      </x:c>
      <x:c r="Q252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252" s="28" t="str">
        <x:v>слабый; кислотность усиливает свежесть; партнёр: нет выраженного</x:v>
      </x:c>
      <x:c r="S252" s="28" t="str">
        <x:v>водно-пектиновая; гидрофобные лактоны лучше проявляются в жире и этаноле. Партнёр: водно-белковая матрица; жирная рыба лучше удерживает лактоны.</x:v>
      </x:c>
      <x:c r="T25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25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Вакаме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252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W252" s="28" t="str">
        <x:v>цитрус, укроп или оливковое масло</x:v>
      </x:c>
      <x:c r="X252" s="28" t="str">
        <x:v>соус, глазировка, чатни, маринад, гарнир или основное блюдо</x:v>
      </x:c>
      <x:c r="Y252" s="28" t="str">
        <x:v>еда; соусы/маринады</x:v>
      </x:c>
      <x:c r="Z252" s="28" t="str">
        <x:v>Средняя</x:v>
      </x:c>
      <x:c r="AA252" s="28" t="str">
        <x:v>The Art &amp; Science of Foodpairing.pdf</x:v>
      </x:c>
      <x:c r="AB252" s="28" t="str">
        <x:v>The Art &amp; Science of Foodpairing.pdf: 260–261</x:v>
      </x:c>
      <x:c r="AC252" s="28" t="str">
        <x:v>Ingredient pairings with peach and nectarine: wakame seaweed.</x:v>
      </x:c>
      <x:c r="AD252" s="28" t="n">
        <x:v>1</x:v>
      </x:c>
      <x:c r="AE252" s="28" t="n">
        <x:v>1</x:v>
      </x:c>
      <x:c r="AF252" s="28" t="n">
        <x:f>IF(Z252="Высокая",3,IF(Z252="Средняя",2,1))+AD252*2+MIN(AE252,3)</x:f>
        <x:v>5</x:v>
      </x:c>
    </x:row>
    <x:row r="253" ht="62" customHeight="1">
      <x:c r="A253" s="28" t="str">
        <x:v>STN-0252</x:v>
      </x:c>
      <x:c r="B253" s="28" t="str">
        <x:v>нектарин</x:v>
      </x:c>
      <x:c r="C253" s="28" t="str">
        <x:v>Универсальные</x:v>
      </x:c>
      <x:c r="D253" s="28" t="str">
        <x:v>нектарин</x:v>
      </x:c>
      <x:c r="E253" s="28" t="str">
        <x:v>nectarine</x:v>
      </x:c>
      <x:c r="F253" s="28" t="str">
        <x:v>Косточковые фрукты</x:v>
      </x:c>
      <x:c r="G253" s="28" t="str">
        <x:v>вишня</x:v>
      </x:c>
      <x:c r="H253" s="28" t="str">
        <x:v>Вишня | вишня</x:v>
      </x:c>
      <x:c r="I253" s="28" t="str">
        <x:v>Косточковые фрукты</x:v>
      </x:c>
      <x:c r="J253" s="28" t="str">
        <x:v>персиковый, фруктовый, цветочный, зелёный, сливочно-лактонный</x:v>
      </x:c>
      <x:c r="K253" s="28" t="str">
        <x:v>цветочный, фруктовый, миндальный и сливочно-лактонный</x:v>
      </x:c>
      <x:c r="L253" s="28" t="str">
        <x:v>γ- и δ-декалактон, γ- и δ-додекалактон, фруктовые эфиры, линалоол, бензальдегид, C6-альдегиды</x:v>
      </x:c>
      <x:c r="M253" s="28" t="str">
        <x:v>лактоны, бензальдегид, эфиры, линалоол</x:v>
      </x:c>
      <x:c r="N253" s="28" t="str">
        <x:v>цветочный, фруктовый, лактонный</x:v>
      </x:c>
      <x:c r="O253" s="28" t="str">
        <x:v>бензальдегид, линалоол, эфиры</x:v>
      </x:c>
      <x:c r="P253" s="28" t="str">
        <x:v>прямое или классовое перекрытие характерных одорантов + вкусовой баланс</x:v>
      </x:c>
      <x:c r="Q253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 и умеренная кислотность. Баланс корректируется сахаром, кислотой, солью и горечью.</x:v>
      </x:c>
      <x:c r="R253" s="28" t="str">
        <x:v>слабый; кислотность усиливает свежесть; партнёр: слабый</x:v>
      </x:c>
      <x:c r="S253" s="28" t="str">
        <x:v>водно-пектиновая; гидрофобные лактоны лучше проявляются в жире и этаноле. Партнёр: пектиновая; кожица и косточка могут давать терпкость и миндальные ноты.</x:v>
      </x:c>
      <x:c r="T25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U25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линалоол, эфиры. Общие ароматические направления: цветочный, фруктовый, лактонный.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 и умеренная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пектиновая; кожица и косточка могут давать терпкость и миндальные ноты.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V25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53" s="28" t="str">
        <x:v>мёд, цитрус или нейтральная жировая основа</x:v>
      </x:c>
      <x:c r="X253" s="28" t="str">
        <x:v>напиток, соус, десерт или горячее блюдо после пробной дегустации</x:v>
      </x:c>
      <x:c r="Y253" s="28" t="str">
        <x:v>напитки; еда; десерты; соусы/маринады</x:v>
      </x:c>
      <x:c r="Z253" s="28" t="str">
        <x:v>Гипотеза / практическая</x:v>
      </x:c>
      <x:c r="AA253" s="28" t="str">
        <x:v>Таблица сочетания(1).pdf</x:v>
      </x:c>
      <x:c r="AB253" s="28" t="str">
        <x:v>Таблица сочетания(1).pdf: Таблица сочетаний: 4, 14 | Таблица сочетания(1).pdf: 4 | Таблица сочетания(1).pdf: 14</x:v>
      </x:c>
      <x:c r="AC253" s="28" t="str">
        <x:v>Вишня: нектарин | Нектарин: вишня Пара указана в строке «Вишня»: «нектарин» находится в колонке «Фрукты». Пара указана в строке «Нектарин» → колонка «Фрукты».</x:v>
      </x:c>
      <x:c r="AD253" s="28" t="n">
        <x:v>1</x:v>
      </x:c>
      <x:c r="AE253" s="28" t="n">
        <x:v>3</x:v>
      </x:c>
      <x:c r="AF253" s="28" t="n">
        <x:f>IF(Z253="Высокая",3,IF(Z253="Средняя",2,1))+AD253*2+MIN(AE253,3)</x:f>
        <x:v>6</x:v>
      </x:c>
    </x:row>
    <x:row r="254" ht="62" customHeight="1">
      <x:c r="A254" s="28" t="str">
        <x:v>STN-0253</x:v>
      </x:c>
      <x:c r="B254" s="28" t="str">
        <x:v>нектарин</x:v>
      </x:c>
      <x:c r="C254" s="28" t="str">
        <x:v>Еда и соусы</x:v>
      </x:c>
      <x:c r="D254" s="28" t="str">
        <x:v>нектарин</x:v>
      </x:c>
      <x:c r="E254" s="28" t="str">
        <x:v>nectarine</x:v>
      </x:c>
      <x:c r="F254" s="28" t="str">
        <x:v>Косточковые фрукты</x:v>
      </x:c>
      <x:c r="G254" s="28" t="str">
        <x:v>восковая тыква</x:v>
      </x:c>
      <x:c r="H254" s="28" t="str">
        <x:v>wax gourd</x:v>
      </x:c>
      <x:c r="I254" s="28" t="str">
        <x:v>Овощи и корнеплоды</x:v>
      </x:c>
      <x:c r="J254" s="28" t="str">
        <x:v>персиковый, фруктовый, цветочный, зелёный, сливочно-лактонный</x:v>
      </x:c>
      <x:c r="K254" s="28" t="str">
        <x:v>зелёный, землистый, сладковатый или сернистый</x:v>
      </x:c>
      <x:c r="L254" s="28" t="str">
        <x:v>γ- и δ-декалактон, γ- и δ-додекалактон, фруктовые эфиры, линалоол, бензальдегид, C6-альдегиды</x:v>
      </x:c>
      <x:c r="M254" s="28" t="str">
        <x:v>C6-альдегиды, метоксипиразины, терпены, сернистые соединения</x:v>
      </x:c>
      <x:c r="N254" s="28" t="str">
        <x:v>зелёный</x:v>
      </x:c>
      <x:c r="O254" s="28" t="str">
        <x:v>c6-альдегиды</x:v>
      </x:c>
      <x:c r="P254" s="28" t="str">
        <x:v>прямое или классовое перекрытие характерных одорантов + вкусовой баланс</x:v>
      </x:c>
      <x:c r="Q254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</x:v>
      </x:c>
      <x:c r="R254" s="28" t="str">
        <x:v>слабый; кислотность усиливает свежесть; партнёр: зависит от продукта</x:v>
      </x:c>
      <x:c r="S254" s="28" t="str">
        <x:v>водно-пектиновая; гидрофобные лактоны лучше проявляются в жире и этаноле. Партнёр: водная и клетчаточная матрица; обжарка усиливает сладость и Майяр.</x:v>
      </x:c>
      <x:c r="T25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25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Восковая тыква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25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54" s="28" t="str">
        <x:v>мёд, травы или уксус</x:v>
      </x:c>
      <x:c r="X254" s="28" t="str">
        <x:v>соус, глазировка, чатни, маринад, гарнир или основное блюдо</x:v>
      </x:c>
      <x:c r="Y254" s="28" t="str">
        <x:v>еда; соусы/маринады</x:v>
      </x:c>
      <x:c r="Z254" s="28" t="str">
        <x:v>Средняя</x:v>
      </x:c>
      <x:c r="AA254" s="28" t="str">
        <x:v>The Art &amp; Science of Foodpairing.pdf</x:v>
      </x:c>
      <x:c r="AB254" s="28" t="str">
        <x:v>The Art &amp; Science of Foodpairing.pdf: 260–261</x:v>
      </x:c>
      <x:c r="AC254" s="28" t="str">
        <x:v>Ingredient pairings with peach and nectarine: wax gourd.</x:v>
      </x:c>
      <x:c r="AD254" s="28" t="n">
        <x:v>1</x:v>
      </x:c>
      <x:c r="AE254" s="28" t="n">
        <x:v>1</x:v>
      </x:c>
      <x:c r="AF254" s="28" t="n">
        <x:f>IF(Z254="Высокая",3,IF(Z254="Средняя",2,1))+AD254*2+MIN(AE254,3)</x:f>
        <x:v>5</x:v>
      </x:c>
    </x:row>
    <x:row r="255" ht="62" customHeight="1">
      <x:c r="A255" s="28" t="str">
        <x:v>STN-0254</x:v>
      </x:c>
      <x:c r="B255" s="28" t="str">
        <x:v>нектарин</x:v>
      </x:c>
      <x:c r="C255" s="28" t="str">
        <x:v>Напитки</x:v>
      </x:c>
      <x:c r="D255" s="28" t="str">
        <x:v>нектарин</x:v>
      </x:c>
      <x:c r="E255" s="28" t="str">
        <x:v>nectarine</x:v>
      </x:c>
      <x:c r="F255" s="28" t="str">
        <x:v>Косточковые фрукты</x:v>
      </x:c>
      <x:c r="G255" s="28" t="str">
        <x:v>выдержанный хересный уксус</x:v>
      </x:c>
      <x:c r="H255" s="28" t="str">
        <x:v>reserva sherry vinegar</x:v>
      </x:c>
      <x:c r="I255" s="28" t="str">
        <x:v>Алкогольные напитки</x:v>
      </x:c>
      <x:c r="J255" s="28" t="str">
        <x:v>персиковый, фруктовый, цветочный, зелёный, сливочно-лактонный</x:v>
      </x:c>
      <x:c r="K255" s="28" t="str">
        <x:v>спиртовой, эфирный, фруктовый или древесный в зависимости от напитка</x:v>
      </x:c>
      <x:c r="L255" s="28" t="str">
        <x:v>γ- и δ-декалактон, γ- и δ-додекалактон, фруктовые эфиры, линалоол, бензальдегид, C6-альдегиды</x:v>
      </x:c>
      <x:c r="M255" s="28" t="str">
        <x:v>этиловые эфиры, высшие спирты, ацетали; для выдержанных напитков — ванилин и дубовые лактоны</x:v>
      </x:c>
      <x:c r="N255" s="28" t="str">
        <x:v>фруктовый</x:v>
      </x:c>
      <x:c r="O255" s="28" t="str">
        <x:v>эфиры</x:v>
      </x:c>
      <x:c r="P255" s="28" t="str">
        <x:v>прямое или классовое перекрытие характерных одорантов + вкусовой баланс</x:v>
      </x:c>
      <x:c r="Q255" s="28" t="str">
        <x:v>Этанол усиливает летучесть лактонов и терпенов; сахар и кислотность должны быть настроены так, чтобы крепость не маскировала плод.</x:v>
      </x:c>
      <x:c r="R255" s="28" t="str">
        <x:v>слабый; кислотность усиливает свежесть; партнёр: этанол даёт согревание</x:v>
      </x:c>
      <x:c r="S255" s="28" t="str">
        <x:v>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</x:v>
      </x:c>
      <x:c r="T255" s="28" t="str">
        <x:v>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</x:v>
      </x:c>
      <x:c r="U25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Выдержанный хересный уксус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В рабочих профилях пересекаются: эфиры. Общие ароматические направления: фруктовый. Этанол усиливает летучесть лактонов и терпенов; сахар и кислотность должны быть настроены так, чтобы крепость не маскировала плод. Матрица пары: 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 Обработка: 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</x:v>
      </x:c>
      <x:c r="V255" s="28" t="str">
        <x:v>не перегревать и не переслащивать; иначе исчезает свежая фруктовая детализация. Высокая крепость и избыток сахара маскируют свежесть; после мацерации контролируйте терпкость кожицы.</x:v>
      </x:c>
      <x:c r="W255" s="28" t="str">
        <x:v>цитрус, чай или вермут</x:v>
      </x:c>
      <x:c r="X255" s="28" t="str">
        <x:v>коктейль, кордиал, настой, спритц, чайный или кофейный напиток</x:v>
      </x:c>
      <x:c r="Y255" s="28" t="str">
        <x:v>напитки</x:v>
      </x:c>
      <x:c r="Z255" s="28" t="str">
        <x:v>Средняя</x:v>
      </x:c>
      <x:c r="AA255" s="28" t="str">
        <x:v>The Art &amp; Science of Foodpairing.pdf</x:v>
      </x:c>
      <x:c r="AB255" s="28" t="str">
        <x:v>The Art &amp; Science of Foodpairing.pdf: 260–261</x:v>
      </x:c>
      <x:c r="AC255" s="28" t="str">
        <x:v>Ingredient pairings with peach and nectarine: reserva sherry vinegar.</x:v>
      </x:c>
      <x:c r="AD255" s="28" t="n">
        <x:v>1</x:v>
      </x:c>
      <x:c r="AE255" s="28" t="n">
        <x:v>1</x:v>
      </x:c>
      <x:c r="AF255" s="28" t="n">
        <x:f>IF(Z255="Высокая",3,IF(Z255="Средняя",2,1))+AD255*2+MIN(AE255,3)</x:f>
        <x:v>5</x:v>
      </x:c>
    </x:row>
    <x:row r="256" ht="62" customHeight="1">
      <x:c r="A256" s="28" t="str">
        <x:v>STN-0255</x:v>
      </x:c>
      <x:c r="B256" s="28" t="str">
        <x:v>нектарин</x:v>
      </x:c>
      <x:c r="C256" s="28" t="str">
        <x:v>Еда и соусы</x:v>
      </x:c>
      <x:c r="D256" s="28" t="str">
        <x:v>нектарин</x:v>
      </x:c>
      <x:c r="E256" s="28" t="str">
        <x:v>nectarine</x:v>
      </x:c>
      <x:c r="F256" s="28" t="str">
        <x:v>Косточковые фрукты</x:v>
      </x:c>
      <x:c r="G256" s="28" t="str">
        <x:v>говяжий бульон</x:v>
      </x:c>
      <x:c r="H256" s="28" t="str">
        <x:v>beef bouillon</x:v>
      </x:c>
      <x:c r="I256" s="28" t="str">
        <x:v>Мясо и птица</x:v>
      </x:c>
      <x:c r="J256" s="28" t="str">
        <x:v>персиковый, фруктовый, цветочный, зелёный, сливочно-лактонный</x:v>
      </x:c>
      <x:c r="K256" s="28" t="str">
        <x:v>жареный, мясной, жирный, иногда копчёный и пряный</x:v>
      </x:c>
      <x:c r="L256" s="28" t="str">
        <x:v>γ- и δ-декалактон, γ- и δ-додекалактон, фруктовые эфиры, линалоол, бензальдегид, C6-альдегиды</x:v>
      </x:c>
      <x:c r="M256" s="28" t="str">
        <x:v>пиразины, фураны, сернистые соединения, продукты Майяра, жирные альдегиды</x:v>
      </x:c>
      <x:c r="N256" s="28" t="str">
        <x:v>прямое семейное перекрытие не является главным механизмом</x:v>
      </x:c>
      <x:c r="O256" s="28" t="str">
        <x:v>надёжный единичный общий маркер не подтверждён; механизм не сводится к одной молекуле</x:v>
      </x:c>
      <x:c r="P256" s="28" t="str">
        <x:v>комплементарность ароматических семейств, вкусовой контраст и матричный эффект</x:v>
      </x:c>
      <x:c r="Q256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256" s="28" t="str">
        <x:v>слабый; кислотность усиливает свежесть; партнёр: тепловой/пряный зависит от обработки</x:v>
      </x:c>
      <x:c r="S256" s="28" t="str">
        <x:v>водно-пектиновая; гидрофобные лактоны лучше проявляются в жире и этаноле. Партнёр: жир удерживает фруктовые лактоны; белок смягчает кислотность.</x:v>
      </x:c>
      <x:c r="T256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U25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Говяжий бульон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V256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W256" s="28" t="str">
        <x:v>розмарин, горчица или хересный уксус</x:v>
      </x:c>
      <x:c r="X256" s="28" t="str">
        <x:v>соус, глазировка, чатни, маринад, гарнир или основное блюдо</x:v>
      </x:c>
      <x:c r="Y256" s="28" t="str">
        <x:v>еда; соусы/маринады</x:v>
      </x:c>
      <x:c r="Z256" s="28" t="str">
        <x:v>Средняя</x:v>
      </x:c>
      <x:c r="AA256" s="28" t="str">
        <x:v>The Art &amp; Science of Foodpairing.pdf</x:v>
      </x:c>
      <x:c r="AB256" s="28" t="str">
        <x:v>The Art &amp; Science of Foodpairing.pdf: 260–261</x:v>
      </x:c>
      <x:c r="AC256" s="28" t="str">
        <x:v>Ingredient pairings with peach and nectarine: beef bouillon.</x:v>
      </x:c>
      <x:c r="AD256" s="28" t="n">
        <x:v>1</x:v>
      </x:c>
      <x:c r="AE256" s="28" t="n">
        <x:v>1</x:v>
      </x:c>
      <x:c r="AF256" s="28" t="n">
        <x:f>IF(Z256="Высокая",3,IF(Z256="Средняя",2,1))+AD256*2+MIN(AE256,3)</x:f>
        <x:v>5</x:v>
      </x:c>
    </x:row>
    <x:row r="257" ht="62" customHeight="1">
      <x:c r="A257" s="28" t="str">
        <x:v>STN-0256</x:v>
      </x:c>
      <x:c r="B257" s="28" t="str">
        <x:v>нектарин</x:v>
      </x:c>
      <x:c r="C257" s="28" t="str">
        <x:v>Десерты и выпечка</x:v>
      </x:c>
      <x:c r="D257" s="28" t="str">
        <x:v>нектарин</x:v>
      </x:c>
      <x:c r="E257" s="28" t="str">
        <x:v>nectarine</x:v>
      </x:c>
      <x:c r="F257" s="28" t="str">
        <x:v>Косточковые фрукты</x:v>
      </x:c>
      <x:c r="G257" s="28" t="str">
        <x:v>голубика</x:v>
      </x:c>
      <x:c r="H257" s="28" t="str">
        <x:v>голубика | Blueberry</x:v>
      </x:c>
      <x:c r="I257" s="28" t="str">
        <x:v>Ягоды</x:v>
      </x:c>
      <x:c r="J257" s="28" t="str">
        <x:v>персиковый, фруктовый, цветочный, зелёный, сливочно-лактонный</x:v>
      </x:c>
      <x:c r="K257" s="28" t="str">
        <x:v>красно-фруктовый, цветочный, зелёный и иногда сернистый</x:v>
      </x:c>
      <x:c r="L257" s="28" t="str">
        <x:v>γ- и δ-декалактон, γ- и δ-додекалактон, фруктовые эфиры, линалоол, бензальдегид, C6-альдегиды</x:v>
      </x:c>
      <x:c r="M257" s="28" t="str">
        <x:v>фуранеол, эфиры, иононы, зелёные альдегиды</x:v>
      </x:c>
      <x:c r="N257" s="28" t="str">
        <x:v>цветочный, фруктовый, зелёный</x:v>
      </x:c>
      <x:c r="O257" s="28" t="str">
        <x:v>эфиры</x:v>
      </x:c>
      <x:c r="P257" s="28" t="str">
        <x:v>прямое или классовое перекрытие характерных одорантов + вкусовой баланс</x:v>
      </x:c>
      <x:c r="Q257" s="28" t="str">
        <x:v>Близкие фруктовые эфиры создают непрерывность, а различия в кислотности, терпкости и сладости формируют контраст.</x:v>
      </x:c>
      <x:c r="R257" s="28" t="str">
        <x:v>слабый; кислотность усиливает свежесть; партнёр: обычно слабый; кислота усиливает свежесть</x:v>
      </x:c>
      <x:c r="S257" s="28" t="str">
        <x:v>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</x:v>
      </x:c>
      <x:c r="T25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25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25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57" s="28" t="str">
        <x:v>ваниль, мята или миндаль</x:v>
      </x:c>
      <x:c r="X257" s="28" t="str">
        <x:v>сорбет, салат, джем, кордиал, лимонад, коктейль или фруктовый соус</x:v>
      </x:c>
      <x:c r="Y257" s="28" t="str">
        <x:v>напитки; десерты; соусы/маринады</x:v>
      </x:c>
      <x:c r="Z257" s="28" t="str">
        <x:v>Высокая</x:v>
      </x:c>
      <x:c r="AA257" s="28" t="str">
        <x:v>The Art &amp; Science of Foodpairing.pdf | Таблица сочетания(1).pdf</x:v>
      </x:c>
      <x:c r="AB257" s="28" t="str">
        <x:v>Таблица сочетания(1).pdf: Таблица сочетаний: 14 | Таблица сочетания(1).pdf: 14 | The Art &amp; Science of Foodpairing.pdf: 202</x:v>
      </x:c>
      <x:c r="AC257" s="28" t="str">
        <x:v>Нектарин: голубика Пара указана в строке «Нектарин» → колонка «Фрукты». Ингредиент «nectarine» указан на странице профиля/сетки сочетаний «Blueberry».</x:v>
      </x:c>
      <x:c r="AD257" s="28" t="n">
        <x:v>2</x:v>
      </x:c>
      <x:c r="AE257" s="28" t="n">
        <x:v>3</x:v>
      </x:c>
      <x:c r="AF257" s="28" t="n">
        <x:f>IF(Z257="Высокая",3,IF(Z257="Средняя",2,1))+AD257*2+MIN(AE257,3)</x:f>
        <x:v>10</x:v>
      </x:c>
    </x:row>
    <x:row r="258" ht="62" customHeight="1">
      <x:c r="A258" s="28" t="str">
        <x:v>STN-0257</x:v>
      </x:c>
      <x:c r="B258" s="28" t="str">
        <x:v>нектарин</x:v>
      </x:c>
      <x:c r="C258" s="28" t="str">
        <x:v>Универсальные</x:v>
      </x:c>
      <x:c r="D258" s="28" t="str">
        <x:v>нектарин</x:v>
      </x:c>
      <x:c r="E258" s="28" t="str">
        <x:v>nectarine</x:v>
      </x:c>
      <x:c r="F258" s="28" t="str">
        <x:v>Косточковые фрукты</x:v>
      </x:c>
      <x:c r="G258" s="28" t="str">
        <x:v>горгонзола</x:v>
      </x:c>
      <x:c r="H258" s="28" t="str">
        <x:v>Gorgonzola</x:v>
      </x:c>
      <x:c r="I258" s="28" t="str">
        <x:v>Прочее</x:v>
      </x:c>
      <x:c r="J258" s="28" t="str">
        <x:v>персиковый, фруктовый, цветочный, зелёный, сливочно-лактонный</x:v>
      </x:c>
      <x:c r="K258" s="28" t="str">
        <x:v>ароматический профиль зависит от конкретного ингредиента</x:v>
      </x:c>
      <x:c r="L258" s="28" t="str">
        <x:v>γ- и δ-декалактон, γ- и δ-додекалактон, фруктовые эфиры, линалоол, бензальдегид, C6-альдегиды</x:v>
      </x:c>
      <x:c r="M258" s="28" t="str">
        <x:v>летучие соединения конкретного продукта</x:v>
      </x:c>
      <x:c r="N258" s="28" t="str">
        <x:v>прямое семейное перекрытие не является главным механизмом</x:v>
      </x:c>
      <x:c r="O258" s="28" t="str">
        <x:v>надёжный единичный общий маркер не подтверждён; механизм не сводится к одной молекуле</x:v>
      </x:c>
      <x:c r="P258" s="28" t="str">
        <x:v>комплементарность ароматических семейств, вкусовой контраст и матричный эффект</x:v>
      </x:c>
      <x:c r="Q258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</x:v>
      </x:c>
      <x:c r="R258" s="28" t="str">
        <x:v>слабый; кислотность усиливает свежесть; партнёр: возможен в зависимости от состава</x:v>
      </x:c>
      <x:c r="S258" s="28" t="str">
        <x:v>водно-пектиновая; гидрофобные лактоны лучше проявляются в жире и этаноле. Партнёр: важны вода, жир, белок, сахар и температура.</x:v>
      </x:c>
      <x:c r="T25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U25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Горгонзола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важны вода, жир, белок, сахар и температура.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V25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58" s="28" t="str">
        <x:v>мёд, цитрус или нейтральная жировая основа</x:v>
      </x:c>
      <x:c r="X258" s="28" t="str">
        <x:v>напиток, соус, десерт или горячее блюдо после пробной дегустации</x:v>
      </x:c>
      <x:c r="Y258" s="28" t="str">
        <x:v>напитки; еда; десерты; соусы/маринады</x:v>
      </x:c>
      <x:c r="Z258" s="28" t="str">
        <x:v>Средняя</x:v>
      </x:c>
      <x:c r="AA258" s="28" t="str">
        <x:v>The Art &amp; Science of Foodpairing.pdf</x:v>
      </x:c>
      <x:c r="AB258" s="28" t="str">
        <x:v>The Art &amp; Science of Foodpairing.pdf: 260–261</x:v>
      </x:c>
      <x:c r="AC258" s="28" t="str">
        <x:v>Ingredient pairings with peach and nectarine: Gorgonzola.</x:v>
      </x:c>
      <x:c r="AD258" s="28" t="n">
        <x:v>1</x:v>
      </x:c>
      <x:c r="AE258" s="28" t="n">
        <x:v>1</x:v>
      </x:c>
      <x:c r="AF258" s="28" t="n">
        <x:f>IF(Z258="Высокая",3,IF(Z258="Средняя",2,1))+AD258*2+MIN(AE258,3)</x:f>
        <x:v>5</x:v>
      </x:c>
    </x:row>
    <x:row r="259" ht="62" customHeight="1">
      <x:c r="A259" s="28" t="str">
        <x:v>STN-0258</x:v>
      </x:c>
      <x:c r="B259" s="28" t="str">
        <x:v>нектарин</x:v>
      </x:c>
      <x:c r="C259" s="28" t="str">
        <x:v>Универсальные</x:v>
      </x:c>
      <x:c r="D259" s="28" t="str">
        <x:v>нектарин</x:v>
      </x:c>
      <x:c r="E259" s="28" t="str">
        <x:v>nectarine</x:v>
      </x:c>
      <x:c r="F259" s="28" t="str">
        <x:v>Косточковые фрукты</x:v>
      </x:c>
      <x:c r="G259" s="28" t="str">
        <x:v>гранат</x:v>
      </x:c>
      <x:c r="H259" s="28" t="str">
        <x:v>pomegranate</x:v>
      </x:c>
      <x:c r="I259" s="28" t="str">
        <x:v>Субтропические фрукты</x:v>
      </x:c>
      <x:c r="J259" s="28" t="str">
        <x:v>персиковый, фруктовый, цветочный, зелёный, сливочно-лактонный</x:v>
      </x:c>
      <x:c r="K259" s="28" t="str">
        <x:v>красно-фруктовый, цветочный, зелёный и винный</x:v>
      </x:c>
      <x:c r="L259" s="28" t="str">
        <x:v>γ- и δ-декалактон, γ- и δ-додекалактон, фруктовые эфиры, линалоол, бензальдегид, C6-альдегиды</x:v>
      </x:c>
      <x:c r="M259" s="28" t="str">
        <x:v>гексаналь, (E)-2-гексеналь, эфиры, терпены; нелетучие пуникалагины и антоцианы</x:v>
      </x:c>
      <x:c r="N259" s="28" t="str">
        <x:v>цветочный, фруктовый, зелёный</x:v>
      </x:c>
      <x:c r="O259" s="28" t="str">
        <x:v>эфиры</x:v>
      </x:c>
      <x:c r="P259" s="28" t="str">
        <x:v>прямое или классовое перекрытие характерных одорантов + вкусовой баланс</x:v>
      </x:c>
      <x:c r="Q259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яркая кислотность, сладость и выраженная терпкость. Баланс корректируется сахаром, кислотой, солью и горечью.</x:v>
      </x:c>
      <x:c r="R259" s="28" t="str">
        <x:v>слабый; кислотность усиливает свежесть; партнёр: кислотное покалывание зависит от плода; специальные эффекты указаны в паспорте</x:v>
      </x:c>
      <x:c r="S259" s="28" t="str">
        <x:v>водно-пектиновая; гидрофобные лактоны лучше проявляются в жире и этаноле. Партнёр: водный сок с полифенолами; семена дают хруст и лёгкую горечь.</x:v>
      </x:c>
      <x:c r="T25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U25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Гранат относится к группе «Субтропические фрукты» и даёт профиль «красно-фруктовый, цветочный, зелёный и винный»; типичные соединения или классы: гексаналь, (E)-2-гексеналь, эфиры, терпены; нелетучие пуникалагины и антоцианы. В рабочих профилях пересекаются: эфиры. Общие ароматические направления: цветочный,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яркая кислотность, сладость и выраженная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водный сок с полифенолами; семена дают хруст и лёгкую горечь.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V25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59" s="28" t="str">
        <x:v>мёд, цитрус или нейтральная жировая основа</x:v>
      </x:c>
      <x:c r="X259" s="28" t="str">
        <x:v>напиток, соус, десерт или горячее блюдо после пробной дегустации</x:v>
      </x:c>
      <x:c r="Y259" s="28" t="str">
        <x:v>напитки; еда; десерты; соусы/маринады</x:v>
      </x:c>
      <x:c r="Z259" s="28" t="str">
        <x:v>Средняя</x:v>
      </x:c>
      <x:c r="AA259" s="28" t="str">
        <x:v>The Art &amp; Science of Foodpairing.pdf</x:v>
      </x:c>
      <x:c r="AB259" s="28" t="str">
        <x:v>The Art &amp; Science of Foodpairing.pdf: 260–261</x:v>
      </x:c>
      <x:c r="AC259" s="28" t="str">
        <x:v>Ingredient pairings with peach and nectarine: pomegranate.</x:v>
      </x:c>
      <x:c r="AD259" s="28" t="n">
        <x:v>1</x:v>
      </x:c>
      <x:c r="AE259" s="28" t="n">
        <x:v>1</x:v>
      </x:c>
      <x:c r="AF259" s="28" t="n">
        <x:f>IF(Z259="Высокая",3,IF(Z259="Средняя",2,1))+AD259*2+MIN(AE259,3)</x:f>
        <x:v>5</x:v>
      </x:c>
    </x:row>
    <x:row r="260" ht="62" customHeight="1">
      <x:c r="A260" s="28" t="str">
        <x:v>STN-0259</x:v>
      </x:c>
      <x:c r="B260" s="28" t="str">
        <x:v>нектарин</x:v>
      </x:c>
      <x:c r="C260" s="28" t="str">
        <x:v>Десерты и выпечка</x:v>
      </x:c>
      <x:c r="D260" s="28" t="str">
        <x:v>нектарин</x:v>
      </x:c>
      <x:c r="E260" s="28" t="str">
        <x:v>nectarine</x:v>
      </x:c>
      <x:c r="F260" s="28" t="str">
        <x:v>Косточковые фрукты</x:v>
      </x:c>
      <x:c r="G260" s="28" t="str">
        <x:v>грейпфрут</x:v>
      </x:c>
      <x:c r="H260" s="28" t="str">
        <x:v>Grapefruit</x:v>
      </x:c>
      <x:c r="I260" s="28" t="str">
        <x:v>Цитрусовые</x:v>
      </x:c>
      <x:c r="J260" s="28" t="str">
        <x:v>персиковый, фруктовый, цветочный, зелёный, сливочно-лактонный</x:v>
      </x:c>
      <x:c r="K260" s="28" t="str">
        <x:v>цитрусовый, свежий, зелёный и цветочный</x:v>
      </x:c>
      <x:c r="L260" s="28" t="str">
        <x:v>γ- и δ-декалактон, γ- и δ-додекалактон, фруктовые эфиры, линалоол, бензальдегид, C6-альдегиды</x:v>
      </x:c>
      <x:c r="M260" s="28" t="str">
        <x:v>лимонен, цитраль, линалоол, γ-терпинен</x:v>
      </x:c>
      <x:c r="N260" s="28" t="str">
        <x:v>цветочный, зелёный</x:v>
      </x:c>
      <x:c r="O260" s="28" t="str">
        <x:v>линалоол</x:v>
      </x:c>
      <x:c r="P260" s="28" t="str">
        <x:v>прямое или классовое перекрытие характерных одорантов + вкусовой баланс</x:v>
      </x:c>
      <x:c r="Q260" s="28" t="str">
        <x:v>Близкие фруктовые эфиры создают непрерывность, а различия в кислотности, терпкости и сладости формируют контраст.</x:v>
      </x:c>
      <x:c r="R260" s="28" t="str">
        <x:v>слабый; кислотность усиливает свежесть; партнёр: кислота даёт покалывание и ощущение свежести</x:v>
      </x:c>
      <x:c r="S260" s="28" t="str">
        <x:v>водно-пектиновая; гидрофобные лактоны лучше проявляются в жире и этаноле. Партнёр: сок водный и кислый, цедра содержит гидрофобные эфирные масла.</x:v>
      </x:c>
      <x:c r="T26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26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Грейпфрут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26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60" s="28" t="str">
        <x:v>ваниль, мёд или розмарин</x:v>
      </x:c>
      <x:c r="X260" s="28" t="str">
        <x:v>сорбет, салат, джем, кордиал, лимонад, коктейль или фруктовый соус</x:v>
      </x:c>
      <x:c r="Y260" s="28" t="str">
        <x:v>напитки; десерты; соусы/маринады</x:v>
      </x:c>
      <x:c r="Z260" s="28" t="str">
        <x:v>Средняя</x:v>
      </x:c>
      <x:c r="AA260" s="28" t="str">
        <x:v>The Art &amp; Science of Foodpairing.pdf</x:v>
      </x:c>
      <x:c r="AB260" s="28" t="str">
        <x:v>The Art &amp; Science of Foodpairing.pdf: 359</x:v>
      </x:c>
      <x:c r="AC260" s="28" t="str">
        <x:v>Ингредиент «nectarine» указан на странице профиля/сетки сочетаний «Grapefruit».</x:v>
      </x:c>
      <x:c r="AD260" s="28" t="n">
        <x:v>1</x:v>
      </x:c>
      <x:c r="AE260" s="28" t="n">
        <x:v>1</x:v>
      </x:c>
      <x:c r="AF260" s="28" t="n">
        <x:f>IF(Z260="Высокая",3,IF(Z260="Средняя",2,1))+AD260*2+MIN(AE260,3)</x:f>
        <x:v>5</x:v>
      </x:c>
    </x:row>
    <x:row r="261" ht="62" customHeight="1">
      <x:c r="A261" s="28" t="str">
        <x:v>STN-0260</x:v>
      </x:c>
      <x:c r="B261" s="28" t="str">
        <x:v>нектарин</x:v>
      </x:c>
      <x:c r="C261" s="28" t="str">
        <x:v>Универсальные</x:v>
      </x:c>
      <x:c r="D261" s="28" t="str">
        <x:v>нектарин</x:v>
      </x:c>
      <x:c r="E261" s="28" t="str">
        <x:v>nectarine</x:v>
      </x:c>
      <x:c r="F261" s="28" t="str">
        <x:v>Косточковые фрукты</x:v>
      </x:c>
      <x:c r="G261" s="28" t="str">
        <x:v>груша</x:v>
      </x:c>
      <x:c r="H261" s="28" t="str">
        <x:v>груша</x:v>
      </x:c>
      <x:c r="I261" s="28" t="str">
        <x:v>Семечковые фрукты</x:v>
      </x:c>
      <x:c r="J261" s="28" t="str">
        <x:v>персиковый, фруктовый, цветочный, зелёный, сливочно-лактонный</x:v>
      </x:c>
      <x:c r="K261" s="28" t="str">
        <x:v>сочный фруктовый, цветочный, медовый, зелёный; у зрелых сортов — винный и пряный</x:v>
      </x:c>
      <x:c r="L261" s="28" t="str">
        <x:v>γ- и δ-декалактон, γ- и δ-додекалактон, фруктовые эфиры, линалоол, бензальдегид, C6-альдегиды</x:v>
      </x:c>
      <x:c r="M261" s="28" t="str">
        <x:v>этил (E,Z)-2,4-декадиеноат («грушевый эфир»), гексилацетат, бутилацетат, гексаналь, линалоол</x:v>
      </x:c>
      <x:c r="N261" s="28" t="str">
        <x:v>цветочный, фруктовый, зелёный</x:v>
      </x:c>
      <x:c r="O261" s="28" t="str">
        <x:v>линалоол</x:v>
      </x:c>
      <x:c r="P261" s="28" t="str">
        <x:v>прямое или классовое перекрытие характерных одорантов + вкусовой баланс</x:v>
      </x:c>
      <x:c r="Q261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мягкая сладость, умеренная кислотность, иногда лёгкая зернистость и терпкость. Баланс корректируется сахаром, кислотой, солью и горечью.</x:v>
      </x:c>
      <x:c r="R261" s="28" t="str">
        <x:v>слабый; кислотность усиливает свежесть; партнёр: кислотное покалывание зависит от плода; специальные эффекты указаны в паспорте</x:v>
      </x:c>
      <x:c r="S261" s="28" t="str">
        <x:v>водно-пектиновая; гидрофобные лактоны лучше проявляются в жире и этаноле. Партнёр: водная, богатая пектином и каменистыми клетками; летучие эфиры чувствительны к перегреву.</x:v>
      </x:c>
      <x:c r="T26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U26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Груша относится к группе «Семечковые фрукты» и даёт профиль «сочный фруктовый, цветочный, медовый, зелёный; у зрелых сортов — винный и пряный»; типичные соединения или классы: этил (E,Z)-2,4-декадиеноат («грушевый эфир»), гексилацетат, бутилацетат, гексаналь, линалоол. В рабочих профилях пересекаются: линалоол. Общие ароматические направления: цветочный,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мягкая сладость, умеренная кислотность, иногда лёгкая зернистость и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водная, богатая пектином и каменистыми клетками; летучие эфиры чувствительны к перегреву.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V26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61" s="28" t="str">
        <x:v>мёд, цитрус или нейтральная жировая основа</x:v>
      </x:c>
      <x:c r="X261" s="28" t="str">
        <x:v>напиток, соус, десерт или горячее блюдо после пробной дегустации</x:v>
      </x:c>
      <x:c r="Y261" s="28" t="str">
        <x:v>напитки; еда; десерты; соусы/маринады</x:v>
      </x:c>
      <x:c r="Z261" s="28" t="str">
        <x:v>Гипотеза / практическая</x:v>
      </x:c>
      <x:c r="AA261" s="28" t="str">
        <x:v>The Art &amp; Science of Foodpairing.pdf</x:v>
      </x:c>
      <x:c r="AB261" s="28" t="str">
        <x:v>The Art &amp; Science of Foodpairing.pdf: The Art &amp; Science of Foodpairing: 351</x:v>
      </x:c>
      <x:c r="AC261" s="28" t="str">
        <x:v>The Art &amp; Science of Foodpairing: Ингредиент указан в указателе книги на страницах профиля и pairing grids для «груша»: 351.</x:v>
      </x:c>
      <x:c r="AD261" s="28" t="n">
        <x:v>1</x:v>
      </x:c>
      <x:c r="AE261" s="28" t="n">
        <x:v>1</x:v>
      </x:c>
      <x:c r="AF261" s="28" t="n">
        <x:f>IF(Z261="Высокая",3,IF(Z261="Средняя",2,1))+AD261*2+MIN(AE261,3)</x:f>
        <x:v>4</x:v>
      </x:c>
    </x:row>
    <x:row r="262" ht="62" customHeight="1">
      <x:c r="A262" s="28" t="str">
        <x:v>STN-0261</x:v>
      </x:c>
      <x:c r="B262" s="28" t="str">
        <x:v>нектарин</x:v>
      </x:c>
      <x:c r="C262" s="28" t="str">
        <x:v>Десерты и выпечка</x:v>
      </x:c>
      <x:c r="D262" s="28" t="str">
        <x:v>нектарин</x:v>
      </x:c>
      <x:c r="E262" s="28" t="str">
        <x:v>nectarine</x:v>
      </x:c>
      <x:c r="F262" s="28" t="str">
        <x:v>Косточковые фрукты</x:v>
      </x:c>
      <x:c r="G262" s="28" t="str">
        <x:v>груша conference</x:v>
      </x:c>
      <x:c r="H262" s="28" t="str">
        <x:v>Conference pear</x:v>
      </x:c>
      <x:c r="I262" s="28" t="str">
        <x:v>Фрукты</x:v>
      </x:c>
      <x:c r="J262" s="28" t="str">
        <x:v>персиковый, фруктовый, цветочный, зелёный, сливочно-лактонный</x:v>
      </x:c>
      <x:c r="K262" s="28" t="str">
        <x:v>зелёный, фруктовый, цветочный</x:v>
      </x:c>
      <x:c r="L262" s="28" t="str">
        <x:v>γ- и δ-декалактон, γ- и δ-додекалактон, фруктовые эфиры, линалоол, бензальдегид, C6-альдегиды</x:v>
      </x:c>
      <x:c r="M262" s="28" t="str">
        <x:v>лактоны, терпены, эфиры</x:v>
      </x:c>
      <x:c r="N262" s="28" t="str">
        <x:v>цветочный, фруктовый, зелёный</x:v>
      </x:c>
      <x:c r="O262" s="28" t="str">
        <x:v>эфиры</x:v>
      </x:c>
      <x:c r="P262" s="28" t="str">
        <x:v>прямое или классовое перекрытие характерных одорантов + вкусовой баланс</x:v>
      </x:c>
      <x:c r="Q262" s="28" t="str">
        <x:v>Близкие фруктовые эфиры создают непрерывность, а различия в кислотности, терпкости и сладости формируют контраст.</x:v>
      </x:c>
      <x:c r="R262" s="28" t="str">
        <x:v>слабый; кислотность усиливает свежесть; партнёр: обычно отсутствует; зависит от конкретного продукта</x:v>
      </x:c>
      <x:c r="S262" s="28" t="str">
        <x:v>водно-пектиновая; гидрофобные лактоны лучше проявляются в жире и этаноле. Партнёр: водная фруктовая матрица.</x:v>
      </x:c>
      <x:c r="T26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26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Груша conference относится к группе «Фрукты» и даёт профиль «зелёный, фруктовый, цветочный»; типичные соединения или классы: лактоны, терпены, эфиры.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фруктовая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26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62" s="28" t="str">
        <x:v>цитрус, мята или ваниль</x:v>
      </x:c>
      <x:c r="X262" s="28" t="str">
        <x:v>сорбет, салат, джем, кордиал, лимонад, коктейль или фруктовый соус</x:v>
      </x:c>
      <x:c r="Y262" s="28" t="str">
        <x:v>напитки; десерты; соусы/маринады</x:v>
      </x:c>
      <x:c r="Z262" s="28" t="str">
        <x:v>Средняя</x:v>
      </x:c>
      <x:c r="AA262" s="28" t="str">
        <x:v>The Art &amp; Science of Foodpairing.pdf</x:v>
      </x:c>
      <x:c r="AB262" s="28" t="str">
        <x:v>The Art &amp; Science of Foodpairing.pdf: 351</x:v>
      </x:c>
      <x:c r="AC262" s="28" t="str">
        <x:v>Ингредиент «nectarine» указан на странице профиля/сетки сочетаний «Conference pear».</x:v>
      </x:c>
      <x:c r="AD262" s="28" t="n">
        <x:v>1</x:v>
      </x:c>
      <x:c r="AE262" s="28" t="n">
        <x:v>1</x:v>
      </x:c>
      <x:c r="AF262" s="28" t="n">
        <x:f>IF(Z262="Высокая",3,IF(Z262="Средняя",2,1))+AD262*2+MIN(AE262,3)</x:f>
        <x:v>5</x:v>
      </x:c>
    </x:row>
    <x:row r="263" ht="62" customHeight="1">
      <x:c r="A263" s="28" t="str">
        <x:v>STN-0262</x:v>
      </x:c>
      <x:c r="B263" s="28" t="str">
        <x:v>нектарин</x:v>
      </x:c>
      <x:c r="C263" s="28" t="str">
        <x:v>Универсальные</x:v>
      </x:c>
      <x:c r="D263" s="28" t="str">
        <x:v>нектарин</x:v>
      </x:c>
      <x:c r="E263" s="28" t="str">
        <x:v>nectarine</x:v>
      </x:c>
      <x:c r="F263" s="28" t="str">
        <x:v>Косточковые фрукты</x:v>
      </x:c>
      <x:c r="G263" s="28" t="str">
        <x:v>грюйер</x:v>
      </x:c>
      <x:c r="H263" s="28" t="str">
        <x:v>Gruyere</x:v>
      </x:c>
      <x:c r="I263" s="28" t="str">
        <x:v>Молочные продукты и сыры</x:v>
      </x:c>
      <x:c r="J263" s="28" t="str">
        <x:v>персиковый, фруктовый, цветочный, зелёный, сливочно-лактонный</x:v>
      </x:c>
      <x:c r="K263" s="28" t="str">
        <x:v>масляный, молочный, сливочный, сырный</x:v>
      </x:c>
      <x:c r="L263" s="28" t="str">
        <x:v>γ- и δ-декалактон, γ- и δ-додекалактон, фруктовые эфиры, линалоол, бензальдегид, C6-альдегиды</x:v>
      </x:c>
      <x:c r="M263" s="28" t="str">
        <x:v>диацетил, жирные кислоты, лактоны</x:v>
      </x:c>
      <x:c r="N263" s="28" t="str">
        <x:v>прямое семейное перекрытие не является главным механизмом</x:v>
      </x:c>
      <x:c r="O263" s="28" t="str">
        <x:v>надёжный единичный общий маркер не подтверждён; механизм не сводится к одной молекуле</x:v>
      </x:c>
      <x:c r="P263" s="28" t="str">
        <x:v>комплементарность ароматических семейств, вкусовой контраст и матричный эффект</x:v>
      </x:c>
      <x:c r="Q263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жирный, кислый/солёный. Баланс корректируется сахаром, кислотой, солью и горечью.</x:v>
      </x:c>
      <x:c r="R263" s="28" t="str">
        <x:v>слабый; кислотность усиливает свежесть; партнёр: обычно отсутствует; зависит от конкретного продукта</x:v>
      </x:c>
      <x:c r="S263" s="28" t="str">
        <x:v>водно-пектиновая; гидрофобные лактоны лучше проявляются в жире и этаноле. Партнёр: жировая и белковая матрица смягчает кислотность.</x:v>
      </x:c>
      <x:c r="T26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26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Грюйер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жирный, кислый/солёный.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жировая и белковая матрица смягчает кислотность.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26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63" s="28" t="str">
        <x:v>мёд, цитрус или нейтральная жировая основа</x:v>
      </x:c>
      <x:c r="X263" s="28" t="str">
        <x:v>напиток, соус, десерт или горячее блюдо после пробной дегустации</x:v>
      </x:c>
      <x:c r="Y263" s="28" t="str">
        <x:v>напитки; еда; десерты; соусы/маринады</x:v>
      </x:c>
      <x:c r="Z263" s="28" t="str">
        <x:v>Средняя</x:v>
      </x:c>
      <x:c r="AA263" s="28" t="str">
        <x:v>The Art &amp; Science of Foodpairing.pdf</x:v>
      </x:c>
      <x:c r="AB263" s="28" t="str">
        <x:v>The Art &amp; Science of Foodpairing.pdf: 260–261</x:v>
      </x:c>
      <x:c r="AC263" s="28" t="str">
        <x:v>Ingredient pairings with peach and nectarine: Gruyere.</x:v>
      </x:c>
      <x:c r="AD263" s="28" t="n">
        <x:v>1</x:v>
      </x:c>
      <x:c r="AE263" s="28" t="n">
        <x:v>1</x:v>
      </x:c>
      <x:c r="AF263" s="28" t="n">
        <x:f>IF(Z263="Высокая",3,IF(Z263="Средняя",2,1))+AD263*2+MIN(AE263,3)</x:f>
        <x:v>5</x:v>
      </x:c>
    </x:row>
    <x:row r="264" ht="62" customHeight="1">
      <x:c r="A264" s="28" t="str">
        <x:v>STN-0263</x:v>
      </x:c>
      <x:c r="B264" s="28" t="str">
        <x:v>нектарин</x:v>
      </x:c>
      <x:c r="C264" s="28" t="str">
        <x:v>Еда и соусы</x:v>
      </x:c>
      <x:c r="D264" s="28" t="str">
        <x:v>нектарин</x:v>
      </x:c>
      <x:c r="E264" s="28" t="str">
        <x:v>nectarine</x:v>
      </x:c>
      <x:c r="F264" s="28" t="str">
        <x:v>Косточковые фрукты</x:v>
      </x:c>
      <x:c r="G264" s="28" t="str">
        <x:v>доджанг</x:v>
      </x:c>
      <x:c r="H264" s="28" t="str">
        <x:v>doenjang (Korean fermented soybean paste)</x:v>
      </x:c>
      <x:c r="I264" s="28" t="str">
        <x:v>Ферментированные продукты, соусы и уксусы</x:v>
      </x:c>
      <x:c r="J264" s="28" t="str">
        <x:v>персиковый, фруктовый, цветочный, зелёный, сливочно-лактонный</x:v>
      </x:c>
      <x:c r="K264" s="28" t="str">
        <x:v>кислый, умами, ферментированный</x:v>
      </x:c>
      <x:c r="L264" s="28" t="str">
        <x:v>γ- и δ-декалактон, γ- и δ-додекалактон, фруктовые эфиры, линалоол, бензальдегид, C6-альдегиды</x:v>
      </x:c>
      <x:c r="M264" s="28" t="str">
        <x:v>аминокислоты, органические кислоты, эфиры</x:v>
      </x:c>
      <x:c r="N264" s="28" t="str">
        <x:v>прямое семейное перекрытие не является главным механизмом</x:v>
      </x:c>
      <x:c r="O264" s="28" t="str">
        <x:v>эфиры</x:v>
      </x:c>
      <x:c r="P264" s="28" t="str">
        <x:v>прямое или классовое перекрытие характерных одорантов + вкусовой баланс</x:v>
      </x:c>
      <x:c r="Q264" s="28" t="str">
        <x:v>Кислота, соль и умами усиливают контраст с фруктовой сладостью; сочетание работает в малой дозировке как приправа.</x:v>
      </x:c>
      <x:c r="R264" s="28" t="str">
        <x:v>слабый; кислотность усиливает свежесть; партнёр: обычно отсутствует; зависит от конкретного продукта</x:v>
      </x:c>
      <x:c r="S264" s="28" t="str">
        <x:v>водно-пектиновая; гидрофобные лактоны лучше проявляются в жире и этаноле. Партнёр: вода, соль и продукты ферментации.</x:v>
      </x:c>
      <x:c r="T26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26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Доджанг относится к группе «Ферментированные продукты, соусы и уксусы» и даёт профиль «кислый, умами, ферментированный»; типичные соединения или классы: аминокислоты, органические кислоты, эфиры. В рабочих профилях пересекаются: эфиры. Кислота, соль и умами усиливают контраст с фруктовой сладостью; сочетание работает в малой дозировке как приправа. Матрица пары: водно-пектиновая; гидрофобные лактоны лучше проявляются в жире и этаноле. Партнёр: вода, соль и продукты ферментации.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264" s="28" t="str">
        <x:v>не перегревать и не переслащивать; иначе исчезает свежая фруктовая детализация. Соль и кислота быстро становятся доминирующими; используйте как акцент.</x:v>
      </x:c>
      <x:c r="W264" s="28" t="str">
        <x:v>мёд, имбирь или соевый соус</x:v>
      </x:c>
      <x:c r="X264" s="28" t="str">
        <x:v>соус, глазировка, чатни, маринад, гарнир или основное блюдо</x:v>
      </x:c>
      <x:c r="Y264" s="28" t="str">
        <x:v>еда; соусы/маринады</x:v>
      </x:c>
      <x:c r="Z264" s="28" t="str">
        <x:v>Средняя</x:v>
      </x:c>
      <x:c r="AA264" s="28" t="str">
        <x:v>The Art &amp; Science of Foodpairing.pdf</x:v>
      </x:c>
      <x:c r="AB264" s="28" t="str">
        <x:v>The Art &amp; Science of Foodpairing.pdf: 260–261</x:v>
      </x:c>
      <x:c r="AC264" s="28" t="str">
        <x:v>Ingredient pairings with peach and nectarine: doenjang (Korean fermented soybean paste).</x:v>
      </x:c>
      <x:c r="AD264" s="28" t="n">
        <x:v>1</x:v>
      </x:c>
      <x:c r="AE264" s="28" t="n">
        <x:v>1</x:v>
      </x:c>
      <x:c r="AF264" s="28" t="n">
        <x:f>IF(Z264="Высокая",3,IF(Z264="Средняя",2,1))+AD264*2+MIN(AE264,3)</x:f>
        <x:v>5</x:v>
      </x:c>
    </x:row>
    <x:row r="265" ht="62" customHeight="1">
      <x:c r="A265" s="28" t="str">
        <x:v>STN-0264</x:v>
      </x:c>
      <x:c r="B265" s="28" t="str">
        <x:v>нектарин</x:v>
      </x:c>
      <x:c r="C265" s="28" t="str">
        <x:v>Десерты и выпечка</x:v>
      </x:c>
      <x:c r="D265" s="28" t="str">
        <x:v>нектарин</x:v>
      </x:c>
      <x:c r="E265" s="28" t="str">
        <x:v>nectarine</x:v>
      </x:c>
      <x:c r="F265" s="28" t="str">
        <x:v>Косточковые фрукты</x:v>
      </x:c>
      <x:c r="G265" s="28" t="str">
        <x:v>дыня ханидью</x:v>
      </x:c>
      <x:c r="H265" s="28" t="str">
        <x:v>honeydew melon</x:v>
      </x:c>
      <x:c r="I265" s="28" t="str">
        <x:v>Фрукты</x:v>
      </x:c>
      <x:c r="J265" s="28" t="str">
        <x:v>персиковый, фруктовый, цветочный, зелёный, сливочно-лактонный</x:v>
      </x:c>
      <x:c r="K265" s="28" t="str">
        <x:v>фруктовый, цветочный, зелёный или тропический</x:v>
      </x:c>
      <x:c r="L265" s="28" t="str">
        <x:v>γ- и δ-декалактон, γ- и δ-додекалактон, фруктовые эфиры, линалоол, бензальдегид, C6-альдегиды</x:v>
      </x:c>
      <x:c r="M265" s="28" t="str">
        <x:v>фруктовые эфиры, терпены, альдегиды и лактоны</x:v>
      </x:c>
      <x:c r="N265" s="28" t="str">
        <x:v>цветочный, фруктовый, зелёный</x:v>
      </x:c>
      <x:c r="O265" s="28" t="str">
        <x:v>фруктовые эфиры</x:v>
      </x:c>
      <x:c r="P265" s="28" t="str">
        <x:v>прямое или классовое перекрытие характерных одорантов + вкусовой баланс</x:v>
      </x:c>
      <x:c r="Q265" s="28" t="str">
        <x:v>Близкие фруктовые эфиры создают непрерывность, а различия в кислотности, терпкости и сладости формируют контраст.</x:v>
      </x:c>
      <x:c r="R265" s="28" t="str">
        <x:v>слабый; кислотность усиливает свежесть; партнёр: обычно слабый</x:v>
      </x:c>
      <x:c r="S265" s="28" t="str">
        <x:v>водно-пектиновая; гидрофобные лактоны лучше проявляются в жире и этаноле. Партнёр: преимущественно водно-пектиновая матрица.</x:v>
      </x:c>
      <x:c r="T26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26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Дыня ханидью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26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65" s="28" t="str">
        <x:v>цитрус, мята или ваниль</x:v>
      </x:c>
      <x:c r="X265" s="28" t="str">
        <x:v>сорбет, салат, джем, кордиал, лимонад, коктейль или фруктовый соус</x:v>
      </x:c>
      <x:c r="Y265" s="28" t="str">
        <x:v>напитки; десерты; соусы/маринады</x:v>
      </x:c>
      <x:c r="Z265" s="28" t="str">
        <x:v>Средняя</x:v>
      </x:c>
      <x:c r="AA265" s="28" t="str">
        <x:v>The Art &amp; Science of Foodpairing.pdf</x:v>
      </x:c>
      <x:c r="AB265" s="28" t="str">
        <x:v>The Art &amp; Science of Foodpairing.pdf: 260–261</x:v>
      </x:c>
      <x:c r="AC265" s="28" t="str">
        <x:v>Ingredient pairings with peach and nectarine: honeydew melon.</x:v>
      </x:c>
      <x:c r="AD265" s="28" t="n">
        <x:v>1</x:v>
      </x:c>
      <x:c r="AE265" s="28" t="n">
        <x:v>1</x:v>
      </x:c>
      <x:c r="AF265" s="28" t="n">
        <x:f>IF(Z265="Высокая",3,IF(Z265="Средняя",2,1))+AD265*2+MIN(AE265,3)</x:f>
        <x:v>5</x:v>
      </x:c>
    </x:row>
    <x:row r="266" ht="62" customHeight="1">
      <x:c r="A266" s="28" t="str">
        <x:v>STN-0265</x:v>
      </x:c>
      <x:c r="B266" s="28" t="str">
        <x:v>нектарин</x:v>
      </x:c>
      <x:c r="C266" s="28" t="str">
        <x:v>Десерты и выпечка</x:v>
      </x:c>
      <x:c r="D266" s="28" t="str">
        <x:v>нектарин</x:v>
      </x:c>
      <x:c r="E266" s="28" t="str">
        <x:v>nectarine</x:v>
      </x:c>
      <x:c r="F266" s="28" t="str">
        <x:v>Косточковые фрукты</x:v>
      </x:c>
      <x:c r="G266" s="28" t="str">
        <x:v>ежевика</x:v>
      </x:c>
      <x:c r="H266" s="28" t="str">
        <x:v>ежевика | blackberry</x:v>
      </x:c>
      <x:c r="I266" s="28" t="str">
        <x:v>Ягоды</x:v>
      </x:c>
      <x:c r="J266" s="28" t="str">
        <x:v>персиковый, фруктовый, цветочный, зелёный, сливочно-лактонный</x:v>
      </x:c>
      <x:c r="K266" s="28" t="str">
        <x:v>красно-фруктовый, цветочный, зелёный и иногда сернистый</x:v>
      </x:c>
      <x:c r="L266" s="28" t="str">
        <x:v>γ- и δ-декалактон, γ- и δ-додекалактон, фруктовые эфиры, линалоол, бензальдегид, C6-альдегиды</x:v>
      </x:c>
      <x:c r="M266" s="28" t="str">
        <x:v>фуранеол, эфиры, иононы, зелёные альдегиды</x:v>
      </x:c>
      <x:c r="N266" s="28" t="str">
        <x:v>цветочный, фруктовый, зелёный</x:v>
      </x:c>
      <x:c r="O266" s="28" t="str">
        <x:v>эфиры</x:v>
      </x:c>
      <x:c r="P266" s="28" t="str">
        <x:v>прямое или классовое перекрытие характерных одорантов + вкусовой баланс</x:v>
      </x:c>
      <x:c r="Q266" s="28" t="str">
        <x:v>Близкие фруктовые эфиры создают непрерывность, а различия в кислотности, терпкости и сладости формируют контраст.</x:v>
      </x:c>
      <x:c r="R266" s="28" t="str">
        <x:v>слабый; кислотность усиливает свежесть; партнёр: обычно слабый; кислота усиливает свежесть</x:v>
      </x:c>
      <x:c r="S266" s="28" t="str">
        <x:v>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</x:v>
      </x:c>
      <x:c r="T26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26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Ежевика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26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66" s="28" t="str">
        <x:v>ваниль, мята или миндаль</x:v>
      </x:c>
      <x:c r="X266" s="28" t="str">
        <x:v>сорбет, салат, джем, кордиал, лимонад, коктейль или фруктовый соус</x:v>
      </x:c>
      <x:c r="Y266" s="28" t="str">
        <x:v>напитки; десерты; соусы/маринады</x:v>
      </x:c>
      <x:c r="Z266" s="28" t="str">
        <x:v>Высокая</x:v>
      </x:c>
      <x:c r="AA266" s="28" t="str">
        <x:v>The Art &amp; Science of Foodpairing.pdf | Таблица сочетания(1).pdf</x:v>
      </x:c>
      <x:c r="AB266" s="28" t="str">
        <x:v>Таблица сочетания(1).pdf: Таблица сочетаний: 14 | Таблица сочетания(1).pdf: 14 | The Art &amp; Science of Foodpairing.pdf: 260–261</x:v>
      </x:c>
      <x:c r="AC266" s="28" t="str">
        <x:v>Нектарин: ежевика Пара указана в строке «Нектарин» → колонка «Фрукты». Ingredient pairings with peach and nectarine: blackberry.</x:v>
      </x:c>
      <x:c r="AD266" s="28" t="n">
        <x:v>2</x:v>
      </x:c>
      <x:c r="AE266" s="28" t="n">
        <x:v>3</x:v>
      </x:c>
      <x:c r="AF266" s="28" t="n">
        <x:f>IF(Z266="Высокая",3,IF(Z266="Средняя",2,1))+AD266*2+MIN(AE266,3)</x:f>
        <x:v>10</x:v>
      </x:c>
    </x:row>
    <x:row r="267" ht="62" customHeight="1">
      <x:c r="A267" s="28" t="str">
        <x:v>STN-0266</x:v>
      </x:c>
      <x:c r="B267" s="28" t="str">
        <x:v>нектарин</x:v>
      </x:c>
      <x:c r="C267" s="28" t="str">
        <x:v>Универсальные</x:v>
      </x:c>
      <x:c r="D267" s="28" t="str">
        <x:v>нектарин</x:v>
      </x:c>
      <x:c r="E267" s="28" t="str">
        <x:v>nectarine</x:v>
      </x:c>
      <x:c r="F267" s="28" t="str">
        <x:v>Косточковые фрукты</x:v>
      </x:c>
      <x:c r="G267" s="28" t="str">
        <x:v>жареное филе куриной грудки</x:v>
      </x:c>
      <x:c r="H267" s="28" t="str">
        <x:v>pan-fried chicken breast fillet</x:v>
      </x:c>
      <x:c r="I267" s="28" t="str">
        <x:v>Прочее</x:v>
      </x:c>
      <x:c r="J267" s="28" t="str">
        <x:v>персиковый, фруктовый, цветочный, зелёный, сливочно-лактонный</x:v>
      </x:c>
      <x:c r="K267" s="28" t="str">
        <x:v>ароматический профиль зависит от конкретного ингредиента</x:v>
      </x:c>
      <x:c r="L267" s="28" t="str">
        <x:v>γ- и δ-декалактон, γ- и δ-додекалактон, фруктовые эфиры, линалоол, бензальдегид, C6-альдегиды</x:v>
      </x:c>
      <x:c r="M267" s="28" t="str">
        <x:v>летучие соединения конкретного продукта</x:v>
      </x:c>
      <x:c r="N267" s="28" t="str">
        <x:v>прямое семейное перекрытие не является главным механизмом</x:v>
      </x:c>
      <x:c r="O267" s="28" t="str">
        <x:v>надёжный единичный общий маркер не подтверждён; механизм не сводится к одной молекуле</x:v>
      </x:c>
      <x:c r="P267" s="28" t="str">
        <x:v>комплементарность ароматических семейств, вкусовой контраст и матричный эффект</x:v>
      </x:c>
      <x:c r="Q267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</x:v>
      </x:c>
      <x:c r="R267" s="28" t="str">
        <x:v>слабый; кислотность усиливает свежесть; партнёр: возможен в зависимости от состава</x:v>
      </x:c>
      <x:c r="S267" s="28" t="str">
        <x:v>водно-пектиновая; гидрофобные лактоны лучше проявляются в жире и этаноле. Партнёр: важны вода, жир, белок, сахар и температура.</x:v>
      </x:c>
      <x:c r="T26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U26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Жареное филе куриной грудки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важны вода, жир, белок, сахар и температура.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V26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67" s="28" t="str">
        <x:v>мёд, цитрус или нейтральная жировая основа</x:v>
      </x:c>
      <x:c r="X267" s="28" t="str">
        <x:v>напиток, соус, десерт или горячее блюдо после пробной дегустации</x:v>
      </x:c>
      <x:c r="Y267" s="28" t="str">
        <x:v>напитки; еда; десерты; соусы/маринады</x:v>
      </x:c>
      <x:c r="Z267" s="28" t="str">
        <x:v>Средняя</x:v>
      </x:c>
      <x:c r="AA267" s="28" t="str">
        <x:v>The Art &amp; Science of Foodpairing.pdf</x:v>
      </x:c>
      <x:c r="AB267" s="28" t="str">
        <x:v>The Art &amp; Science of Foodpairing.pdf: 260–261</x:v>
      </x:c>
      <x:c r="AC267" s="28" t="str">
        <x:v>Ingredient pairings with peach and nectarine: pan-fried chicken breast fillet.</x:v>
      </x:c>
      <x:c r="AD267" s="28" t="n">
        <x:v>1</x:v>
      </x:c>
      <x:c r="AE267" s="28" t="n">
        <x:v>1</x:v>
      </x:c>
      <x:c r="AF267" s="28" t="n">
        <x:f>IF(Z267="Высокая",3,IF(Z267="Средняя",2,1))+AD267*2+MIN(AE267,3)</x:f>
        <x:v>5</x:v>
      </x:c>
    </x:row>
    <x:row r="268" ht="62" customHeight="1">
      <x:c r="A268" s="28" t="str">
        <x:v>STN-0267</x:v>
      </x:c>
      <x:c r="B268" s="28" t="str">
        <x:v>нектарин</x:v>
      </x:c>
      <x:c r="C268" s="28" t="str">
        <x:v>Еда и соусы</x:v>
      </x:c>
      <x:c r="D268" s="28" t="str">
        <x:v>нектарин</x:v>
      </x:c>
      <x:c r="E268" s="28" t="str">
        <x:v>nectarine</x:v>
      </x:c>
      <x:c r="F268" s="28" t="str">
        <x:v>Косточковые фрукты</x:v>
      </x:c>
      <x:c r="G268" s="28" t="str">
        <x:v>запеченная индейка</x:v>
      </x:c>
      <x:c r="H268" s="28" t="str">
        <x:v>roast turkey</x:v>
      </x:c>
      <x:c r="I268" s="28" t="str">
        <x:v>Мясо и птица</x:v>
      </x:c>
      <x:c r="J268" s="28" t="str">
        <x:v>персиковый, фруктовый, цветочный, зелёный, сливочно-лактонный</x:v>
      </x:c>
      <x:c r="K268" s="28" t="str">
        <x:v>жареный, мясной, жирный, иногда копчёный и пряный</x:v>
      </x:c>
      <x:c r="L268" s="28" t="str">
        <x:v>γ- и δ-декалактон, γ- и δ-додекалактон, фруктовые эфиры, линалоол, бензальдегид, C6-альдегиды</x:v>
      </x:c>
      <x:c r="M268" s="28" t="str">
        <x:v>пиразины, фураны, сернистые соединения, продукты Майяра, жирные альдегиды</x:v>
      </x:c>
      <x:c r="N268" s="28" t="str">
        <x:v>прямое семейное перекрытие не является главным механизмом</x:v>
      </x:c>
      <x:c r="O268" s="28" t="str">
        <x:v>надёжный единичный общий маркер не подтверждён; механизм не сводится к одной молекуле</x:v>
      </x:c>
      <x:c r="P268" s="28" t="str">
        <x:v>комплементарность ароматических семейств, вкусовой контраст и матричный эффект</x:v>
      </x:c>
      <x:c r="Q268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268" s="28" t="str">
        <x:v>слабый; кислотность усиливает свежесть; партнёр: тепловой/пряный зависит от обработки</x:v>
      </x:c>
      <x:c r="S268" s="28" t="str">
        <x:v>водно-пектиновая; гидрофобные лактоны лучше проявляются в жире и этаноле. Партнёр: жир удерживает фруктовые лактоны; белок смягчает кислотность.</x:v>
      </x:c>
      <x:c r="T268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U26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Запеченная индейка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V268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W268" s="28" t="str">
        <x:v>розмарин, горчица или хересный уксус</x:v>
      </x:c>
      <x:c r="X268" s="28" t="str">
        <x:v>соус, глазировка, чатни, маринад, гарнир или основное блюдо</x:v>
      </x:c>
      <x:c r="Y268" s="28" t="str">
        <x:v>еда; соусы/маринады</x:v>
      </x:c>
      <x:c r="Z268" s="28" t="str">
        <x:v>Средняя</x:v>
      </x:c>
      <x:c r="AA268" s="28" t="str">
        <x:v>The Art &amp; Science of Foodpairing.pdf</x:v>
      </x:c>
      <x:c r="AB268" s="28" t="str">
        <x:v>The Art &amp; Science of Foodpairing.pdf: 260–261</x:v>
      </x:c>
      <x:c r="AC268" s="28" t="str">
        <x:v>Ingredient pairings with peach and nectarine: roast turkey.</x:v>
      </x:c>
      <x:c r="AD268" s="28" t="n">
        <x:v>1</x:v>
      </x:c>
      <x:c r="AE268" s="28" t="n">
        <x:v>1</x:v>
      </x:c>
      <x:c r="AF268" s="28" t="n">
        <x:f>IF(Z268="Высокая",3,IF(Z268="Средняя",2,1))+AD268*2+MIN(AE268,3)</x:f>
        <x:v>5</x:v>
      </x:c>
    </x:row>
    <x:row r="269" ht="62" customHeight="1">
      <x:c r="A269" s="28" t="str">
        <x:v>STN-0268</x:v>
      </x:c>
      <x:c r="B269" s="28" t="str">
        <x:v>нектарин</x:v>
      </x:c>
      <x:c r="C269" s="28" t="str">
        <x:v>Еда и соусы</x:v>
      </x:c>
      <x:c r="D269" s="28" t="str">
        <x:v>нектарин</x:v>
      </x:c>
      <x:c r="E269" s="28" t="str">
        <x:v>nectarine</x:v>
      </x:c>
      <x:c r="F269" s="28" t="str">
        <x:v>Косточковые фрукты</x:v>
      </x:c>
      <x:c r="G269" s="28" t="str">
        <x:v>запеченная кольраби</x:v>
      </x:c>
      <x:c r="H269" s="28" t="str">
        <x:v>baked kohlrabi</x:v>
      </x:c>
      <x:c r="I269" s="28" t="str">
        <x:v>Овощи и корнеплоды</x:v>
      </x:c>
      <x:c r="J269" s="28" t="str">
        <x:v>персиковый, фруктовый, цветочный, зелёный, сливочно-лактонный</x:v>
      </x:c>
      <x:c r="K269" s="28" t="str">
        <x:v>зелёный, землистый, сладковатый или сернистый</x:v>
      </x:c>
      <x:c r="L269" s="28" t="str">
        <x:v>γ- и δ-декалактон, γ- и δ-додекалактон, фруктовые эфиры, линалоол, бензальдегид, C6-альдегиды</x:v>
      </x:c>
      <x:c r="M269" s="28" t="str">
        <x:v>C6-альдегиды, метоксипиразины, терпены, сернистые соединения</x:v>
      </x:c>
      <x:c r="N269" s="28" t="str">
        <x:v>зелёный</x:v>
      </x:c>
      <x:c r="O269" s="28" t="str">
        <x:v>c6-альдегиды</x:v>
      </x:c>
      <x:c r="P269" s="28" t="str">
        <x:v>прямое или классовое перекрытие характерных одорантов + вкусовой баланс</x:v>
      </x:c>
      <x:c r="Q269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</x:v>
      </x:c>
      <x:c r="R269" s="28" t="str">
        <x:v>слабый; кислотность усиливает свежесть; партнёр: зависит от продукта</x:v>
      </x:c>
      <x:c r="S269" s="28" t="str">
        <x:v>водно-пектиновая; гидрофобные лактоны лучше проявляются в жире и этаноле. Партнёр: водная и клетчаточная матрица; обжарка усиливает сладость и Майяр.</x:v>
      </x:c>
      <x:c r="T26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26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Запеченная кольраби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26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69" s="28" t="str">
        <x:v>мёд, травы или уксус</x:v>
      </x:c>
      <x:c r="X269" s="28" t="str">
        <x:v>соус, глазировка, чатни, маринад, гарнир или основное блюдо</x:v>
      </x:c>
      <x:c r="Y269" s="28" t="str">
        <x:v>еда; соусы/маринады</x:v>
      </x:c>
      <x:c r="Z269" s="28" t="str">
        <x:v>Средняя</x:v>
      </x:c>
      <x:c r="AA269" s="28" t="str">
        <x:v>The Art &amp; Science of Foodpairing.pdf</x:v>
      </x:c>
      <x:c r="AB269" s="28" t="str">
        <x:v>The Art &amp; Science of Foodpairing.pdf: 260–261</x:v>
      </x:c>
      <x:c r="AC269" s="28" t="str">
        <x:v>Ingredient pairings with peach and nectarine: baked kohlrabi.</x:v>
      </x:c>
      <x:c r="AD269" s="28" t="n">
        <x:v>1</x:v>
      </x:c>
      <x:c r="AE269" s="28" t="n">
        <x:v>1</x:v>
      </x:c>
      <x:c r="AF269" s="28" t="n">
        <x:f>IF(Z269="Высокая",3,IF(Z269="Средняя",2,1))+AD269*2+MIN(AE269,3)</x:f>
        <x:v>5</x:v>
      </x:c>
    </x:row>
    <x:row r="270" ht="62" customHeight="1">
      <x:c r="A270" s="28" t="str">
        <x:v>STN-0269</x:v>
      </x:c>
      <x:c r="B270" s="28" t="str">
        <x:v>нектарин</x:v>
      </x:c>
      <x:c r="C270" s="28" t="str">
        <x:v>Еда и соусы</x:v>
      </x:c>
      <x:c r="D270" s="28" t="str">
        <x:v>нектарин</x:v>
      </x:c>
      <x:c r="E270" s="28" t="str">
        <x:v>nectarine</x:v>
      </x:c>
      <x:c r="F270" s="28" t="str">
        <x:v>Косточковые фрукты</x:v>
      </x:c>
      <x:c r="G270" s="28" t="str">
        <x:v>запеченный бекон</x:v>
      </x:c>
      <x:c r="H270" s="28" t="str">
        <x:v>oven-cooked bacon</x:v>
      </x:c>
      <x:c r="I270" s="28" t="str">
        <x:v>Мясо и птица</x:v>
      </x:c>
      <x:c r="J270" s="28" t="str">
        <x:v>персиковый, фруктовый, цветочный, зелёный, сливочно-лактонный</x:v>
      </x:c>
      <x:c r="K270" s="28" t="str">
        <x:v>жареный, мясной, жирный, иногда копчёный и пряный</x:v>
      </x:c>
      <x:c r="L270" s="28" t="str">
        <x:v>γ- и δ-декалактон, γ- и δ-додекалактон, фруктовые эфиры, линалоол, бензальдегид, C6-альдегиды</x:v>
      </x:c>
      <x:c r="M270" s="28" t="str">
        <x:v>пиразины, фураны, сернистые соединения, продукты Майяра, жирные альдегиды</x:v>
      </x:c>
      <x:c r="N270" s="28" t="str">
        <x:v>прямое семейное перекрытие не является главным механизмом</x:v>
      </x:c>
      <x:c r="O270" s="28" t="str">
        <x:v>надёжный единичный общий маркер не подтверждён; механизм не сводится к одной молекуле</x:v>
      </x:c>
      <x:c r="P270" s="28" t="str">
        <x:v>комплементарность ароматических семейств, вкусовой контраст и матричный эффект</x:v>
      </x:c>
      <x:c r="Q270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270" s="28" t="str">
        <x:v>слабый; кислотность усиливает свежесть; партнёр: тепловой/пряный зависит от обработки</x:v>
      </x:c>
      <x:c r="S270" s="28" t="str">
        <x:v>водно-пектиновая; гидрофобные лактоны лучше проявляются в жире и этаноле. Партнёр: жир удерживает фруктовые лактоны; белок смягчает кислотность.</x:v>
      </x:c>
      <x:c r="T270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U27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Запеченный бекон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V270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W270" s="28" t="str">
        <x:v>розмарин, горчица или хересный уксус</x:v>
      </x:c>
      <x:c r="X270" s="28" t="str">
        <x:v>соус, глазировка, чатни, маринад, гарнир или основное блюдо</x:v>
      </x:c>
      <x:c r="Y270" s="28" t="str">
        <x:v>еда; соусы/маринады</x:v>
      </x:c>
      <x:c r="Z270" s="28" t="str">
        <x:v>Средняя</x:v>
      </x:c>
      <x:c r="AA270" s="28" t="str">
        <x:v>The Art &amp; Science of Foodpairing.pdf</x:v>
      </x:c>
      <x:c r="AB270" s="28" t="str">
        <x:v>The Art &amp; Science of Foodpairing.pdf: 260–261</x:v>
      </x:c>
      <x:c r="AC270" s="28" t="str">
        <x:v>Ingredient pairings with peach and nectarine: oven-cooked bacon.</x:v>
      </x:c>
      <x:c r="AD270" s="28" t="n">
        <x:v>1</x:v>
      </x:c>
      <x:c r="AE270" s="28" t="n">
        <x:v>1</x:v>
      </x:c>
      <x:c r="AF270" s="28" t="n">
        <x:f>IF(Z270="Высокая",3,IF(Z270="Средняя",2,1))+AD270*2+MIN(AE270,3)</x:f>
        <x:v>5</x:v>
      </x:c>
    </x:row>
    <x:row r="271" ht="62" customHeight="1">
      <x:c r="A271" s="28" t="str">
        <x:v>STN-0270</x:v>
      </x:c>
      <x:c r="B271" s="28" t="str">
        <x:v>нектарин</x:v>
      </x:c>
      <x:c r="C271" s="28" t="str">
        <x:v>Еда и соусы</x:v>
      </x:c>
      <x:c r="D271" s="28" t="str">
        <x:v>нектарин</x:v>
      </x:c>
      <x:c r="E271" s="28" t="str">
        <x:v>nectarine</x:v>
      </x:c>
      <x:c r="F271" s="28" t="str">
        <x:v>Косточковые фрукты</x:v>
      </x:c>
      <x:c r="G271" s="28" t="str">
        <x:v>запеченный морской петух</x:v>
      </x:c>
      <x:c r="H271" s="28" t="str">
        <x:v>baked tub gurnard</x:v>
      </x:c>
      <x:c r="I271" s="28" t="str">
        <x:v>Рыба и морепродукты</x:v>
      </x:c>
      <x:c r="J271" s="28" t="str">
        <x:v>персиковый, фруктовый, цветочный, зелёный, сливочно-лактонный</x:v>
      </x:c>
      <x:c r="K271" s="28" t="str">
        <x:v>морской, солёный, умами, иногда йодистый и жареный</x:v>
      </x:c>
      <x:c r="L271" s="28" t="str">
        <x:v>γ- и δ-декалактон, γ- и δ-додекалактон, фруктовые эфиры, линалоол, бензальдегид, C6-альдегиды</x:v>
      </x:c>
      <x:c r="M271" s="28" t="str">
        <x:v>амины, бромфенолы, альдегиды жирных кислот, сернистые соединения</x:v>
      </x:c>
      <x:c r="N271" s="28" t="str">
        <x:v>прямое семейное перекрытие не является главным механизмом</x:v>
      </x:c>
      <x:c r="O271" s="28" t="str">
        <x:v>надёжный единичный общий маркер не подтверждён; механизм не сводится к одной молекуле</x:v>
      </x:c>
      <x:c r="P271" s="28" t="str">
        <x:v>комплементарность ароматических семейств, вкусовой контраст и матричный эффект</x:v>
      </x:c>
      <x:c r="Q271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271" s="28" t="str">
        <x:v>слабый; кислотность усиливает свежесть; партнёр: нет выраженного</x:v>
      </x:c>
      <x:c r="S271" s="28" t="str">
        <x:v>водно-пектиновая; гидрофобные лактоны лучше проявляются в жире и этаноле. Партнёр: водно-белковая матрица; жирная рыба лучше удерживает лактоны.</x:v>
      </x:c>
      <x:c r="T27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27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Запеченный морской петух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271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W271" s="28" t="str">
        <x:v>цитрус, укроп или оливковое масло</x:v>
      </x:c>
      <x:c r="X271" s="28" t="str">
        <x:v>соус, глазировка, чатни, маринад, гарнир или основное блюдо</x:v>
      </x:c>
      <x:c r="Y271" s="28" t="str">
        <x:v>еда; соусы/маринады</x:v>
      </x:c>
      <x:c r="Z271" s="28" t="str">
        <x:v>Средняя</x:v>
      </x:c>
      <x:c r="AA271" s="28" t="str">
        <x:v>The Art &amp; Science of Foodpairing.pdf</x:v>
      </x:c>
      <x:c r="AB271" s="28" t="str">
        <x:v>The Art &amp; Science of Foodpairing.pdf: 260–261</x:v>
      </x:c>
      <x:c r="AC271" s="28" t="str">
        <x:v>Ingredient pairings with peach and nectarine: baked tub gurnard.</x:v>
      </x:c>
      <x:c r="AD271" s="28" t="n">
        <x:v>1</x:v>
      </x:c>
      <x:c r="AE271" s="28" t="n">
        <x:v>1</x:v>
      </x:c>
      <x:c r="AF271" s="28" t="n">
        <x:f>IF(Z271="Высокая",3,IF(Z271="Средняя",2,1))+AD271*2+MIN(AE271,3)</x:f>
        <x:v>5</x:v>
      </x:c>
    </x:row>
    <x:row r="272" ht="62" customHeight="1">
      <x:c r="A272" s="28" t="str">
        <x:v>STN-0271</x:v>
      </x:c>
      <x:c r="B272" s="28" t="str">
        <x:v>нектарин</x:v>
      </x:c>
      <x:c r="C272" s="28" t="str">
        <x:v>Еда и соусы</x:v>
      </x:c>
      <x:c r="D272" s="28" t="str">
        <x:v>нектарин</x:v>
      </x:c>
      <x:c r="E272" s="28" t="str">
        <x:v>nectarine</x:v>
      </x:c>
      <x:c r="F272" s="28" t="str">
        <x:v>Косточковые фрукты</x:v>
      </x:c>
      <x:c r="G272" s="28" t="str">
        <x:v>зеленые водоросли</x:v>
      </x:c>
      <x:c r="H272" s="28" t="str">
        <x:v>green algae</x:v>
      </x:c>
      <x:c r="I272" s="28" t="str">
        <x:v>Рыба и морепродукты</x:v>
      </x:c>
      <x:c r="J272" s="28" t="str">
        <x:v>персиковый, фруктовый, цветочный, зелёный, сливочно-лактонный</x:v>
      </x:c>
      <x:c r="K272" s="28" t="str">
        <x:v>морской, солёный, умами, иногда йодистый и жареный</x:v>
      </x:c>
      <x:c r="L272" s="28" t="str">
        <x:v>γ- и δ-декалактон, γ- и δ-додекалактон, фруктовые эфиры, линалоол, бензальдегид, C6-альдегиды</x:v>
      </x:c>
      <x:c r="M272" s="28" t="str">
        <x:v>амины, бромфенолы, альдегиды жирных кислот, сернистые соединения</x:v>
      </x:c>
      <x:c r="N272" s="28" t="str">
        <x:v>прямое семейное перекрытие не является главным механизмом</x:v>
      </x:c>
      <x:c r="O272" s="28" t="str">
        <x:v>надёжный единичный общий маркер не подтверждён; механизм не сводится к одной молекуле</x:v>
      </x:c>
      <x:c r="P272" s="28" t="str">
        <x:v>комплементарность ароматических семейств, вкусовой контраст и матричный эффект</x:v>
      </x:c>
      <x:c r="Q272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272" s="28" t="str">
        <x:v>слабый; кислотность усиливает свежесть; партнёр: нет выраженного</x:v>
      </x:c>
      <x:c r="S272" s="28" t="str">
        <x:v>водно-пектиновая; гидрофобные лактоны лучше проявляются в жире и этаноле. Партнёр: водно-белковая матрица; жирная рыба лучше удерживает лактоны.</x:v>
      </x:c>
      <x:c r="T27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27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Зеленые водоросли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272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W272" s="28" t="str">
        <x:v>цитрус, укроп или оливковое масло</x:v>
      </x:c>
      <x:c r="X272" s="28" t="str">
        <x:v>соус, глазировка, чатни, маринад, гарнир или основное блюдо</x:v>
      </x:c>
      <x:c r="Y272" s="28" t="str">
        <x:v>еда; соусы/маринады</x:v>
      </x:c>
      <x:c r="Z272" s="28" t="str">
        <x:v>Средняя</x:v>
      </x:c>
      <x:c r="AA272" s="28" t="str">
        <x:v>The Art &amp; Science of Foodpairing.pdf</x:v>
      </x:c>
      <x:c r="AB272" s="28" t="str">
        <x:v>The Art &amp; Science of Foodpairing.pdf: 260–261</x:v>
      </x:c>
      <x:c r="AC272" s="28" t="str">
        <x:v>Ingredient pairings with peach and nectarine: green algae.</x:v>
      </x:c>
      <x:c r="AD272" s="28" t="n">
        <x:v>1</x:v>
      </x:c>
      <x:c r="AE272" s="28" t="n">
        <x:v>1</x:v>
      </x:c>
      <x:c r="AF272" s="28" t="n">
        <x:f>IF(Z272="Высокая",3,IF(Z272="Средняя",2,1))+AD272*2+MIN(AE272,3)</x:f>
        <x:v>5</x:v>
      </x:c>
    </x:row>
    <x:row r="273" ht="62" customHeight="1">
      <x:c r="A273" s="28" t="str">
        <x:v>STN-0272</x:v>
      </x:c>
      <x:c r="B273" s="28" t="str">
        <x:v>нектарин</x:v>
      </x:c>
      <x:c r="C273" s="28" t="str">
        <x:v>Еда и соусы</x:v>
      </x:c>
      <x:c r="D273" s="28" t="str">
        <x:v>нектарин</x:v>
      </x:c>
      <x:c r="E273" s="28" t="str">
        <x:v>nectarine</x:v>
      </x:c>
      <x:c r="F273" s="28" t="str">
        <x:v>Косточковые фрукты</x:v>
      </x:c>
      <x:c r="G273" s="28" t="str">
        <x:v>зеленые оливки</x:v>
      </x:c>
      <x:c r="H273" s="28" t="str">
        <x:v>green olive</x:v>
      </x:c>
      <x:c r="I273" s="28" t="str">
        <x:v>Овощи и корнеплоды</x:v>
      </x:c>
      <x:c r="J273" s="28" t="str">
        <x:v>персиковый, фруктовый, цветочный, зелёный, сливочно-лактонный</x:v>
      </x:c>
      <x:c r="K273" s="28" t="str">
        <x:v>зелёный, землистый, сладковатый или сернистый</x:v>
      </x:c>
      <x:c r="L273" s="28" t="str">
        <x:v>γ- и δ-декалактон, γ- и δ-додекалактон, фруктовые эфиры, линалоол, бензальдегид, C6-альдегиды</x:v>
      </x:c>
      <x:c r="M273" s="28" t="str">
        <x:v>C6-альдегиды, метоксипиразины, терпены, сернистые соединения</x:v>
      </x:c>
      <x:c r="N273" s="28" t="str">
        <x:v>зелёный</x:v>
      </x:c>
      <x:c r="O273" s="28" t="str">
        <x:v>c6-альдегиды</x:v>
      </x:c>
      <x:c r="P273" s="28" t="str">
        <x:v>прямое или классовое перекрытие характерных одорантов + вкусовой баланс</x:v>
      </x:c>
      <x:c r="Q273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</x:v>
      </x:c>
      <x:c r="R273" s="28" t="str">
        <x:v>слабый; кислотность усиливает свежесть; партнёр: зависит от продукта</x:v>
      </x:c>
      <x:c r="S273" s="28" t="str">
        <x:v>водно-пектиновая; гидрофобные лактоны лучше проявляются в жире и этаноле. Партнёр: водная и клетчаточная матрица; обжарка усиливает сладость и Майяр.</x:v>
      </x:c>
      <x:c r="T27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27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Зеленые оливки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27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73" s="28" t="str">
        <x:v>мёд, травы или уксус</x:v>
      </x:c>
      <x:c r="X273" s="28" t="str">
        <x:v>соус, глазировка, чатни, маринад, гарнир или основное блюдо</x:v>
      </x:c>
      <x:c r="Y273" s="28" t="str">
        <x:v>еда; соусы/маринады</x:v>
      </x:c>
      <x:c r="Z273" s="28" t="str">
        <x:v>Средняя</x:v>
      </x:c>
      <x:c r="AA273" s="28" t="str">
        <x:v>The Art &amp; Science of Foodpairing.pdf</x:v>
      </x:c>
      <x:c r="AB273" s="28" t="str">
        <x:v>The Art &amp; Science of Foodpairing.pdf: 260–261</x:v>
      </x:c>
      <x:c r="AC273" s="28" t="str">
        <x:v>Ingredient pairings with peach and nectarine: green olive.</x:v>
      </x:c>
      <x:c r="AD273" s="28" t="n">
        <x:v>1</x:v>
      </x:c>
      <x:c r="AE273" s="28" t="n">
        <x:v>1</x:v>
      </x:c>
      <x:c r="AF273" s="28" t="n">
        <x:f>IF(Z273="Высокая",3,IF(Z273="Средняя",2,1))+AD273*2+MIN(AE273,3)</x:f>
        <x:v>5</x:v>
      </x:c>
    </x:row>
    <x:row r="274" ht="62" customHeight="1">
      <x:c r="A274" s="28" t="str">
        <x:v>STN-0273</x:v>
      </x:c>
      <x:c r="B274" s="28" t="str">
        <x:v>нектарин</x:v>
      </x:c>
      <x:c r="C274" s="28" t="str">
        <x:v>Десерты и выпечка</x:v>
      </x:c>
      <x:c r="D274" s="28" t="str">
        <x:v>нектарин</x:v>
      </x:c>
      <x:c r="E274" s="28" t="str">
        <x:v>nectarine</x:v>
      </x:c>
      <x:c r="F274" s="28" t="str">
        <x:v>Косточковые фрукты</x:v>
      </x:c>
      <x:c r="G274" s="28" t="str">
        <x:v>изюм</x:v>
      </x:c>
      <x:c r="H274" s="28" t="str">
        <x:v>raisin</x:v>
      </x:c>
      <x:c r="I274" s="28" t="str">
        <x:v>Фрукты</x:v>
      </x:c>
      <x:c r="J274" s="28" t="str">
        <x:v>персиковый, фруктовый, цветочный, зелёный, сливочно-лактонный</x:v>
      </x:c>
      <x:c r="K274" s="28" t="str">
        <x:v>зелёный, фруктовый, цветочный</x:v>
      </x:c>
      <x:c r="L274" s="28" t="str">
        <x:v>γ- и δ-декалактон, γ- и δ-додекалактон, фруктовые эфиры, линалоол, бензальдегид, C6-альдегиды</x:v>
      </x:c>
      <x:c r="M274" s="28" t="str">
        <x:v>лактоны, терпены, эфиры</x:v>
      </x:c>
      <x:c r="N274" s="28" t="str">
        <x:v>цветочный, фруктовый, зелёный</x:v>
      </x:c>
      <x:c r="O274" s="28" t="str">
        <x:v>эфиры</x:v>
      </x:c>
      <x:c r="P274" s="28" t="str">
        <x:v>прямое или классовое перекрытие характерных одорантов + вкусовой баланс</x:v>
      </x:c>
      <x:c r="Q274" s="28" t="str">
        <x:v>Близкие фруктовые эфиры создают непрерывность, а различия в кислотности, терпкости и сладости формируют контраст.</x:v>
      </x:c>
      <x:c r="R274" s="28" t="str">
        <x:v>слабый; кислотность усиливает свежесть; партнёр: обычно отсутствует; зависит от конкретного продукта</x:v>
      </x:c>
      <x:c r="S274" s="28" t="str">
        <x:v>водно-пектиновая; гидрофобные лактоны лучше проявляются в жире и этаноле. Партнёр: водная фруктовая матрица.</x:v>
      </x:c>
      <x:c r="T27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27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Изюм относится к группе «Фрукты» и даёт профиль «зелёный, фруктовый, цветочный»; типичные соединения или классы: лактоны, терпены, эфиры.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фруктовая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27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74" s="28" t="str">
        <x:v>цитрус, мята или ваниль</x:v>
      </x:c>
      <x:c r="X274" s="28" t="str">
        <x:v>сорбет, салат, джем, кордиал, лимонад, коктейль или фруктовый соус</x:v>
      </x:c>
      <x:c r="Y274" s="28" t="str">
        <x:v>напитки; десерты; соусы/маринады</x:v>
      </x:c>
      <x:c r="Z274" s="28" t="str">
        <x:v>Средняя</x:v>
      </x:c>
      <x:c r="AA274" s="28" t="str">
        <x:v>The Art &amp; Science of Foodpairing.pdf</x:v>
      </x:c>
      <x:c r="AB274" s="28" t="str">
        <x:v>The Art &amp; Science of Foodpairing.pdf: 260–261</x:v>
      </x:c>
      <x:c r="AC274" s="28" t="str">
        <x:v>Ingredient pairings with peach and nectarine: raisin.</x:v>
      </x:c>
      <x:c r="AD274" s="28" t="n">
        <x:v>1</x:v>
      </x:c>
      <x:c r="AE274" s="28" t="n">
        <x:v>1</x:v>
      </x:c>
      <x:c r="AF274" s="28" t="n">
        <x:f>IF(Z274="Высокая",3,IF(Z274="Средняя",2,1))+AD274*2+MIN(AE274,3)</x:f>
        <x:v>5</x:v>
      </x:c>
    </x:row>
    <x:row r="275" ht="62" customHeight="1">
      <x:c r="A275" s="28" t="str">
        <x:v>STN-0274</x:v>
      </x:c>
      <x:c r="B275" s="28" t="str">
        <x:v>нектарин</x:v>
      </x:c>
      <x:c r="C275" s="28" t="str">
        <x:v>Универсальные</x:v>
      </x:c>
      <x:c r="D275" s="28" t="str">
        <x:v>нектарин</x:v>
      </x:c>
      <x:c r="E275" s="28" t="str">
        <x:v>nectarine</x:v>
      </x:c>
      <x:c r="F275" s="28" t="str">
        <x:v>Косточковые фрукты</x:v>
      </x:c>
      <x:c r="G275" s="28" t="str">
        <x:v>инжир</x:v>
      </x:c>
      <x:c r="H275" s="28" t="str">
        <x:v>инжир</x:v>
      </x:c>
      <x:c r="I275" s="28" t="str">
        <x:v>Субтропические фрукты</x:v>
      </x:c>
      <x:c r="J275" s="28" t="str">
        <x:v>персиковый, фруктовый, цветочный, зелёный, сливочно-лактонный</x:v>
      </x:c>
      <x:c r="K275" s="28" t="str">
        <x:v>медовый, зелёный, ягодный, цветочный, кокосово-лактонный</x:v>
      </x:c>
      <x:c r="L275" s="28" t="str">
        <x:v>γ- и δ-декалактон, γ- и δ-додекалактон, фруктовые эфиры, линалоол, бензальдегид, C6-альдегиды</x:v>
      </x:c>
      <x:c r="M275" s="28" t="str">
        <x:v>бензальдегид, линалоол, фуранеол, лактоны и зелёные альдегиды</x:v>
      </x:c>
      <x:c r="N275" s="28" t="str">
        <x:v>цветочный, лактонный, зелёный</x:v>
      </x:c>
      <x:c r="O275" s="28" t="str">
        <x:v>бензальдегид, линалоол</x:v>
      </x:c>
      <x:c r="P275" s="28" t="str">
        <x:v>прямое или классовое перекрытие характерных одорантов + вкусовой баланс</x:v>
      </x:c>
      <x:c r="Q275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сладость, низкая кислотность; семена дают хруст. Баланс корректируется сахаром, кислотой, солью и горечью.</x:v>
      </x:c>
      <x:c r="R275" s="28" t="str">
        <x:v>слабый; кислотность усиливает свежесть; партнёр: кислотное покалывание зависит от плода; специальные эффекты указаны в паспорте</x:v>
      </x:c>
      <x:c r="S275" s="28" t="str">
        <x:v>водно-пектиновая; гидрофобные лактоны лучше проявляются в жире и этаноле. Партнёр: пектиновая и сахаристая; сушёный инжир концентрирует сахар, фенолы и карамельные ноты.</x:v>
      </x:c>
      <x:c r="T27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U27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бензальдегид, линалоол. Общие ароматические направления: цветочный, лактонный,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сладость, низкая кислотность; семена дают хруст.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пектиновая и сахаристая; сушёный инжир концентрирует сахар, фенолы и карамельные ноты.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V27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75" s="28" t="str">
        <x:v>мёд, цитрус или нейтральная жировая основа</x:v>
      </x:c>
      <x:c r="X275" s="28" t="str">
        <x:v>напиток, соус, десерт или горячее блюдо после пробной дегустации</x:v>
      </x:c>
      <x:c r="Y275" s="28" t="str">
        <x:v>напитки; еда; десерты; соусы/маринады</x:v>
      </x:c>
      <x:c r="Z275" s="28" t="str">
        <x:v>Гипотеза / практическая</x:v>
      </x:c>
      <x:c r="AA275" s="28" t="str">
        <x:v>Таблица сочетания(1).pdf</x:v>
      </x:c>
      <x:c r="AB275" s="28" t="str">
        <x:v>Таблица сочетания(1).pdf: Таблица сочетаний: 14 | Таблица сочетания(1).pdf: 14</x:v>
      </x:c>
      <x:c r="AC275" s="28" t="str">
        <x:v>Таблица сочетаний: В строке «Нектарин» ингредиент «инжир» указан как рекомендуемое сочетание в колонке «Фрукты». Пара указана в строке «Нектарин» → колонка «Фрукты».</x:v>
      </x:c>
      <x:c r="AD275" s="28" t="n">
        <x:v>1</x:v>
      </x:c>
      <x:c r="AE275" s="28" t="n">
        <x:v>2</x:v>
      </x:c>
      <x:c r="AF275" s="28" t="n">
        <x:f>IF(Z275="Высокая",3,IF(Z275="Средняя",2,1))+AD275*2+MIN(AE275,3)</x:f>
        <x:v>5</x:v>
      </x:c>
    </x:row>
    <x:row r="276" ht="62" customHeight="1">
      <x:c r="A276" s="28" t="str">
        <x:v>STN-0275</x:v>
      </x:c>
      <x:c r="B276" s="28" t="str">
        <x:v>нектарин</x:v>
      </x:c>
      <x:c r="C276" s="28" t="str">
        <x:v>Универсальные</x:v>
      </x:c>
      <x:c r="D276" s="28" t="str">
        <x:v>нектарин</x:v>
      </x:c>
      <x:c r="E276" s="28" t="str">
        <x:v>nectarine</x:v>
      </x:c>
      <x:c r="F276" s="28" t="str">
        <x:v>Косточковые фрукты</x:v>
      </x:c>
      <x:c r="G276" s="28" t="str">
        <x:v>канталупа</x:v>
      </x:c>
      <x:c r="H276" s="28" t="str">
        <x:v>cantaloupe</x:v>
      </x:c>
      <x:c r="I276" s="28" t="str">
        <x:v>Бахчевые</x:v>
      </x:c>
      <x:c r="J276" s="28" t="str">
        <x:v>персиковый, фруктовый, цветочный, зелёный, сливочно-лактонный</x:v>
      </x:c>
      <x:c r="K276" s="28" t="str">
        <x:v>интенсивно сладкий, мускусный, цветочный и зелёный</x:v>
      </x:c>
      <x:c r="L276" s="28" t="str">
        <x:v>γ- и δ-декалактон, γ- и δ-додекалактон, фруктовые эфиры, линалоол, бензальдегид, C6-альдегиды</x:v>
      </x:c>
      <x:c r="M276" s="28" t="str">
        <x:v>этил-2-метилбутират, этилбутират, C9-альдегиды, тиоэфиры</x:v>
      </x:c>
      <x:c r="N276" s="28" t="str">
        <x:v>цветочный, зелёный</x:v>
      </x:c>
      <x:c r="O276" s="28" t="str">
        <x:v>эфиры</x:v>
      </x:c>
      <x:c r="P276" s="28" t="str">
        <x:v>прямое или классовое перекрытие характерных одорантов + вкусовой баланс</x:v>
      </x:c>
      <x:c r="Q276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выраженная сладость и слабая кислотность. Баланс корректируется сахаром, кислотой, солью и горечью.</x:v>
      </x:c>
      <x:c r="R276" s="28" t="str">
        <x:v>слабый; кислотность усиливает свежесть; партнёр: кислотное покалывание зависит от плода; специальные эффекты указаны в паспорте</x:v>
      </x:c>
      <x:c r="S276" s="28" t="str">
        <x:v>водно-пектиновая; гидрофобные лактоны лучше проявляются в жире и этаноле. Партнёр: водная и мягкая; аромат быстро улетучивается после нарезки.</x:v>
      </x:c>
      <x:c r="T27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U27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Канталупа относится к группе «Бахчевые» и даёт профиль «интенсивно сладкий, мускусный, цветочный и зелёный»; типичные соединения или классы: этил-2-метилбутират, этилбутират, C9-альдегиды, тиоэфиры. В рабочих профилях пересекаются: эфиры.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выраженная сладость и слабая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мягкая; аромат быстро улетучивается после нарезки.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V27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76" s="28" t="str">
        <x:v>мёд, цитрус или нейтральная жировая основа</x:v>
      </x:c>
      <x:c r="X276" s="28" t="str">
        <x:v>напиток, соус, десерт или горячее блюдо после пробной дегустации</x:v>
      </x:c>
      <x:c r="Y276" s="28" t="str">
        <x:v>напитки; еда; десерты; соусы/маринады</x:v>
      </x:c>
      <x:c r="Z276" s="28" t="str">
        <x:v>Средняя</x:v>
      </x:c>
      <x:c r="AA276" s="28" t="str">
        <x:v>The Art &amp; Science of Foodpairing.pdf</x:v>
      </x:c>
      <x:c r="AB276" s="28" t="str">
        <x:v>The Art &amp; Science of Foodpairing.pdf: 260–261</x:v>
      </x:c>
      <x:c r="AC276" s="28" t="str">
        <x:v>Ingredient pairings with peach and nectarine: cantaloupe.</x:v>
      </x:c>
      <x:c r="AD276" s="28" t="n">
        <x:v>1</x:v>
      </x:c>
      <x:c r="AE276" s="28" t="n">
        <x:v>1</x:v>
      </x:c>
      <x:c r="AF276" s="28" t="n">
        <x:f>IF(Z276="Высокая",3,IF(Z276="Средняя",2,1))+AD276*2+MIN(AE276,3)</x:f>
        <x:v>5</x:v>
      </x:c>
    </x:row>
    <x:row r="277" ht="62" customHeight="1">
      <x:c r="A277" s="28" t="str">
        <x:v>STN-0276</x:v>
      </x:c>
      <x:c r="B277" s="28" t="str">
        <x:v>нектарин</x:v>
      </x:c>
      <x:c r="C277" s="28" t="str">
        <x:v>Универсальные</x:v>
      </x:c>
      <x:c r="D277" s="28" t="str">
        <x:v>нектарин</x:v>
      </x:c>
      <x:c r="E277" s="28" t="str">
        <x:v>nectarine</x:v>
      </x:c>
      <x:c r="F277" s="28" t="str">
        <x:v>Косточковые фрукты</x:v>
      </x:c>
      <x:c r="G277" s="28" t="str">
        <x:v>карамель</x:v>
      </x:c>
      <x:c r="H277" s="28" t="str">
        <x:v>карамель</x:v>
      </x:c>
      <x:c r="I277" s="28" t="str">
        <x:v>Сахара, мёд и кондитерские основы</x:v>
      </x:c>
      <x:c r="J277" s="28" t="str">
        <x:v>персиковый, фруктовый, цветочный, зелёный, сливочно-лактонный</x:v>
      </x:c>
      <x:c r="K277" s="28" t="str">
        <x:v>жжёный сахар, сливочный и жареный</x:v>
      </x:c>
      <x:c r="L277" s="28" t="str">
        <x:v>γ- и δ-декалактон, γ- и δ-додекалактон, фруктовые эфиры, линалоол, бензальдегид, C6-альдегиды</x:v>
      </x:c>
      <x:c r="M277" s="28" t="str">
        <x:v>мальтол, фурфурол, диацетил</x:v>
      </x:c>
      <x:c r="N277" s="28" t="str">
        <x:v>прямое семейное перекрытие не является главным механизмом</x:v>
      </x:c>
      <x:c r="O277" s="28" t="str">
        <x:v>надёжный единичный общий маркер не подтверждён; механизм не сводится к одной молекуле</x:v>
      </x:c>
      <x:c r="P277" s="28" t="str">
        <x:v>комплементарность ароматических семейств, вкусовой контраст и матричный эффект</x:v>
      </x:c>
      <x:c r="Q277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</x:v>
      </x:c>
      <x:c r="R277" s="28" t="str">
        <x:v>слабый; кислотность усиливает свежесть; партнёр: отсутствует</x:v>
      </x:c>
      <x:c r="S277" s="28" t="str">
        <x:v>водно-пектиновая; гидрофобные лактоны лучше проявляются в жире и этаноле. Партнёр: вязкая сахарная; снижает летучесть и смягчает кислоту.</x:v>
      </x:c>
      <x:c r="T27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U27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вязкая сахарная; снижает летучесть и смягчает кислоту.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V27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77" s="28" t="str">
        <x:v>мёд, цитрус или нейтральная жировая основа</x:v>
      </x:c>
      <x:c r="X277" s="28" t="str">
        <x:v>напиток, соус, десерт или горячее блюдо после пробной дегустации</x:v>
      </x:c>
      <x:c r="Y277" s="28" t="str">
        <x:v>напитки; еда; десерты; соусы/маринады</x:v>
      </x:c>
      <x:c r="Z277" s="28" t="str">
        <x:v>Гипотеза / практическая</x:v>
      </x:c>
      <x:c r="AA277" s="28" t="str">
        <x:v>Таблица сочетания(1).pdf</x:v>
      </x:c>
      <x:c r="AB277" s="28" t="str">
        <x:v>Таблица сочетания(1).pdf: 14</x:v>
      </x:c>
      <x:c r="AC277" s="28" t="str">
        <x:v>Пара указана в строке «Нектарин» → колонка «Другое».</x:v>
      </x:c>
      <x:c r="AD277" s="28" t="n">
        <x:v>1</x:v>
      </x:c>
      <x:c r="AE277" s="28" t="n">
        <x:v>1</x:v>
      </x:c>
      <x:c r="AF277" s="28" t="n">
        <x:f>IF(Z277="Высокая",3,IF(Z277="Средняя",2,1))+AD277*2+MIN(AE277,3)</x:f>
        <x:v>4</x:v>
      </x:c>
    </x:row>
    <x:row r="278" ht="62" customHeight="1">
      <x:c r="A278" s="28" t="str">
        <x:v>STN-0277</x:v>
      </x:c>
      <x:c r="B278" s="28" t="str">
        <x:v>нектарин</x:v>
      </x:c>
      <x:c r="C278" s="28" t="str">
        <x:v>Универсальные</x:v>
      </x:c>
      <x:c r="D278" s="28" t="str">
        <x:v>нектарин</x:v>
      </x:c>
      <x:c r="E278" s="28" t="str">
        <x:v>nectarine</x:v>
      </x:c>
      <x:c r="F278" s="28" t="str">
        <x:v>Косточковые фрукты</x:v>
      </x:c>
      <x:c r="G278" s="28" t="str">
        <x:v>кардамон</x:v>
      </x:c>
      <x:c r="H278" s="28" t="str">
        <x:v>кардамон</x:v>
      </x:c>
      <x:c r="I278" s="28" t="str">
        <x:v>Специи и острые компоненты</x:v>
      </x:c>
      <x:c r="J278" s="28" t="str">
        <x:v>персиковый, фруктовый, цветочный, зелёный, сливочно-лактонный</x:v>
      </x:c>
      <x:c r="K278" s="28" t="str">
        <x:v>цитрусовый, камфорный и цветочный</x:v>
      </x:c>
      <x:c r="L278" s="28" t="str">
        <x:v>γ- и δ-декалактон, γ- и δ-додекалактон, фруктовые эфиры, линалоол, бензальдегид, C6-альдегиды</x:v>
      </x:c>
      <x:c r="M278" s="28" t="str">
        <x:v>1,8-цинеол, α-терпинилацетат, линалоол</x:v>
      </x:c>
      <x:c r="N278" s="28" t="str">
        <x:v>цветочный</x:v>
      </x:c>
      <x:c r="O278" s="28" t="str">
        <x:v>линалоол</x:v>
      </x:c>
      <x:c r="P278" s="28" t="str">
        <x:v>прямое или классовое перекрытие характерных одорантов + вкусовой баланс</x:v>
      </x:c>
      <x:c r="Q278" s="28" t="str">
        <x:v>Сладость и кислота фрукта смягчают остроту и горечь специи, а пряный компонент удлиняет ароматическое послевкусие.</x:v>
      </x:c>
      <x:c r="R278" s="28" t="str">
        <x:v>слабый; кислотность усиливает свежесть; партнёр: капсаицин, пиперин, гингеролы и камфорные терпены создают жжение, тепло или охлаждение</x:v>
      </x:c>
      <x:c r="S278" s="28" t="str">
        <x:v>водно-пектиновая; гидрофобные лактоны лучше проявляются в жире и этаноле. Партнёр: ароматические масла хорошо переходят в жир и этанол.</x:v>
      </x:c>
      <x:c r="T278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27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Кардамон относится к группе «Специи и острые компоненты» и даёт профиль «цитрусовый, камфорный и цветочный»; типичные соединения или классы: 1,8-цинеол, α-терпинилацетат, линалоол. В рабочих профилях пересекаются: линалоол.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278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W278" s="28" t="str">
        <x:v>мёд, цитрус или миндаль</x:v>
      </x:c>
      <x:c r="X278" s="28" t="str">
        <x:v>напиток, соус, десерт или горячее блюдо после пробной дегустации</x:v>
      </x:c>
      <x:c r="Y278" s="28" t="str">
        <x:v>напитки; еда; десерты; соусы/маринады</x:v>
      </x:c>
      <x:c r="Z278" s="28" t="str">
        <x:v>Гипотеза / практическая</x:v>
      </x:c>
      <x:c r="AA278" s="28" t="str">
        <x:v>Таблица сочетания(1).pdf</x:v>
      </x:c>
      <x:c r="AB278" s="28" t="str">
        <x:v>Таблица сочетания(1).pdf: 14</x:v>
      </x:c>
      <x:c r="AC278" s="28" t="str">
        <x:v>Пара указана в строке «Нектарин» → колонка «Травы и специи».</x:v>
      </x:c>
      <x:c r="AD278" s="28" t="n">
        <x:v>1</x:v>
      </x:c>
      <x:c r="AE278" s="28" t="n">
        <x:v>1</x:v>
      </x:c>
      <x:c r="AF278" s="28" t="n">
        <x:f>IF(Z278="Высокая",3,IF(Z278="Средняя",2,1))+AD278*2+MIN(AE278,3)</x:f>
        <x:v>4</x:v>
      </x:c>
    </x:row>
    <x:row r="279" ht="62" customHeight="1">
      <x:c r="A279" s="28" t="str">
        <x:v>STN-0278</x:v>
      </x:c>
      <x:c r="B279" s="28" t="str">
        <x:v>нектарин</x:v>
      </x:c>
      <x:c r="C279" s="28" t="str">
        <x:v>Десерты и выпечка</x:v>
      </x:c>
      <x:c r="D279" s="28" t="str">
        <x:v>нектарин</x:v>
      </x:c>
      <x:c r="E279" s="28" t="str">
        <x:v>nectarine</x:v>
      </x:c>
      <x:c r="F279" s="28" t="str">
        <x:v>Косточковые фрукты</x:v>
      </x:c>
      <x:c r="G279" s="28" t="str">
        <x:v>кедровый орех</x:v>
      </x:c>
      <x:c r="H279" s="28" t="str">
        <x:v>pine nut</x:v>
      </x:c>
      <x:c r="I279" s="28" t="str">
        <x:v>Орехи и семена</x:v>
      </x:c>
      <x:c r="J279" s="28" t="str">
        <x:v>персиковый, фруктовый, цветочный, зелёный, сливочно-лактонный</x:v>
      </x:c>
      <x:c r="K279" s="28" t="str">
        <x:v>ореховый, жареный, маслянистый и иногда миндальный</x:v>
      </x:c>
      <x:c r="L279" s="28" t="str">
        <x:v>γ- и δ-декалактон, γ- и δ-додекалактон, фруктовые эфиры, линалоол, бензальдегид, C6-альдегиды</x:v>
      </x:c>
      <x:c r="M279" s="28" t="str">
        <x:v>пиразины, бензальдегид, филбертон, жирные альдегиды</x:v>
      </x:c>
      <x:c r="N279" s="28" t="str">
        <x:v>прямое семейное перекрытие не является главным механизмом</x:v>
      </x:c>
      <x:c r="O279" s="28" t="str">
        <x:v>бензальдегид</x:v>
      </x:c>
      <x:c r="P279" s="28" t="str">
        <x:v>прямое или классовое перекрытие характерных одорантов + вкусовой баланс</x:v>
      </x:c>
      <x:c r="Q279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279" s="28" t="str">
        <x:v>слабый; кислотность усиливает свежесть; партнёр: обычно отсутствует</x:v>
      </x:c>
      <x:c r="S279" s="28" t="str">
        <x:v>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</x:v>
      </x:c>
      <x:c r="T27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27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Кедровый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279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W279" s="28" t="str">
        <x:v>ваниль, шоколад или корица</x:v>
      </x:c>
      <x:c r="X279" s="28" t="str">
        <x:v>тарт, крем, мороженое, выпечка, сырная подача или начинка</x:v>
      </x:c>
      <x:c r="Y279" s="28" t="str">
        <x:v>десерты; еда</x:v>
      </x:c>
      <x:c r="Z279" s="28" t="str">
        <x:v>Средняя</x:v>
      </x:c>
      <x:c r="AA279" s="28" t="str">
        <x:v>The Art &amp; Science of Foodpairing.pdf</x:v>
      </x:c>
      <x:c r="AB279" s="28" t="str">
        <x:v>The Art &amp; Science of Foodpairing.pdf: 260–261</x:v>
      </x:c>
      <x:c r="AC279" s="28" t="str">
        <x:v>Ingredient pairings with peach and nectarine: pine nut.</x:v>
      </x:c>
      <x:c r="AD279" s="28" t="n">
        <x:v>1</x:v>
      </x:c>
      <x:c r="AE279" s="28" t="n">
        <x:v>1</x:v>
      </x:c>
      <x:c r="AF279" s="28" t="n">
        <x:f>IF(Z279="Высокая",3,IF(Z279="Средняя",2,1))+AD279*2+MIN(AE279,3)</x:f>
        <x:v>5</x:v>
      </x:c>
    </x:row>
    <x:row r="280" ht="62" customHeight="1">
      <x:c r="A280" s="28" t="str">
        <x:v>STN-0279</x:v>
      </x:c>
      <x:c r="B280" s="28" t="str">
        <x:v>нектарин</x:v>
      </x:c>
      <x:c r="C280" s="28" t="str">
        <x:v>Еда и соусы</x:v>
      </x:c>
      <x:c r="D280" s="28" t="str">
        <x:v>нектарин</x:v>
      </x:c>
      <x:c r="E280" s="28" t="str">
        <x:v>nectarine</x:v>
      </x:c>
      <x:c r="F280" s="28" t="str">
        <x:v>Косточковые фрукты</x:v>
      </x:c>
      <x:c r="G280" s="28" t="str">
        <x:v>кейл на пару</x:v>
      </x:c>
      <x:c r="H280" s="28" t="str">
        <x:v>steamed kale</x:v>
      </x:c>
      <x:c r="I280" s="28" t="str">
        <x:v>Овощи и корнеплоды</x:v>
      </x:c>
      <x:c r="J280" s="28" t="str">
        <x:v>персиковый, фруктовый, цветочный, зелёный, сливочно-лактонный</x:v>
      </x:c>
      <x:c r="K280" s="28" t="str">
        <x:v>зелёный, землистый, сладковатый или сернистый</x:v>
      </x:c>
      <x:c r="L280" s="28" t="str">
        <x:v>γ- и δ-декалактон, γ- и δ-додекалактон, фруктовые эфиры, линалоол, бензальдегид, C6-альдегиды</x:v>
      </x:c>
      <x:c r="M280" s="28" t="str">
        <x:v>C6-альдегиды, метоксипиразины, терпены, сернистые соединения</x:v>
      </x:c>
      <x:c r="N280" s="28" t="str">
        <x:v>зелёный</x:v>
      </x:c>
      <x:c r="O280" s="28" t="str">
        <x:v>c6-альдегиды</x:v>
      </x:c>
      <x:c r="P280" s="28" t="str">
        <x:v>прямое или классовое перекрытие характерных одорантов + вкусовой баланс</x:v>
      </x:c>
      <x:c r="Q280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</x:v>
      </x:c>
      <x:c r="R280" s="28" t="str">
        <x:v>слабый; кислотность усиливает свежесть; партнёр: зависит от продукта</x:v>
      </x:c>
      <x:c r="S280" s="28" t="str">
        <x:v>водно-пектиновая; гидрофобные лактоны лучше проявляются в жире и этаноле. Партнёр: водная и клетчаточная матрица; обжарка усиливает сладость и Майяр.</x:v>
      </x:c>
      <x:c r="T28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28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Кейл на пару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28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80" s="28" t="str">
        <x:v>мёд, травы или уксус</x:v>
      </x:c>
      <x:c r="X280" s="28" t="str">
        <x:v>соус, глазировка, чатни, маринад, гарнир или основное блюдо</x:v>
      </x:c>
      <x:c r="Y280" s="28" t="str">
        <x:v>еда; соусы/маринады</x:v>
      </x:c>
      <x:c r="Z280" s="28" t="str">
        <x:v>Средняя</x:v>
      </x:c>
      <x:c r="AA280" s="28" t="str">
        <x:v>The Art &amp; Science of Foodpairing.pdf</x:v>
      </x:c>
      <x:c r="AB280" s="28" t="str">
        <x:v>The Art &amp; Science of Foodpairing.pdf: 260–261</x:v>
      </x:c>
      <x:c r="AC280" s="28" t="str">
        <x:v>Ingredient pairings with peach and nectarine: steamed kale.</x:v>
      </x:c>
      <x:c r="AD280" s="28" t="n">
        <x:v>1</x:v>
      </x:c>
      <x:c r="AE280" s="28" t="n">
        <x:v>1</x:v>
      </x:c>
      <x:c r="AF280" s="28" t="n">
        <x:f>IF(Z280="Высокая",3,IF(Z280="Средняя",2,1))+AD280*2+MIN(AE280,3)</x:f>
        <x:v>5</x:v>
      </x:c>
    </x:row>
    <x:row r="281" ht="62" customHeight="1">
      <x:c r="A281" s="28" t="str">
        <x:v>STN-0280</x:v>
      </x:c>
      <x:c r="B281" s="28" t="str">
        <x:v>нектарин</x:v>
      </x:c>
      <x:c r="C281" s="28" t="str">
        <x:v>Десерты и выпечка</x:v>
      </x:c>
      <x:c r="D281" s="28" t="str">
        <x:v>нектарин</x:v>
      </x:c>
      <x:c r="E281" s="28" t="str">
        <x:v>nectarine</x:v>
      </x:c>
      <x:c r="F281" s="28" t="str">
        <x:v>Косточковые фрукты</x:v>
      </x:c>
      <x:c r="G281" s="28" t="str">
        <x:v>кефир</x:v>
      </x:c>
      <x:c r="H281" s="28" t="str">
        <x:v>kefir</x:v>
      </x:c>
      <x:c r="I281" s="28" t="str">
        <x:v>Сыры и молочные продукты</x:v>
      </x:c>
      <x:c r="J281" s="28" t="str">
        <x:v>персиковый, фруктовый, цветочный, зелёный, сливочно-лактонный</x:v>
      </x:c>
      <x:c r="K281" s="28" t="str">
        <x:v>сливочный, молочный, ферментированный, иногда ореховый или пикантный</x:v>
      </x:c>
      <x:c r="L281" s="28" t="str">
        <x:v>γ- и δ-декалактон, γ- и δ-додекалактон, фруктовые эфиры, линалоол, бензальдегид, C6-альдегиды</x:v>
      </x:c>
      <x:c r="M281" s="28" t="str">
        <x:v>лактоны, диацетил, жирные кислоты, сернистые и аминокислотные продукты ферментации</x:v>
      </x:c>
      <x:c r="N281" s="28" t="str">
        <x:v>прямое семейное перекрытие не является главным механизмом</x:v>
      </x:c>
      <x:c r="O281" s="28" t="str">
        <x:v>надёжный единичный общий маркер не подтверждён; механизм не сводится к одной молекуле</x:v>
      </x:c>
      <x:c r="P281" s="28" t="str">
        <x:v>комплементарность ароматических семейств, вкусовой контраст и матричный эффект</x:v>
      </x:c>
      <x:c r="Q281" s="28" t="str">
        <x:v>Фруктовая кислота и сладость освежают жирную молочную матрицу; соль и умами сыра усиливают воспринимаемую фруктовость.</x:v>
      </x:c>
      <x:c r="R281" s="28" t="str">
        <x:v>слабый; кислотность усиливает свежесть; партнёр: нет выраженного</x:v>
      </x:c>
      <x:c r="S281" s="28" t="str">
        <x:v>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</x:v>
      </x:c>
      <x:c r="T281" s="28" t="str">
        <x:v>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U28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Кефир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 Обработка: 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V281" s="28" t="str">
        <x:v>не перегревать и не переслащивать; иначе исчезает свежая фруктовая детализация. Избыток кислоты может свернуть молочную основу; фрукт и сыр проверяют при рабочей температуре.</x:v>
      </x:c>
      <x:c r="W281" s="28" t="str">
        <x:v>миндаль, ваниль или мёд</x:v>
      </x:c>
      <x:c r="X281" s="28" t="str">
        <x:v>тарт, крем, мороженое, выпечка, сырная подача или начинка</x:v>
      </x:c>
      <x:c r="Y281" s="28" t="str">
        <x:v>десерты; еда</x:v>
      </x:c>
      <x:c r="Z281" s="28" t="str">
        <x:v>Средняя</x:v>
      </x:c>
      <x:c r="AA281" s="28" t="str">
        <x:v>The Art &amp; Science of Foodpairing.pdf</x:v>
      </x:c>
      <x:c r="AB281" s="28" t="str">
        <x:v>The Art &amp; Science of Foodpairing.pdf: 260–261</x:v>
      </x:c>
      <x:c r="AC281" s="28" t="str">
        <x:v>Ingredient pairings with peach and nectarine: kefir.</x:v>
      </x:c>
      <x:c r="AD281" s="28" t="n">
        <x:v>1</x:v>
      </x:c>
      <x:c r="AE281" s="28" t="n">
        <x:v>1</x:v>
      </x:c>
      <x:c r="AF281" s="28" t="n">
        <x:f>IF(Z281="Высокая",3,IF(Z281="Средняя",2,1))+AD281*2+MIN(AE281,3)</x:f>
        <x:v>5</x:v>
      </x:c>
    </x:row>
    <x:row r="282" ht="62" customHeight="1">
      <x:c r="A282" s="28" t="str">
        <x:v>STN-0281</x:v>
      </x:c>
      <x:c r="B282" s="28" t="str">
        <x:v>нектарин</x:v>
      </x:c>
      <x:c r="C282" s="28" t="str">
        <x:v>Универсальные</x:v>
      </x:c>
      <x:c r="D282" s="28" t="str">
        <x:v>нектарин</x:v>
      </x:c>
      <x:c r="E282" s="28" t="str">
        <x:v>nectarine</x:v>
      </x:c>
      <x:c r="F282" s="28" t="str">
        <x:v>Косточковые фрукты</x:v>
      </x:c>
      <x:c r="G282" s="28" t="str">
        <x:v>киви</x:v>
      </x:c>
      <x:c r="H282" s="28" t="str">
        <x:v>papaya</x:v>
      </x:c>
      <x:c r="I282" s="28" t="str">
        <x:v>Тропические и субтропические фрукты</x:v>
      </x:c>
      <x:c r="J282" s="28" t="str">
        <x:v>персиковый, фруктовый, цветочный, зелёный, сливочно-лактонный</x:v>
      </x:c>
      <x:c r="K282" s="28" t="str">
        <x:v>зелёный, травянистый, цитрусовый, фруктовый и слегка морской</x:v>
      </x:c>
      <x:c r="L282" s="28" t="str">
        <x:v>γ- и δ-декалактон, γ- и δ-додекалактон, фруктовые эфиры, линалоол, бензальдегид, C6-альдегиды</x:v>
      </x:c>
      <x:c r="M282" s="28" t="str">
        <x:v>гексаналь, (E)-2-гексеналь, этилбутират, метилбутират, линалоол; фермент актинидин</x:v>
      </x:c>
      <x:c r="N282" s="28" t="str">
        <x:v>фруктовый, зелёный</x:v>
      </x:c>
      <x:c r="O282" s="28" t="str">
        <x:v>линалоол</x:v>
      </x:c>
      <x:c r="P282" s="28" t="str">
        <x:v>прямое или классовое перекрытие характерных одорантов + вкусовой баланс</x:v>
      </x:c>
      <x:c r="Q282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кислотность, сладость и выраженная свежесть. Баланс корректируется сахаром, кислотой, солью и горечью.</x:v>
      </x:c>
      <x:c r="R282" s="28" t="str">
        <x:v>слабый; кислотность усиливает свежесть; партнёр: кислотное покалывание зависит от плода; специальные эффекты указаны в паспорте</x:v>
      </x:c>
      <x:c r="S282" s="28" t="str">
        <x:v>водно-пектиновая; гидрофобные лактоны лучше проявляются в жире и этаноле. Партнёр: водная; содержит протеазу актинидин и кристаллы оксалата кальция.</x:v>
      </x:c>
      <x:c r="T28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U28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Киви относится к группе «Тропические и субтропические фрукты» и даёт профиль «зелёный, травянистый, цитрусовый, фруктовый и слегка морской»; типичные соединения или классы: гексаналь, (E)-2-гексеналь, этилбутират, метилбутират, линалоол; фермент актинидин. В рабочих профилях пересекаются: линалоол. Общие ароматические направления: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кислотность, сладость и выраженная свежесть.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водная; содержит протеазу актинидин и кристаллы оксалата кальция.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V28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82" s="28" t="str">
        <x:v>мёд, цитрус или нейтральная жировая основа</x:v>
      </x:c>
      <x:c r="X282" s="28" t="str">
        <x:v>напиток, соус, десерт или горячее блюдо после пробной дегустации</x:v>
      </x:c>
      <x:c r="Y282" s="28" t="str">
        <x:v>напитки; еда; десерты; соусы/маринады</x:v>
      </x:c>
      <x:c r="Z282" s="28" t="str">
        <x:v>Средняя</x:v>
      </x:c>
      <x:c r="AA282" s="28" t="str">
        <x:v>The Art &amp; Science of Foodpairing.pdf</x:v>
      </x:c>
      <x:c r="AB282" s="28" t="str">
        <x:v>The Art &amp; Science of Foodpairing.pdf: 260–261</x:v>
      </x:c>
      <x:c r="AC282" s="28" t="str">
        <x:v>Ingredient pairings with peach and nectarine: papaya.</x:v>
      </x:c>
      <x:c r="AD282" s="28" t="n">
        <x:v>1</x:v>
      </x:c>
      <x:c r="AE282" s="28" t="n">
        <x:v>1</x:v>
      </x:c>
      <x:c r="AF282" s="28" t="n">
        <x:f>IF(Z282="Высокая",3,IF(Z282="Средняя",2,1))+AD282*2+MIN(AE282,3)</x:f>
        <x:v>5</x:v>
      </x:c>
    </x:row>
    <x:row r="283" ht="62" customHeight="1">
      <x:c r="A283" s="28" t="str">
        <x:v>STN-0282</x:v>
      </x:c>
      <x:c r="B283" s="28" t="str">
        <x:v>нектарин</x:v>
      </x:c>
      <x:c r="C283" s="28" t="str">
        <x:v>Еда и соусы</x:v>
      </x:c>
      <x:c r="D283" s="28" t="str">
        <x:v>нектарин</x:v>
      </x:c>
      <x:c r="E283" s="28" t="str">
        <x:v>nectarine</x:v>
      </x:c>
      <x:c r="F283" s="28" t="str">
        <x:v>Косточковые фрукты</x:v>
      </x:c>
      <x:c r="G283" s="28" t="str">
        <x:v>кимчи из пекинской капусты</x:v>
      </x:c>
      <x:c r="H283" s="28" t="str">
        <x:v>Baechu kimchi</x:v>
      </x:c>
      <x:c r="I283" s="28" t="str">
        <x:v>Ферментированные продукты, соусы и уксусы</x:v>
      </x:c>
      <x:c r="J283" s="28" t="str">
        <x:v>персиковый, фруктовый, цветочный, зелёный, сливочно-лактонный</x:v>
      </x:c>
      <x:c r="K283" s="28" t="str">
        <x:v>кислый, умами, ферментированный, солёный</x:v>
      </x:c>
      <x:c r="L283" s="28" t="str">
        <x:v>γ- и δ-декалактон, γ- и δ-додекалактон, фруктовые эфиры, линалоол, бензальдегид, C6-альдегиды</x:v>
      </x:c>
      <x:c r="M283" s="28" t="str">
        <x:v>уксусная кислота, эфиры, аминокислотные и ферментационные соединения</x:v>
      </x:c>
      <x:c r="N283" s="28" t="str">
        <x:v>прямое семейное перекрытие не является главным механизмом</x:v>
      </x:c>
      <x:c r="O283" s="28" t="str">
        <x:v>эфиры</x:v>
      </x:c>
      <x:c r="P283" s="28" t="str">
        <x:v>прямое или классовое перекрытие характерных одорантов + вкусовой баланс</x:v>
      </x:c>
      <x:c r="Q283" s="28" t="str">
        <x:v>Кислота, соль и умами усиливают контраст с фруктовой сладостью; сочетание работает в малой дозировке как приправа.</x:v>
      </x:c>
      <x:c r="R283" s="28" t="str">
        <x:v>слабый; кислотность усиливает свежесть; партнёр: кислота усиливает слюноотделение</x:v>
      </x:c>
      <x:c r="S283" s="28" t="str">
        <x:v>водно-пектиновая; гидрофобные лактоны лучше проявляются в жире и этаноле. Партнёр: водная и солевая матрица; часть ароматов удерживается белком и сахаром.</x:v>
      </x:c>
      <x:c r="T28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28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Кимчи из пекинской капусты относится к группе «Ферментированные продукты, соусы и уксусы» и даёт профиль «кислый, умами, ферментированный, солёный»; типичные соединения или классы: уксусная кислота, эфиры, аминокислотные и ферментационные соединения. В рабочих профилях пересекаются: эфиры. Кислота, соль и умами усиливают контраст с фруктовой сладостью; сочетание работает в малой дозировке как приправа. Матрица пары: водно-пектиновая; гидрофобные лактоны лучше проявляются в жире и этаноле. Партнёр: водная и солевая матрица; часть ароматов удерживается белком и сахаром.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283" s="28" t="str">
        <x:v>не перегревать и не переслащивать; иначе исчезает свежая фруктовая детализация. Соль и кислота быстро становятся доминирующими; используйте как акцент.</x:v>
      </x:c>
      <x:c r="W283" s="28" t="str">
        <x:v>мёд, имбирь или соевый соус</x:v>
      </x:c>
      <x:c r="X283" s="28" t="str">
        <x:v>соус, глазировка, чатни, маринад, гарнир или основное блюдо</x:v>
      </x:c>
      <x:c r="Y283" s="28" t="str">
        <x:v>еда; соусы/маринады</x:v>
      </x:c>
      <x:c r="Z283" s="28" t="str">
        <x:v>Средняя</x:v>
      </x:c>
      <x:c r="AA283" s="28" t="str">
        <x:v>The Art &amp; Science of Foodpairing.pdf</x:v>
      </x:c>
      <x:c r="AB283" s="28" t="str">
        <x:v>The Art &amp; Science of Foodpairing.pdf: 304</x:v>
      </x:c>
      <x:c r="AC283" s="28" t="str">
        <x:v>Ингредиент «nectarine» указан на странице профиля/сетки сочетаний «Baechu kimchi».</x:v>
      </x:c>
      <x:c r="AD283" s="28" t="n">
        <x:v>1</x:v>
      </x:c>
      <x:c r="AE283" s="28" t="n">
        <x:v>1</x:v>
      </x:c>
      <x:c r="AF283" s="28" t="n">
        <x:f>IF(Z283="Высокая",3,IF(Z283="Средняя",2,1))+AD283*2+MIN(AE283,3)</x:f>
        <x:v>5</x:v>
      </x:c>
    </x:row>
    <x:row r="284" ht="62" customHeight="1">
      <x:c r="A284" s="28" t="str">
        <x:v>STN-0283</x:v>
      </x:c>
      <x:c r="B284" s="28" t="str">
        <x:v>нектарин</x:v>
      </x:c>
      <x:c r="C284" s="28" t="str">
        <x:v>Универсальные</x:v>
      </x:c>
      <x:c r="D284" s="28" t="str">
        <x:v>нектарин</x:v>
      </x:c>
      <x:c r="E284" s="28" t="str">
        <x:v>nectarine</x:v>
      </x:c>
      <x:c r="F284" s="28" t="str">
        <x:v>Косточковые фрукты</x:v>
      </x:c>
      <x:c r="G284" s="28" t="str">
        <x:v>кленовый сироп</x:v>
      </x:c>
      <x:c r="H284" s="28" t="str">
        <x:v>кленовый сироп</x:v>
      </x:c>
      <x:c r="I284" s="28" t="str">
        <x:v>Сахара, мёд и кондитерские основы</x:v>
      </x:c>
      <x:c r="J284" s="28" t="str">
        <x:v>персиковый, фруктовый, цветочный, зелёный, сливочно-лактонный</x:v>
      </x:c>
      <x:c r="K284" s="28" t="str">
        <x:v>медовый, карамельный, ванильный и жареный</x:v>
      </x:c>
      <x:c r="L284" s="28" t="str">
        <x:v>γ- и δ-декалактон, γ- и δ-додекалактон, фруктовые эфиры, линалоол, бензальдегид, C6-альдегиды</x:v>
      </x:c>
      <x:c r="M284" s="28" t="str">
        <x:v>мальтол, фуранеол, фурфурол, ванилин</x:v>
      </x:c>
      <x:c r="N284" s="28" t="str">
        <x:v>прямое семейное перекрытие не является главным механизмом</x:v>
      </x:c>
      <x:c r="O284" s="28" t="str">
        <x:v>надёжный единичный общий маркер не подтверждён; механизм не сводится к одной молекуле</x:v>
      </x:c>
      <x:c r="P284" s="28" t="str">
        <x:v>комплементарность ароматических семейств, вкусовой контраст и матричный эффект</x:v>
      </x:c>
      <x:c r="Q284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</x:v>
      </x:c>
      <x:c r="R284" s="28" t="str">
        <x:v>слабый; кислотность усиливает свежесть; партнёр: отсутствует</x:v>
      </x:c>
      <x:c r="S284" s="28" t="str">
        <x:v>водно-пектиновая; гидрофобные лактоны лучше проявляются в жире и этаноле. Партнёр: вязкая сахарная; снижает летучесть и смягчает кислоту.</x:v>
      </x:c>
      <x:c r="T28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U28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вязкая сахарная; снижает летучесть и смягчает кислоту.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V28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84" s="28" t="str">
        <x:v>мёд, цитрус или нейтральная жировая основа</x:v>
      </x:c>
      <x:c r="X284" s="28" t="str">
        <x:v>напиток, соус, десерт или горячее блюдо после пробной дегустации</x:v>
      </x:c>
      <x:c r="Y284" s="28" t="str">
        <x:v>напитки; еда; десерты; соусы/маринады</x:v>
      </x:c>
      <x:c r="Z284" s="28" t="str">
        <x:v>Гипотеза / практическая</x:v>
      </x:c>
      <x:c r="AA284" s="28" t="str">
        <x:v>Таблица сочетания(1).pdf</x:v>
      </x:c>
      <x:c r="AB284" s="28" t="str">
        <x:v>Таблица сочетания(1).pdf: 14</x:v>
      </x:c>
      <x:c r="AC284" s="28" t="str">
        <x:v>Пара указана в строке «Нектарин» → колонка «Другое».</x:v>
      </x:c>
      <x:c r="AD284" s="28" t="n">
        <x:v>1</x:v>
      </x:c>
      <x:c r="AE284" s="28" t="n">
        <x:v>1</x:v>
      </x:c>
      <x:c r="AF284" s="28" t="n">
        <x:f>IF(Z284="Высокая",3,IF(Z284="Средняя",2,1))+AD284*2+MIN(AE284,3)</x:f>
        <x:v>4</x:v>
      </x:c>
    </x:row>
    <x:row r="285" ht="62" customHeight="1">
      <x:c r="A285" s="28" t="str">
        <x:v>STN-0284</x:v>
      </x:c>
      <x:c r="B285" s="28" t="str">
        <x:v>нектарин</x:v>
      </x:c>
      <x:c r="C285" s="28" t="str">
        <x:v>Десерты и выпечка</x:v>
      </x:c>
      <x:c r="D285" s="28" t="str">
        <x:v>нектарин</x:v>
      </x:c>
      <x:c r="E285" s="28" t="str">
        <x:v>nectarine</x:v>
      </x:c>
      <x:c r="F285" s="28" t="str">
        <x:v>Косточковые фрукты</x:v>
      </x:c>
      <x:c r="G285" s="28" t="str">
        <x:v>клубника</x:v>
      </x:c>
      <x:c r="H285" s="28" t="str">
        <x:v>Strawberry | Клубника</x:v>
      </x:c>
      <x:c r="I285" s="28" t="str">
        <x:v>Ягоды</x:v>
      </x:c>
      <x:c r="J285" s="28" t="str">
        <x:v>персиковый, фруктовый, цветочный, зелёный, сливочно-лактонный</x:v>
      </x:c>
      <x:c r="K285" s="28" t="str">
        <x:v>красно-фруктовый, цветочный, зелёный и иногда сернистый</x:v>
      </x:c>
      <x:c r="L285" s="28" t="str">
        <x:v>γ- и δ-декалактон, γ- и δ-додекалактон, фруктовые эфиры, линалоол, бензальдегид, C6-альдегиды</x:v>
      </x:c>
      <x:c r="M285" s="28" t="str">
        <x:v>фуранеол, эфиры, иононы, зелёные альдегиды</x:v>
      </x:c>
      <x:c r="N285" s="28" t="str">
        <x:v>цветочный, фруктовый, зелёный</x:v>
      </x:c>
      <x:c r="O285" s="28" t="str">
        <x:v>эфиры</x:v>
      </x:c>
      <x:c r="P285" s="28" t="str">
        <x:v>прямое или классовое перекрытие характерных одорантов + вкусовой баланс</x:v>
      </x:c>
      <x:c r="Q285" s="28" t="str">
        <x:v>Близкие фруктовые эфиры создают непрерывность, а различия в кислотности, терпкости и сладости формируют контраст.</x:v>
      </x:c>
      <x:c r="R285" s="28" t="str">
        <x:v>слабый; кислотность усиливает свежесть; партнёр: обычно слабый; кислота усиливает свежесть</x:v>
      </x:c>
      <x:c r="S285" s="28" t="str">
        <x:v>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</x:v>
      </x:c>
      <x:c r="T28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28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28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85" s="28" t="str">
        <x:v>ваниль, мята или миндаль</x:v>
      </x:c>
      <x:c r="X285" s="28" t="str">
        <x:v>сорбет, салат, джем, кордиал, лимонад, коктейль или фруктовый соус</x:v>
      </x:c>
      <x:c r="Y285" s="28" t="str">
        <x:v>напитки; десерты; соусы/маринады</x:v>
      </x:c>
      <x:c r="Z285" s="28" t="str">
        <x:v>Высокая</x:v>
      </x:c>
      <x:c r="AA285" s="28" t="str">
        <x:v>The Art &amp; Science of Foodpairing.pdf | Таблица сочетания(1).pdf</x:v>
      </x:c>
      <x:c r="AB285" s="28" t="str">
        <x:v>The Art &amp; Science of Foodpairing.pdf: The Art &amp; Science of Foodpairing: 70; Таблица сочетаний: 20 | Таблица сочетания(1).pdf: 20 | The Art &amp; Science of Foodpairing.pdf: 70</x:v>
      </x:c>
      <x:c r="AC285" s="28" t="str">
        <x:v>Клубника: нектарин | Ingredient pairings with Strawberry: nectarine Пара указана в строке «Клубника»: «нектарин» находится в колонке «Фрукты». Ингредиент «nectarine» указан на странице профиля/сетки сочетаний «Strawberry».</x:v>
      </x:c>
      <x:c r="AD285" s="28" t="n">
        <x:v>2</x:v>
      </x:c>
      <x:c r="AE285" s="28" t="n">
        <x:v>3</x:v>
      </x:c>
      <x:c r="AF285" s="28" t="n">
        <x:f>IF(Z285="Высокая",3,IF(Z285="Средняя",2,1))+AD285*2+MIN(AE285,3)</x:f>
        <x:v>10</x:v>
      </x:c>
    </x:row>
    <x:row r="286" ht="62" customHeight="1">
      <x:c r="A286" s="28" t="str">
        <x:v>STN-0285</x:v>
      </x:c>
      <x:c r="B286" s="28" t="str">
        <x:v>нектарин</x:v>
      </x:c>
      <x:c r="C286" s="28" t="str">
        <x:v>Десерты и выпечка</x:v>
      </x:c>
      <x:c r="D286" s="28" t="str">
        <x:v>нектарин</x:v>
      </x:c>
      <x:c r="E286" s="28" t="str">
        <x:v>nectarine</x:v>
      </x:c>
      <x:c r="F286" s="28" t="str">
        <x:v>Косточковые фрукты</x:v>
      </x:c>
      <x:c r="G286" s="28" t="str">
        <x:v>клюква</x:v>
      </x:c>
      <x:c r="H286" s="28" t="str">
        <x:v>клюква</x:v>
      </x:c>
      <x:c r="I286" s="28" t="str">
        <x:v>Ягоды</x:v>
      </x:c>
      <x:c r="J286" s="28" t="str">
        <x:v>персиковый, фруктовый, цветочный, зелёный, сливочно-лактонный</x:v>
      </x:c>
      <x:c r="K286" s="28" t="str">
        <x:v>красно-фруктовый, цветочный, зелёный и иногда сернистый</x:v>
      </x:c>
      <x:c r="L286" s="28" t="str">
        <x:v>γ- и δ-декалактон, γ- и δ-додекалактон, фруктовые эфиры, линалоол, бензальдегид, C6-альдегиды</x:v>
      </x:c>
      <x:c r="M286" s="28" t="str">
        <x:v>фуранеол, эфиры, иононы, зелёные альдегиды</x:v>
      </x:c>
      <x:c r="N286" s="28" t="str">
        <x:v>цветочный, фруктовый, зелёный</x:v>
      </x:c>
      <x:c r="O286" s="28" t="str">
        <x:v>эфиры</x:v>
      </x:c>
      <x:c r="P286" s="28" t="str">
        <x:v>прямое или классовое перекрытие характерных одорантов + вкусовой баланс</x:v>
      </x:c>
      <x:c r="Q286" s="28" t="str">
        <x:v>Близкие фруктовые эфиры создают непрерывность, а различия в кислотности, терпкости и сладости формируют контраст.</x:v>
      </x:c>
      <x:c r="R286" s="28" t="str">
        <x:v>слабый; кислотность усиливает свежесть; партнёр: обычно слабый; кислота усиливает свежесть</x:v>
      </x:c>
      <x:c r="S286" s="28" t="str">
        <x:v>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</x:v>
      </x:c>
      <x:c r="T28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28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Клюква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28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86" s="28" t="str">
        <x:v>ваниль, мята или миндаль</x:v>
      </x:c>
      <x:c r="X286" s="28" t="str">
        <x:v>сорбет, салат, джем, кордиал, лимонад, коктейль или фруктовый соус</x:v>
      </x:c>
      <x:c r="Y286" s="28" t="str">
        <x:v>напитки; десерты; соусы/маринады</x:v>
      </x:c>
      <x:c r="Z286" s="28" t="str">
        <x:v>Гипотеза / практическая</x:v>
      </x:c>
      <x:c r="AA286" s="28" t="str">
        <x:v>Таблица сочетания(1).pdf</x:v>
      </x:c>
      <x:c r="AB286" s="28" t="str">
        <x:v>Таблица сочетания(1).pdf: Таблица сочетаний: 14 | Таблица сочетания(1).pdf: 14</x:v>
      </x:c>
      <x:c r="AC286" s="28" t="str">
        <x:v>Нектарин: клюква Пара указана в строке «Нектарин» → колонка «Фрукты».</x:v>
      </x:c>
      <x:c r="AD286" s="28" t="n">
        <x:v>1</x:v>
      </x:c>
      <x:c r="AE286" s="28" t="n">
        <x:v>2</x:v>
      </x:c>
      <x:c r="AF286" s="28" t="n">
        <x:f>IF(Z286="Высокая",3,IF(Z286="Средняя",2,1))+AD286*2+MIN(AE286,3)</x:f>
        <x:v>5</x:v>
      </x:c>
    </x:row>
    <x:row r="287" ht="62" customHeight="1">
      <x:c r="A287" s="28" t="str">
        <x:v>STN-0286</x:v>
      </x:c>
      <x:c r="B287" s="28" t="str">
        <x:v>нектарин</x:v>
      </x:c>
      <x:c r="C287" s="28" t="str">
        <x:v>Универсальные</x:v>
      </x:c>
      <x:c r="D287" s="28" t="str">
        <x:v>нектарин</x:v>
      </x:c>
      <x:c r="E287" s="28" t="str">
        <x:v>nectarine</x:v>
      </x:c>
      <x:c r="F287" s="28" t="str">
        <x:v>Косточковые фрукты</x:v>
      </x:c>
      <x:c r="G287" s="28" t="str">
        <x:v>кокос</x:v>
      </x:c>
      <x:c r="H287" s="28" t="str">
        <x:v>кокос</x:v>
      </x:c>
      <x:c r="I287" s="28" t="str">
        <x:v>Тропические фрукты и жирные матрицы</x:v>
      </x:c>
      <x:c r="J287" s="28" t="str">
        <x:v>персиковый, фруктовый, цветочный, зелёный, сливочно-лактонный</x:v>
      </x:c>
      <x:c r="K287" s="28" t="str">
        <x:v>сливочный, молочный, ореховый, сладкий и древесный</x:v>
      </x:c>
      <x:c r="L287" s="28" t="str">
        <x:v>γ- и δ-декалактон, γ- и δ-додекалактон, фруктовые эфиры, линалоол, бензальдегид, C6-альдегиды</x:v>
      </x:c>
      <x:c r="M287" s="28" t="str">
        <x:v>γ-ноналактон, γ-окталактон, δ-декалактон, жирные кислоты; при обжарке — пиразины и фураны</x:v>
      </x:c>
      <x:c r="N287" s="28" t="str">
        <x:v>прямое семейное перекрытие не является главным механизмом</x:v>
      </x:c>
      <x:c r="O287" s="28" t="str">
        <x:v>декалактон</x:v>
      </x:c>
      <x:c r="P287" s="28" t="str">
        <x:v>прямое или классовое перекрытие характерных одорантов + вкусовой баланс</x:v>
      </x:c>
      <x:c r="Q287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мягкая сладость; кокосовая вода минеральнее, мякоть и молоко жирнее. Баланс корректируется сахаром, кислотой, солью и горечью.</x:v>
      </x:c>
      <x:c r="R287" s="28" t="str">
        <x:v>слабый; кислотность усиливает свежесть; партнёр: кислотное покалывание зависит от плода; специальные эффекты указаны в паспорте</x:v>
      </x:c>
      <x:c r="S287" s="28" t="str">
        <x:v>водно-пектиновая; гидрофобные лактоны лучше проявляются в жире и этаноле. Партнёр: богатая жиром эмульсия; хорошо растворяет гидрофобные терпены, специи и ароматические масла.</x:v>
      </x:c>
      <x:c r="T28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U28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В рабочих профилях пересекаются: декалактон.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богатая жиром эмульсия; хорошо растворяет гидрофобные терпены, специи и ароматические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V28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87" s="28" t="str">
        <x:v>мёд, цитрус или нейтральная жировая основа</x:v>
      </x:c>
      <x:c r="X287" s="28" t="str">
        <x:v>напиток, соус, десерт или горячее блюдо после пробной дегустации</x:v>
      </x:c>
      <x:c r="Y287" s="28" t="str">
        <x:v>напитки; еда; десерты; соусы/маринады</x:v>
      </x:c>
      <x:c r="Z287" s="28" t="str">
        <x:v>Гипотеза / практическая</x:v>
      </x:c>
      <x:c r="AA287" s="28" t="str">
        <x:v>Таблица сочетания(1).pdf</x:v>
      </x:c>
      <x:c r="AB287" s="28" t="str">
        <x:v>Таблица сочетания(1).pdf: Таблица сочетаний: 14 | Таблица сочетания(1).pdf: 14</x:v>
      </x:c>
      <x:c r="AC287" s="28" t="str">
        <x:v>Таблица сочетаний: В строке «Нектарин» ингредиент «кокос» указан как рекомендуемое сочетание в колонке «Другое». Пара указана в строке «Нектарин» → колонка «Другое».</x:v>
      </x:c>
      <x:c r="AD287" s="28" t="n">
        <x:v>1</x:v>
      </x:c>
      <x:c r="AE287" s="28" t="n">
        <x:v>2</x:v>
      </x:c>
      <x:c r="AF287" s="28" t="n">
        <x:f>IF(Z287="Высокая",3,IF(Z287="Средняя",2,1))+AD287*2+MIN(AE287,3)</x:f>
        <x:v>5</x:v>
      </x:c>
    </x:row>
    <x:row r="288" ht="62" customHeight="1">
      <x:c r="A288" s="28" t="str">
        <x:v>STN-0287</x:v>
      </x:c>
      <x:c r="B288" s="28" t="str">
        <x:v>нектарин</x:v>
      </x:c>
      <x:c r="C288" s="28" t="str">
        <x:v>Универсальные</x:v>
      </x:c>
      <x:c r="D288" s="28" t="str">
        <x:v>нектарин</x:v>
      </x:c>
      <x:c r="E288" s="28" t="str">
        <x:v>nectarine</x:v>
      </x:c>
      <x:c r="F288" s="28" t="str">
        <x:v>Косточковые фрукты</x:v>
      </x:c>
      <x:c r="G288" s="28" t="str">
        <x:v>корица</x:v>
      </x:c>
      <x:c r="H288" s="28" t="str">
        <x:v>корица</x:v>
      </x:c>
      <x:c r="I288" s="28" t="str">
        <x:v>Специи и острые компоненты</x:v>
      </x:c>
      <x:c r="J288" s="28" t="str">
        <x:v>персиковый, фруктовый, цветочный, зелёный, сливочно-лактонный</x:v>
      </x:c>
      <x:c r="K288" s="28" t="str">
        <x:v>тёплый, древесный и сладко-пряный</x:v>
      </x:c>
      <x:c r="L288" s="28" t="str">
        <x:v>γ- и δ-декалактон, γ- и δ-додекалактон, фруктовые эфиры, линалоол, бензальдегид, C6-альдегиды</x:v>
      </x:c>
      <x:c r="M288" s="28" t="str">
        <x:v>коричный альдегид, эвгенол</x:v>
      </x:c>
      <x:c r="N288" s="28" t="str">
        <x:v>прямое семейное перекрытие не является главным механизмом</x:v>
      </x:c>
      <x:c r="O288" s="28" t="str">
        <x:v>надёжный единичный общий маркер не подтверждён; механизм не сводится к одной молекуле</x:v>
      </x:c>
      <x:c r="P288" s="28" t="str">
        <x:v>комплементарность ароматических семейств, вкусовой контраст и матричный эффект</x:v>
      </x:c>
      <x:c r="Q288" s="28" t="str">
        <x:v>Сладость и кислота фрукта смягчают остроту и горечь специи, а пряный компонент удлиняет ароматическое послевкусие.</x:v>
      </x:c>
      <x:c r="R288" s="28" t="str">
        <x:v>слабый; кислотность усиливает свежесть; партнёр: капсаицин, пиперин, гингеролы и камфорные терпены создают жжение, тепло или охлаждение</x:v>
      </x:c>
      <x:c r="S288" s="28" t="str">
        <x:v>водно-пектиновая; гидрофобные лактоны лучше проявляются в жире и этаноле. Партнёр: ароматические масла хорошо переходят в жир и этанол.</x:v>
      </x:c>
      <x:c r="T288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28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288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W288" s="28" t="str">
        <x:v>мёд, цитрус или миндаль</x:v>
      </x:c>
      <x:c r="X288" s="28" t="str">
        <x:v>напиток, соус, десерт или горячее блюдо после пробной дегустации</x:v>
      </x:c>
      <x:c r="Y288" s="28" t="str">
        <x:v>напитки; еда; десерты; соусы/маринады</x:v>
      </x:c>
      <x:c r="Z288" s="28" t="str">
        <x:v>Гипотеза / практическая</x:v>
      </x:c>
      <x:c r="AA288" s="28" t="str">
        <x:v>Таблица сочетания(1).pdf</x:v>
      </x:c>
      <x:c r="AB288" s="28" t="str">
        <x:v>Таблица сочетания(1).pdf: 14</x:v>
      </x:c>
      <x:c r="AC288" s="28" t="str">
        <x:v>Пара указана в строке «Нектарин» → колонка «Травы и специи».</x:v>
      </x:c>
      <x:c r="AD288" s="28" t="n">
        <x:v>1</x:v>
      </x:c>
      <x:c r="AE288" s="28" t="n">
        <x:v>1</x:v>
      </x:c>
      <x:c r="AF288" s="28" t="n">
        <x:f>IF(Z288="Высокая",3,IF(Z288="Средняя",2,1))+AD288*2+MIN(AE288,3)</x:f>
        <x:v>4</x:v>
      </x:c>
    </x:row>
    <x:row r="289" ht="62" customHeight="1">
      <x:c r="A289" s="28" t="str">
        <x:v>STN-0288</x:v>
      </x:c>
      <x:c r="B289" s="28" t="str">
        <x:v>нектарин</x:v>
      </x:c>
      <x:c r="C289" s="28" t="str">
        <x:v>Еда и соусы</x:v>
      </x:c>
      <x:c r="D289" s="28" t="str">
        <x:v>нектарин</x:v>
      </x:c>
      <x:c r="E289" s="28" t="str">
        <x:v>nectarine</x:v>
      </x:c>
      <x:c r="F289" s="28" t="str">
        <x:v>Косточковые фрукты</x:v>
      </x:c>
      <x:c r="G289" s="28" t="str">
        <x:v>краснокочанная капуста</x:v>
      </x:c>
      <x:c r="H289" s="28" t="str">
        <x:v>red cabbage</x:v>
      </x:c>
      <x:c r="I289" s="28" t="str">
        <x:v>Овощи и корнеплоды</x:v>
      </x:c>
      <x:c r="J289" s="28" t="str">
        <x:v>персиковый, фруктовый, цветочный, зелёный, сливочно-лактонный</x:v>
      </x:c>
      <x:c r="K289" s="28" t="str">
        <x:v>зелёный, землистый, сладковатый или сернистый</x:v>
      </x:c>
      <x:c r="L289" s="28" t="str">
        <x:v>γ- и δ-декалактон, γ- и δ-додекалактон, фруктовые эфиры, линалоол, бензальдегид, C6-альдегиды</x:v>
      </x:c>
      <x:c r="M289" s="28" t="str">
        <x:v>C6-альдегиды, метоксипиразины, терпены, сернистые соединения</x:v>
      </x:c>
      <x:c r="N289" s="28" t="str">
        <x:v>зелёный</x:v>
      </x:c>
      <x:c r="O289" s="28" t="str">
        <x:v>c6-альдегиды</x:v>
      </x:c>
      <x:c r="P289" s="28" t="str">
        <x:v>прямое или классовое перекрытие характерных одорантов + вкусовой баланс</x:v>
      </x:c>
      <x:c r="Q289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</x:v>
      </x:c>
      <x:c r="R289" s="28" t="str">
        <x:v>слабый; кислотность усиливает свежесть; партнёр: зависит от продукта</x:v>
      </x:c>
      <x:c r="S289" s="28" t="str">
        <x:v>водно-пектиновая; гидрофобные лактоны лучше проявляются в жире и этаноле. Партнёр: водная и клетчаточная матрица; обжарка усиливает сладость и Майяр.</x:v>
      </x:c>
      <x:c r="T28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28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Краснокочанная капуста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28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89" s="28" t="str">
        <x:v>мёд, травы или уксус</x:v>
      </x:c>
      <x:c r="X289" s="28" t="str">
        <x:v>соус, глазировка, чатни, маринад, гарнир или основное блюдо</x:v>
      </x:c>
      <x:c r="Y289" s="28" t="str">
        <x:v>еда; соусы/маринады</x:v>
      </x:c>
      <x:c r="Z289" s="28" t="str">
        <x:v>Средняя</x:v>
      </x:c>
      <x:c r="AA289" s="28" t="str">
        <x:v>The Art &amp; Science of Foodpairing.pdf</x:v>
      </x:c>
      <x:c r="AB289" s="28" t="str">
        <x:v>The Art &amp; Science of Foodpairing.pdf: 260–261</x:v>
      </x:c>
      <x:c r="AC289" s="28" t="str">
        <x:v>Ingredient pairings with peach and nectarine: red cabbage.</x:v>
      </x:c>
      <x:c r="AD289" s="28" t="n">
        <x:v>1</x:v>
      </x:c>
      <x:c r="AE289" s="28" t="n">
        <x:v>1</x:v>
      </x:c>
      <x:c r="AF289" s="28" t="n">
        <x:f>IF(Z289="Высокая",3,IF(Z289="Средняя",2,1))+AD289*2+MIN(AE289,3)</x:f>
        <x:v>5</x:v>
      </x:c>
    </x:row>
    <x:row r="290" ht="62" customHeight="1">
      <x:c r="A290" s="28" t="str">
        <x:v>STN-0289</x:v>
      </x:c>
      <x:c r="B290" s="28" t="str">
        <x:v>нектарин</x:v>
      </x:c>
      <x:c r="C290" s="28" t="str">
        <x:v>Универсальные</x:v>
      </x:c>
      <x:c r="D290" s="28" t="str">
        <x:v>нектарин</x:v>
      </x:c>
      <x:c r="E290" s="28" t="str">
        <x:v>nectarine</x:v>
      </x:c>
      <x:c r="F290" s="28" t="str">
        <x:v>Косточковые фрукты</x:v>
      </x:c>
      <x:c r="G290" s="28" t="str">
        <x:v>лемонграсс</x:v>
      </x:c>
      <x:c r="H290" s="28" t="str">
        <x:v>Lemongrass</x:v>
      </x:c>
      <x:c r="I290" s="28" t="str">
        <x:v>Травы и цветы</x:v>
      </x:c>
      <x:c r="J290" s="28" t="str">
        <x:v>персиковый, фруктовый, цветочный, зелёный, сливочно-лактонный</x:v>
      </x:c>
      <x:c r="K290" s="28" t="str">
        <x:v>зелёный, цветочный, травянистый и эфирно-масличный</x:v>
      </x:c>
      <x:c r="L290" s="28" t="str">
        <x:v>γ- и δ-декалактон, γ- и δ-додекалактон, фруктовые эфиры, линалоол, бензальдегид, C6-альдегиды</x:v>
      </x:c>
      <x:c r="M290" s="28" t="str">
        <x:v>линалоол, гераниол, эвгенол, 1,8-цинеол</x:v>
      </x:c>
      <x:c r="N290" s="28" t="str">
        <x:v>цветочный, зелёный</x:v>
      </x:c>
      <x:c r="O290" s="28" t="str">
        <x:v>линалоол</x:v>
      </x:c>
      <x:c r="P290" s="28" t="str">
        <x:v>прямое или классовое перекрытие характерных одорантов + вкусовой баланс</x:v>
      </x:c>
      <x:c r="Q290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290" s="28" t="str">
        <x:v>слабый; кислотность усиливает свежесть; партнёр: у мяты возможен холодящий эффект ментола; у некоторых трав — камфорность</x:v>
      </x:c>
      <x:c r="S290" s="28" t="str">
        <x:v>водно-пектиновая; гидрофобные лактоны лучше проявляются в жире и этаноле. Партнёр: эфирные масла гидрофобны и лучше раскрываются в жире или этаноле.</x:v>
      </x:c>
      <x:c r="T29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29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Лемонграсс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29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90" s="28" t="str">
        <x:v>мёд, цитрус или нейтральная жировая основа</x:v>
      </x:c>
      <x:c r="X290" s="28" t="str">
        <x:v>напиток, соус, десерт или горячее блюдо после пробной дегустации</x:v>
      </x:c>
      <x:c r="Y290" s="28" t="str">
        <x:v>напитки; еда; десерты; соусы/маринады</x:v>
      </x:c>
      <x:c r="Z290" s="28" t="str">
        <x:v>Средняя</x:v>
      </x:c>
      <x:c r="AA290" s="28" t="str">
        <x:v>The Art &amp; Science of Foodpairing.pdf</x:v>
      </x:c>
      <x:c r="AB290" s="28" t="str">
        <x:v>The Art &amp; Science of Foodpairing.pdf: 146</x:v>
      </x:c>
      <x:c r="AC290" s="28" t="str">
        <x:v>Ингредиент «nectarine» указан на странице профиля/сетки сочетаний «Lemongrass».</x:v>
      </x:c>
      <x:c r="AD290" s="28" t="n">
        <x:v>1</x:v>
      </x:c>
      <x:c r="AE290" s="28" t="n">
        <x:v>1</x:v>
      </x:c>
      <x:c r="AF290" s="28" t="n">
        <x:f>IF(Z290="Высокая",3,IF(Z290="Средняя",2,1))+AD290*2+MIN(AE290,3)</x:f>
        <x:v>5</x:v>
      </x:c>
    </x:row>
    <x:row r="291" ht="62" customHeight="1">
      <x:c r="A291" s="28" t="str">
        <x:v>STN-0290</x:v>
      </x:c>
      <x:c r="B291" s="28" t="str">
        <x:v>нектарин</x:v>
      </x:c>
      <x:c r="C291" s="28" t="str">
        <x:v>Напитки</x:v>
      </x:c>
      <x:c r="D291" s="28" t="str">
        <x:v>нектарин</x:v>
      </x:c>
      <x:c r="E291" s="28" t="str">
        <x:v>nectarine</x:v>
      </x:c>
      <x:c r="F291" s="28" t="str">
        <x:v>Косточковые фрукты</x:v>
      </x:c>
      <x:c r="G291" s="28" t="str">
        <x:v>ликер ириска</x:v>
      </x:c>
      <x:c r="H291" s="28" t="str">
        <x:v>butterscotch liqueur</x:v>
      </x:c>
      <x:c r="I291" s="28" t="str">
        <x:v>Алкогольные напитки</x:v>
      </x:c>
      <x:c r="J291" s="28" t="str">
        <x:v>персиковый, фруктовый, цветочный, зелёный, сливочно-лактонный</x:v>
      </x:c>
      <x:c r="K291" s="28" t="str">
        <x:v>спиртовой, эфирный, фруктовый или древесный в зависимости от напитка</x:v>
      </x:c>
      <x:c r="L291" s="28" t="str">
        <x:v>γ- и δ-декалактон, γ- и δ-додекалактон, фруктовые эфиры, линалоол, бензальдегид, C6-альдегиды</x:v>
      </x:c>
      <x:c r="M291" s="28" t="str">
        <x:v>этиловые эфиры, высшие спирты, ацетали; для выдержанных напитков — ванилин и дубовые лактоны</x:v>
      </x:c>
      <x:c r="N291" s="28" t="str">
        <x:v>фруктовый</x:v>
      </x:c>
      <x:c r="O291" s="28" t="str">
        <x:v>эфиры</x:v>
      </x:c>
      <x:c r="P291" s="28" t="str">
        <x:v>прямое или классовое перекрытие характерных одорантов + вкусовой баланс</x:v>
      </x:c>
      <x:c r="Q291" s="28" t="str">
        <x:v>Этанол усиливает летучесть лактонов и терпенов; сахар и кислотность должны быть настроены так, чтобы крепость не маскировала плод.</x:v>
      </x:c>
      <x:c r="R291" s="28" t="str">
        <x:v>слабый; кислотность усиливает свежесть; партнёр: этанол даёт согревание</x:v>
      </x:c>
      <x:c r="S291" s="28" t="str">
        <x:v>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</x:v>
      </x:c>
      <x:c r="T291" s="28" t="str">
        <x:v>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</x:v>
      </x:c>
      <x:c r="U29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Ликер ириска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В рабочих профилях пересекаются: эфиры. Общие ароматические направления: фруктовый. Этанол усиливает летучесть лактонов и терпенов; сахар и кислотность должны быть настроены так, чтобы крепость не маскировала плод. Матрица пары: 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 Обработка: 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</x:v>
      </x:c>
      <x:c r="V291" s="28" t="str">
        <x:v>не перегревать и не переслащивать; иначе исчезает свежая фруктовая детализация. Высокая крепость и избыток сахара маскируют свежесть; после мацерации контролируйте терпкость кожицы.</x:v>
      </x:c>
      <x:c r="W291" s="28" t="str">
        <x:v>цитрус, чай или вермут</x:v>
      </x:c>
      <x:c r="X291" s="28" t="str">
        <x:v>коктейль, кордиал, настой, спритц, чайный или кофейный напиток</x:v>
      </x:c>
      <x:c r="Y291" s="28" t="str">
        <x:v>напитки</x:v>
      </x:c>
      <x:c r="Z291" s="28" t="str">
        <x:v>Средняя</x:v>
      </x:c>
      <x:c r="AA291" s="28" t="str">
        <x:v>The Art &amp; Science of Foodpairing.pdf</x:v>
      </x:c>
      <x:c r="AB291" s="28" t="str">
        <x:v>The Art &amp; Science of Foodpairing.pdf: 260–261</x:v>
      </x:c>
      <x:c r="AC291" s="28" t="str">
        <x:v>Ingredient pairings with peach and nectarine: butterscotch liqueur.</x:v>
      </x:c>
      <x:c r="AD291" s="28" t="n">
        <x:v>1</x:v>
      </x:c>
      <x:c r="AE291" s="28" t="n">
        <x:v>1</x:v>
      </x:c>
      <x:c r="AF291" s="28" t="n">
        <x:f>IF(Z291="Высокая",3,IF(Z291="Средняя",2,1))+AD291*2+MIN(AE291,3)</x:f>
        <x:v>5</x:v>
      </x:c>
    </x:row>
    <x:row r="292" ht="62" customHeight="1">
      <x:c r="A292" s="28" t="str">
        <x:v>STN-0291</x:v>
      </x:c>
      <x:c r="B292" s="28" t="str">
        <x:v>нектарин</x:v>
      </x:c>
      <x:c r="C292" s="28" t="str">
        <x:v>Десерты и выпечка</x:v>
      </x:c>
      <x:c r="D292" s="28" t="str">
        <x:v>нектарин</x:v>
      </x:c>
      <x:c r="E292" s="28" t="str">
        <x:v>nectarine</x:v>
      </x:c>
      <x:c r="F292" s="28" t="str">
        <x:v>Косточковые фрукты</x:v>
      </x:c>
      <x:c r="G292" s="28" t="str">
        <x:v>лимон</x:v>
      </x:c>
      <x:c r="H292" s="28" t="str">
        <x:v>лимон</x:v>
      </x:c>
      <x:c r="I292" s="28" t="str">
        <x:v>Цитрусовые</x:v>
      </x:c>
      <x:c r="J292" s="28" t="str">
        <x:v>персиковый, фруктовый, цветочный, зелёный, сливочно-лактонный</x:v>
      </x:c>
      <x:c r="K292" s="28" t="str">
        <x:v>яркий цитрусовый и свежий</x:v>
      </x:c>
      <x:c r="L292" s="28" t="str">
        <x:v>γ- и δ-декалактон, γ- и δ-додекалактон, фруктовые эфиры, линалоол, бензальдегид, C6-альдегиды</x:v>
      </x:c>
      <x:c r="M292" s="28" t="str">
        <x:v>лимонен, цитраль, β-пинен</x:v>
      </x:c>
      <x:c r="N292" s="28" t="str">
        <x:v>прямое семейное перекрытие не является главным механизмом</x:v>
      </x:c>
      <x:c r="O292" s="28" t="str">
        <x:v>надёжный единичный общий маркер не подтверждён; механизм не сводится к одной молекуле</x:v>
      </x:c>
      <x:c r="P292" s="28" t="str">
        <x:v>комплементарность ароматических семейств, вкусовой контраст и матричный эффект</x:v>
      </x:c>
      <x:c r="Q292" s="28" t="str">
        <x:v>Близкие фруктовые эфиры создают непрерывность, а различия в кислотности, терпкости и сладости формируют контраст.</x:v>
      </x:c>
      <x:c r="R292" s="28" t="str">
        <x:v>слабый; кислотность усиливает свежесть; партнёр: кислота даёт покалывание и ощущение свежести</x:v>
      </x:c>
      <x:c r="S292" s="28" t="str">
        <x:v>водно-пектиновая; гидрофобные лактоны лучше проявляются в жире и этаноле. Партнёр: сок водный и кислый, цедра содержит гидрофобные эфирные масла.</x:v>
      </x:c>
      <x:c r="T29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29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29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92" s="28" t="str">
        <x:v>ваниль, мёд или розмарин</x:v>
      </x:c>
      <x:c r="X292" s="28" t="str">
        <x:v>сорбет, салат, джем, кордиал, лимонад, коктейль или фруктовый соус</x:v>
      </x:c>
      <x:c r="Y292" s="28" t="str">
        <x:v>напитки; десерты; соусы/маринады</x:v>
      </x:c>
      <x:c r="Z292" s="28" t="str">
        <x:v>Гипотеза / практическая</x:v>
      </x:c>
      <x:c r="AA292" s="28" t="str">
        <x:v>Таблица сочетания(1).pdf</x:v>
      </x:c>
      <x:c r="AB292" s="28" t="str">
        <x:v>Таблица сочетания(1).pdf: Таблица сочетания(1).pdf: 14 | Таблица сочетания(1).pdf: 14</x:v>
      </x:c>
      <x:c r="AC292" s="28" t="str">
        <x:v>Пара указана в таблице: «Нектарин» → колонка «Фрукты». Пара указана в строке «Нектарин» → колонка «Фрукты».</x:v>
      </x:c>
      <x:c r="AD292" s="28" t="n">
        <x:v>1</x:v>
      </x:c>
      <x:c r="AE292" s="28" t="n">
        <x:v>2</x:v>
      </x:c>
      <x:c r="AF292" s="28" t="n">
        <x:f>IF(Z292="Высокая",3,IF(Z292="Средняя",2,1))+AD292*2+MIN(AE292,3)</x:f>
        <x:v>5</x:v>
      </x:c>
    </x:row>
    <x:row r="293" ht="62" customHeight="1">
      <x:c r="A293" s="28" t="str">
        <x:v>STN-0292</x:v>
      </x:c>
      <x:c r="B293" s="28" t="str">
        <x:v>нектарин</x:v>
      </x:c>
      <x:c r="C293" s="28" t="str">
        <x:v>Универсальные</x:v>
      </x:c>
      <x:c r="D293" s="28" t="str">
        <x:v>нектарин</x:v>
      </x:c>
      <x:c r="E293" s="28" t="str">
        <x:v>nectarine</x:v>
      </x:c>
      <x:c r="F293" s="28" t="str">
        <x:v>Косточковые фрукты</x:v>
      </x:c>
      <x:c r="G293" s="28" t="str">
        <x:v>лист шисо</x:v>
      </x:c>
      <x:c r="H293" s="28" t="str">
        <x:v>shiso leaf</x:v>
      </x:c>
      <x:c r="I293" s="28" t="str">
        <x:v>Травы, листья и цветы</x:v>
      </x:c>
      <x:c r="J293" s="28" t="str">
        <x:v>персиковый, фруктовый, цветочный, зелёный, сливочно-лактонный</x:v>
      </x:c>
      <x:c r="K293" s="28" t="str">
        <x:v>зелёный, цветочный, цитрусовый или анисовый</x:v>
      </x:c>
      <x:c r="L293" s="28" t="str">
        <x:v>γ- и δ-декалактон, γ- и δ-додекалактон, фруктовые эфиры, линалоол, бензальдегид, C6-альдегиды</x:v>
      </x:c>
      <x:c r="M293" s="28" t="str">
        <x:v>терпены, линалоол, гераниол, эвгенол, анетол, C6-альдегиды</x:v>
      </x:c>
      <x:c r="N293" s="28" t="str">
        <x:v>цветочный, зелёный</x:v>
      </x:c>
      <x:c r="O293" s="28" t="str">
        <x:v>линалоол, c6-альдегиды</x:v>
      </x:c>
      <x:c r="P293" s="28" t="str">
        <x:v>прямое или классовое перекрытие характерных одорантов + вкусовой баланс</x:v>
      </x:c>
      <x:c r="Q293" s="28" t="str">
        <x:v>Цветочные и зелёные ноты расширяют верхнюю часть аромата; фруктовая сладость смягчает травяную горечь.</x:v>
      </x:c>
      <x:c r="R293" s="28" t="str">
        <x:v>слабый; кислотность усиливает свежесть; партнёр: часто охлаждение/покалывание у мяты и хвои</x:v>
      </x:c>
      <x:c r="S293" s="28" t="str">
        <x:v>водно-пектиновая; гидрофобные лактоны лучше проявляются в жире и этаноле. Партнёр: эфирные масла гидрофобны и лучше экстрагируются жиром или этанолом.</x:v>
      </x:c>
      <x:c r="T293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U29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Лист шисо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V29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93" s="28" t="str">
        <x:v>лимон, мёд или ваниль</x:v>
      </x:c>
      <x:c r="X293" s="28" t="str">
        <x:v>напиток, соус, десерт или горячее блюдо после пробной дегустации</x:v>
      </x:c>
      <x:c r="Y293" s="28" t="str">
        <x:v>напитки; еда; десерты; соусы/маринады</x:v>
      </x:c>
      <x:c r="Z293" s="28" t="str">
        <x:v>Средняя</x:v>
      </x:c>
      <x:c r="AA293" s="28" t="str">
        <x:v>The Art &amp; Science of Foodpairing.pdf</x:v>
      </x:c>
      <x:c r="AB293" s="28" t="str">
        <x:v>The Art &amp; Science of Foodpairing.pdf: 260–261</x:v>
      </x:c>
      <x:c r="AC293" s="28" t="str">
        <x:v>Ingredient pairings with peach and nectarine: shiso leaf.</x:v>
      </x:c>
      <x:c r="AD293" s="28" t="n">
        <x:v>1</x:v>
      </x:c>
      <x:c r="AE293" s="28" t="n">
        <x:v>1</x:v>
      </x:c>
      <x:c r="AF293" s="28" t="n">
        <x:f>IF(Z293="Высокая",3,IF(Z293="Средняя",2,1))+AD293*2+MIN(AE293,3)</x:f>
        <x:v>5</x:v>
      </x:c>
    </x:row>
    <x:row r="294" ht="62" customHeight="1">
      <x:c r="A294" s="28" t="str">
        <x:v>STN-0293</x:v>
      </x:c>
      <x:c r="B294" s="28" t="str">
        <x:v>нектарин</x:v>
      </x:c>
      <x:c r="C294" s="28" t="str">
        <x:v>Универсальные</x:v>
      </x:c>
      <x:c r="D294" s="28" t="str">
        <x:v>нектарин</x:v>
      </x:c>
      <x:c r="E294" s="28" t="str">
        <x:v>nectarine</x:v>
      </x:c>
      <x:c r="F294" s="28" t="str">
        <x:v>Косточковые фрукты</x:v>
      </x:c>
      <x:c r="G294" s="28" t="str">
        <x:v>листья кориандра</x:v>
      </x:c>
      <x:c r="H294" s="28" t="str">
        <x:v>Coriander leaves | coriander leaves</x:v>
      </x:c>
      <x:c r="I294" s="28" t="str">
        <x:v>Травы/пряности</x:v>
      </x:c>
      <x:c r="J294" s="28" t="str">
        <x:v>персиковый, фруктовый, цветочный, зелёный, сливочно-лактонный</x:v>
      </x:c>
      <x:c r="K294" s="28" t="str">
        <x:v>цитрусовый, зелёный, цветочный</x:v>
      </x:c>
      <x:c r="L294" s="28" t="str">
        <x:v>γ- и δ-декалактон, γ- и δ-додекалактон, фруктовые эфиры, линалоол, бензальдегид, C6-альдегиды</x:v>
      </x:c>
      <x:c r="M294" s="28" t="str">
        <x:v>линалол, деканаль, додеканаль</x:v>
      </x:c>
      <x:c r="N294" s="28" t="str">
        <x:v>цветочный, зелёный</x:v>
      </x:c>
      <x:c r="O294" s="28" t="str">
        <x:v>надёжный единичный общий маркер не подтверждён; механизм не сводится к одной молекуле</x:v>
      </x:c>
      <x:c r="P294" s="28" t="str">
        <x:v>комплементарность ароматических семейств, вкусовой контраст и матричный эффект</x:v>
      </x:c>
      <x:c r="Q294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травяной, слегка горький. Баланс корректируется сахаром, кислотой, солью и горечью.</x:v>
      </x:c>
      <x:c r="R294" s="28" t="str">
        <x:v>слабый; кислотность усиливает свежесть; партнёр: нет выраженного</x:v>
      </x:c>
      <x:c r="S294" s="28" t="str">
        <x:v>водно-пектиновая; гидрофобные лактоны лучше проявляются в жире и этаноле. Партнёр: листья чувствительны к нагреву; семена устойчивее и слаще.</x:v>
      </x:c>
      <x:c r="T29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U29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Листья кориандра относится к группе «Травы/пряности» и даёт профиль «цитрусовый, зелёный, цветочный»; типичные соединения или классы: линалол, деканаль, додеканаль.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травяной, слегка горький.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листья чувствительны к нагреву; семена устойчивее и слаще.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V29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94" s="28" t="str">
        <x:v>мёд, цитрус или нейтральная жировая основа</x:v>
      </x:c>
      <x:c r="X294" s="28" t="str">
        <x:v>напиток, соус, десерт или горячее блюдо после пробной дегустации</x:v>
      </x:c>
      <x:c r="Y294" s="28" t="str">
        <x:v>напитки; еда; десерты; соусы/маринады</x:v>
      </x:c>
      <x:c r="Z294" s="28" t="str">
        <x:v>Средняя</x:v>
      </x:c>
      <x:c r="AA294" s="28" t="str">
        <x:v>The Art &amp; Science of Foodpairing.pdf</x:v>
      </x:c>
      <x:c r="AB294" s="28" t="str">
        <x:v>The Art &amp; Science of Foodpairing.pdf: 99 | The Art &amp; Science of Foodpairing.pdf: 260–261</x:v>
      </x:c>
      <x:c r="AC294" s="28" t="str">
        <x:v>Ингредиент «nectarine» указан на странице профиля/сетки сочетаний «Coriander leaves». Ingredient pairings with peach and nectarine: coriander leaves.</x:v>
      </x:c>
      <x:c r="AD294" s="28" t="n">
        <x:v>1</x:v>
      </x:c>
      <x:c r="AE294" s="28" t="n">
        <x:v>2</x:v>
      </x:c>
      <x:c r="AF294" s="28" t="n">
        <x:f>IF(Z294="Высокая",3,IF(Z294="Средняя",2,1))+AD294*2+MIN(AE294,3)</x:f>
        <x:v>6</x:v>
      </x:c>
    </x:row>
    <x:row r="295" ht="62" customHeight="1">
      <x:c r="A295" s="28" t="str">
        <x:v>STN-0294</x:v>
      </x:c>
      <x:c r="B295" s="28" t="str">
        <x:v>нектарин</x:v>
      </x:c>
      <x:c r="C295" s="28" t="str">
        <x:v>Универсальные</x:v>
      </x:c>
      <x:c r="D295" s="28" t="str">
        <x:v>нектарин</x:v>
      </x:c>
      <x:c r="E295" s="28" t="str">
        <x:v>nectarine</x:v>
      </x:c>
      <x:c r="F295" s="28" t="str">
        <x:v>Косточковые фрукты</x:v>
      </x:c>
      <x:c r="G295" s="28" t="str">
        <x:v>листья пажитника</x:v>
      </x:c>
      <x:c r="H295" s="28" t="str">
        <x:v>fenugreek leaf</x:v>
      </x:c>
      <x:c r="I295" s="28" t="str">
        <x:v>Травы и цветы</x:v>
      </x:c>
      <x:c r="J295" s="28" t="str">
        <x:v>персиковый, фруктовый, цветочный, зелёный, сливочно-лактонный</x:v>
      </x:c>
      <x:c r="K295" s="28" t="str">
        <x:v>зелёный, цветочный, травянистый и эфирно-масличный</x:v>
      </x:c>
      <x:c r="L295" s="28" t="str">
        <x:v>γ- и δ-декалактон, γ- и δ-додекалактон, фруктовые эфиры, линалоол, бензальдегид, C6-альдегиды</x:v>
      </x:c>
      <x:c r="M295" s="28" t="str">
        <x:v>линалоол, гераниол, эвгенол, 1,8-цинеол</x:v>
      </x:c>
      <x:c r="N295" s="28" t="str">
        <x:v>цветочный, зелёный</x:v>
      </x:c>
      <x:c r="O295" s="28" t="str">
        <x:v>линалоол</x:v>
      </x:c>
      <x:c r="P295" s="28" t="str">
        <x:v>прямое или классовое перекрытие характерных одорантов + вкусовой баланс</x:v>
      </x:c>
      <x:c r="Q295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295" s="28" t="str">
        <x:v>слабый; кислотность усиливает свежесть; партнёр: у мяты возможен холодящий эффект ментола; у некоторых трав — камфорность</x:v>
      </x:c>
      <x:c r="S295" s="28" t="str">
        <x:v>водно-пектиновая; гидрофобные лактоны лучше проявляются в жире и этаноле. Партнёр: эфирные масла гидрофобны и лучше раскрываются в жире или этаноле.</x:v>
      </x:c>
      <x:c r="T29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29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Листья пажитника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29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95" s="28" t="str">
        <x:v>мёд, цитрус или нейтральная жировая основа</x:v>
      </x:c>
      <x:c r="X295" s="28" t="str">
        <x:v>напиток, соус, десерт или горячее блюдо после пробной дегустации</x:v>
      </x:c>
      <x:c r="Y295" s="28" t="str">
        <x:v>напитки; еда; десерты; соусы/маринады</x:v>
      </x:c>
      <x:c r="Z295" s="28" t="str">
        <x:v>Средняя</x:v>
      </x:c>
      <x:c r="AA295" s="28" t="str">
        <x:v>The Art &amp; Science of Foodpairing.pdf</x:v>
      </x:c>
      <x:c r="AB295" s="28" t="str">
        <x:v>The Art &amp; Science of Foodpairing.pdf: 260–261</x:v>
      </x:c>
      <x:c r="AC295" s="28" t="str">
        <x:v>Ingredient pairings with peach and nectarine: fenugreek leaf.</x:v>
      </x:c>
      <x:c r="AD295" s="28" t="n">
        <x:v>1</x:v>
      </x:c>
      <x:c r="AE295" s="28" t="n">
        <x:v>1</x:v>
      </x:c>
      <x:c r="AF295" s="28" t="n">
        <x:f>IF(Z295="Высокая",3,IF(Z295="Средняя",2,1))+AD295*2+MIN(AE295,3)</x:f>
        <x:v>5</x:v>
      </x:c>
    </x:row>
    <x:row r="296" ht="62" customHeight="1">
      <x:c r="A296" s="28" t="str">
        <x:v>STN-0295</x:v>
      </x:c>
      <x:c r="B296" s="28" t="str">
        <x:v>нектарин</x:v>
      </x:c>
      <x:c r="C296" s="28" t="str">
        <x:v>Универсальные</x:v>
      </x:c>
      <x:c r="D296" s="28" t="str">
        <x:v>нектарин</x:v>
      </x:c>
      <x:c r="E296" s="28" t="str">
        <x:v>nectarine</x:v>
      </x:c>
      <x:c r="F296" s="28" t="str">
        <x:v>Косточковые фрукты</x:v>
      </x:c>
      <x:c r="G296" s="28" t="str">
        <x:v>личи</x:v>
      </x:c>
      <x:c r="H296" s="28" t="str">
        <x:v>lychee</x:v>
      </x:c>
      <x:c r="I296" s="28" t="str">
        <x:v>Тропические фрукты</x:v>
      </x:c>
      <x:c r="J296" s="28" t="str">
        <x:v>персиковый, фруктовый, цветочный, зелёный, сливочно-лактонный</x:v>
      </x:c>
      <x:c r="K296" s="28" t="str">
        <x:v>розовый, цветочный, виноградный и цитрусовый</x:v>
      </x:c>
      <x:c r="L296" s="28" t="str">
        <x:v>γ- и δ-декалактон, γ- и δ-додекалактон, фруктовые эфиры, линалоол, бензальдегид, C6-альдегиды</x:v>
      </x:c>
      <x:c r="M296" s="28" t="str">
        <x:v>цис- и транс-розовый оксид, линалоол, гераниол, цитронеллол</x:v>
      </x:c>
      <x:c r="N296" s="28" t="str">
        <x:v>цветочный</x:v>
      </x:c>
      <x:c r="O296" s="28" t="str">
        <x:v>линалоол</x:v>
      </x:c>
      <x:c r="P296" s="28" t="str">
        <x:v>прямое или классовое перекрытие характерных одорантов + вкусовой баланс</x:v>
      </x:c>
      <x:c r="Q296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чистая сладость, мягкая кислотность. Баланс корректируется сахаром, кислотой, солью и горечью.</x:v>
      </x:c>
      <x:c r="R296" s="28" t="str">
        <x:v>слабый; кислотность усиливает свежесть; партнёр: кислотное покалывание зависит от плода; специальные эффекты указаны в паспорте</x:v>
      </x:c>
      <x:c r="S296" s="28" t="str">
        <x:v>водно-пектиновая; гидрофобные лактоны лучше проявляются в жире и этаноле. Партнёр: водная; цветочные терпены чувствительны к нагреву.</x:v>
      </x:c>
      <x:c r="T29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U29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Личи относится к группе «Тропические фрукты» и даёт профиль «розовый, цветочный, виноградный и цитрусовый»; типичные соединения или классы: цис- и транс-розовый оксид, линалоол, гераниол, цитронеллол. В рабочих профилях пересекаются: линалоол.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чистая сладость, мягкая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водная; цветочные терпены чувствительны к нагреву.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V29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96" s="28" t="str">
        <x:v>мёд, цитрус или нейтральная жировая основа</x:v>
      </x:c>
      <x:c r="X296" s="28" t="str">
        <x:v>напиток, соус, десерт или горячее блюдо после пробной дегустации</x:v>
      </x:c>
      <x:c r="Y296" s="28" t="str">
        <x:v>напитки; еда; десерты; соусы/маринады</x:v>
      </x:c>
      <x:c r="Z296" s="28" t="str">
        <x:v>Средняя</x:v>
      </x:c>
      <x:c r="AA296" s="28" t="str">
        <x:v>The Art &amp; Science of Foodpairing.pdf</x:v>
      </x:c>
      <x:c r="AB296" s="28" t="str">
        <x:v>The Art &amp; Science of Foodpairing.pdf: 260–261</x:v>
      </x:c>
      <x:c r="AC296" s="28" t="str">
        <x:v>Ingredient pairings with peach and nectarine: lychee.</x:v>
      </x:c>
      <x:c r="AD296" s="28" t="n">
        <x:v>1</x:v>
      </x:c>
      <x:c r="AE296" s="28" t="n">
        <x:v>1</x:v>
      </x:c>
      <x:c r="AF296" s="28" t="n">
        <x:f>IF(Z296="Высокая",3,IF(Z296="Средняя",2,1))+AD296*2+MIN(AE296,3)</x:f>
        <x:v>5</x:v>
      </x:c>
    </x:row>
    <x:row r="297" ht="62" customHeight="1">
      <x:c r="A297" s="28" t="str">
        <x:v>STN-0296</x:v>
      </x:c>
      <x:c r="B297" s="28" t="str">
        <x:v>нектарин</x:v>
      </x:c>
      <x:c r="C297" s="28" t="str">
        <x:v>Десерты и выпечка</x:v>
      </x:c>
      <x:c r="D297" s="28" t="str">
        <x:v>нектарин</x:v>
      </x:c>
      <x:c r="E297" s="28" t="str">
        <x:v>nectarine</x:v>
      </x:c>
      <x:c r="F297" s="28" t="str">
        <x:v>Косточковые фрукты</x:v>
      </x:c>
      <x:c r="G297" s="28" t="str">
        <x:v>малина</x:v>
      </x:c>
      <x:c r="H297" s="28" t="str">
        <x:v>Малина | raspberry</x:v>
      </x:c>
      <x:c r="I297" s="28" t="str">
        <x:v>Ягоды</x:v>
      </x:c>
      <x:c r="J297" s="28" t="str">
        <x:v>персиковый, фруктовый, цветочный, зелёный, сливочно-лактонный</x:v>
      </x:c>
      <x:c r="K297" s="28" t="str">
        <x:v>красно-фруктовый, цветочный, зелёный и иногда сернистый</x:v>
      </x:c>
      <x:c r="L297" s="28" t="str">
        <x:v>γ- и δ-декалактон, γ- и δ-додекалактон, фруктовые эфиры, линалоол, бензальдегид, C6-альдегиды</x:v>
      </x:c>
      <x:c r="M297" s="28" t="str">
        <x:v>фуранеол, эфиры, иононы, зелёные альдегиды</x:v>
      </x:c>
      <x:c r="N297" s="28" t="str">
        <x:v>цветочный, фруктовый, зелёный</x:v>
      </x:c>
      <x:c r="O297" s="28" t="str">
        <x:v>эфиры</x:v>
      </x:c>
      <x:c r="P297" s="28" t="str">
        <x:v>прямое или классовое перекрытие характерных одорантов + вкусовой баланс</x:v>
      </x:c>
      <x:c r="Q297" s="28" t="str">
        <x:v>Близкие фруктовые эфиры создают непрерывность, а различия в кислотности, терпкости и сладости формируют контраст.</x:v>
      </x:c>
      <x:c r="R297" s="28" t="str">
        <x:v>слабый; кислотность усиливает свежесть; партнёр: обычно слабый; кислота усиливает свежесть</x:v>
      </x:c>
      <x:c r="S297" s="28" t="str">
        <x:v>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</x:v>
      </x:c>
      <x:c r="T29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29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29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97" s="28" t="str">
        <x:v>ваниль, мята или миндаль</x:v>
      </x:c>
      <x:c r="X297" s="28" t="str">
        <x:v>сорбет, салат, джем, кордиал, лимонад, коктейль или фруктовый соус</x:v>
      </x:c>
      <x:c r="Y297" s="28" t="str">
        <x:v>напитки; десерты; соусы/маринады</x:v>
      </x:c>
      <x:c r="Z297" s="28" t="str">
        <x:v>Высокая</x:v>
      </x:c>
      <x:c r="AA297" s="28" t="str">
        <x:v>The Art &amp; Science of Foodpairing.pdf | Таблица сочетания(1).pdf</x:v>
      </x:c>
      <x:c r="AB297" s="28" t="str">
        <x:v>Таблица сочетания(1).pdf: Таблица сочетаний: 19 | Таблица сочетания(1).pdf: 19 | The Art &amp; Science of Foodpairing.pdf: 260–261</x:v>
      </x:c>
      <x:c r="AC297" s="28" t="str">
        <x:v>Малина: нектарин Пара указана в строке «Малина»: «нектарин» находится в колонке «Фрукты». Ingredient pairings with peach and nectarine: raspberry.</x:v>
      </x:c>
      <x:c r="AD297" s="28" t="n">
        <x:v>2</x:v>
      </x:c>
      <x:c r="AE297" s="28" t="n">
        <x:v>3</x:v>
      </x:c>
      <x:c r="AF297" s="28" t="n">
        <x:f>IF(Z297="Высокая",3,IF(Z297="Средняя",2,1))+AD297*2+MIN(AE297,3)</x:f>
        <x:v>10</x:v>
      </x:c>
    </x:row>
    <x:row r="298" ht="62" customHeight="1">
      <x:c r="A298" s="28" t="str">
        <x:v>STN-0297</x:v>
      </x:c>
      <x:c r="B298" s="28" t="str">
        <x:v>нектарин</x:v>
      </x:c>
      <x:c r="C298" s="28" t="str">
        <x:v>Десерты и выпечка</x:v>
      </x:c>
      <x:c r="D298" s="28" t="str">
        <x:v>нектарин</x:v>
      </x:c>
      <x:c r="E298" s="28" t="str">
        <x:v>nectarine</x:v>
      </x:c>
      <x:c r="F298" s="28" t="str">
        <x:v>Косточковые фрукты</x:v>
      </x:c>
      <x:c r="G298" s="28" t="str">
        <x:v>мандарин</x:v>
      </x:c>
      <x:c r="H298" s="28" t="str">
        <x:v>mandarin</x:v>
      </x:c>
      <x:c r="I298" s="28" t="str">
        <x:v>Цитрусовые</x:v>
      </x:c>
      <x:c r="J298" s="28" t="str">
        <x:v>персиковый, фруктовый, цветочный, зелёный, сливочно-лактонный</x:v>
      </x:c>
      <x:c r="K298" s="28" t="str">
        <x:v>цитрусовый, свежий, зелёный и цветочный</x:v>
      </x:c>
      <x:c r="L298" s="28" t="str">
        <x:v>γ- и δ-декалактон, γ- и δ-додекалактон, фруктовые эфиры, линалоол, бензальдегид, C6-альдегиды</x:v>
      </x:c>
      <x:c r="M298" s="28" t="str">
        <x:v>лимонен, цитраль, линалоол, γ-терпинен</x:v>
      </x:c>
      <x:c r="N298" s="28" t="str">
        <x:v>цветочный, зелёный</x:v>
      </x:c>
      <x:c r="O298" s="28" t="str">
        <x:v>линалоол</x:v>
      </x:c>
      <x:c r="P298" s="28" t="str">
        <x:v>прямое или классовое перекрытие характерных одорантов + вкусовой баланс</x:v>
      </x:c>
      <x:c r="Q298" s="28" t="str">
        <x:v>Близкие фруктовые эфиры создают непрерывность, а различия в кислотности, терпкости и сладости формируют контраст.</x:v>
      </x:c>
      <x:c r="R298" s="28" t="str">
        <x:v>слабый; кислотность усиливает свежесть; партнёр: кислота даёт покалывание и ощущение свежести</x:v>
      </x:c>
      <x:c r="S298" s="28" t="str">
        <x:v>водно-пектиновая; гидрофобные лактоны лучше проявляются в жире и этаноле. Партнёр: сок водный и кислый, цедра содержит гидрофобные эфирные масла.</x:v>
      </x:c>
      <x:c r="T29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29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Мандарин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29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98" s="28" t="str">
        <x:v>ваниль, мёд или розмарин</x:v>
      </x:c>
      <x:c r="X298" s="28" t="str">
        <x:v>сорбет, салат, джем, кордиал, лимонад, коктейль или фруктовый соус</x:v>
      </x:c>
      <x:c r="Y298" s="28" t="str">
        <x:v>напитки; десерты; соусы/маринады</x:v>
      </x:c>
      <x:c r="Z298" s="28" t="str">
        <x:v>Средняя</x:v>
      </x:c>
      <x:c r="AA298" s="28" t="str">
        <x:v>The Art &amp; Science of Foodpairing.pdf</x:v>
      </x:c>
      <x:c r="AB298" s="28" t="str">
        <x:v>The Art &amp; Science of Foodpairing.pdf: 260–261</x:v>
      </x:c>
      <x:c r="AC298" s="28" t="str">
        <x:v>Ingredient pairings with peach and nectarine: mandarin.</x:v>
      </x:c>
      <x:c r="AD298" s="28" t="n">
        <x:v>1</x:v>
      </x:c>
      <x:c r="AE298" s="28" t="n">
        <x:v>1</x:v>
      </x:c>
      <x:c r="AF298" s="28" t="n">
        <x:f>IF(Z298="Высокая",3,IF(Z298="Средняя",2,1))+AD298*2+MIN(AE298,3)</x:f>
        <x:v>5</x:v>
      </x:c>
    </x:row>
    <x:row r="299" ht="62" customHeight="1">
      <x:c r="A299" s="28" t="str">
        <x:v>STN-0298</x:v>
      </x:c>
      <x:c r="B299" s="28" t="str">
        <x:v>нектарин</x:v>
      </x:c>
      <x:c r="C299" s="28" t="str">
        <x:v>Универсальные</x:v>
      </x:c>
      <x:c r="D299" s="28" t="str">
        <x:v>нектарин</x:v>
      </x:c>
      <x:c r="E299" s="28" t="str">
        <x:v>nectarine</x:v>
      </x:c>
      <x:c r="F299" s="28" t="str">
        <x:v>Косточковые фрукты</x:v>
      </x:c>
      <x:c r="G299" s="28" t="str">
        <x:v>мед</x:v>
      </x:c>
      <x:c r="H299" s="28" t="str">
        <x:v>мёд</x:v>
      </x:c>
      <x:c r="I299" s="28" t="str">
        <x:v>Сахара, мёд и кондитерские основы</x:v>
      </x:c>
      <x:c r="J299" s="28" t="str">
        <x:v>персиковый, фруктовый, цветочный, зелёный, сливочно-лактонный</x:v>
      </x:c>
      <x:c r="K299" s="28" t="str">
        <x:v>цветочный, восковой и карамельный</x:v>
      </x:c>
      <x:c r="L299" s="28" t="str">
        <x:v>γ- и δ-декалактон, γ- и δ-додекалактон, фруктовые эфиры, линалоол, бензальдегид, C6-альдегиды</x:v>
      </x:c>
      <x:c r="M299" s="28" t="str">
        <x:v>фенилуксусная кислота, фураны, терпены, зависящие от ботанического происхождения</x:v>
      </x:c>
      <x:c r="N299" s="28" t="str">
        <x:v>цветочный</x:v>
      </x:c>
      <x:c r="O299" s="28" t="str">
        <x:v>надёжный единичный общий маркер не подтверждён; механизм не сводится к одной молекуле</x:v>
      </x:c>
      <x:c r="P299" s="28" t="str">
        <x:v>комплементарность ароматических семейств, вкусовой контраст и матричный эффект</x:v>
      </x:c>
      <x:c r="Q299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</x:v>
      </x:c>
      <x:c r="R299" s="28" t="str">
        <x:v>слабый; кислотность усиливает свежесть; партнёр: отсутствует</x:v>
      </x:c>
      <x:c r="S299" s="28" t="str">
        <x:v>водно-пектиновая; гидрофобные лактоны лучше проявляются в жире и этаноле. Партнёр: вязкая сахарная; снижает летучесть и смягчает кислоту.</x:v>
      </x:c>
      <x:c r="T29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U29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вязкая сахарная; снижает летучесть и смягчает кислоту.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V29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299" s="28" t="str">
        <x:v>мёд, цитрус или нейтральная жировая основа</x:v>
      </x:c>
      <x:c r="X299" s="28" t="str">
        <x:v>напиток, соус, десерт или горячее блюдо после пробной дегустации</x:v>
      </x:c>
      <x:c r="Y299" s="28" t="str">
        <x:v>напитки; еда; десерты; соусы/маринады</x:v>
      </x:c>
      <x:c r="Z299" s="28" t="str">
        <x:v>Гипотеза / практическая</x:v>
      </x:c>
      <x:c r="AA299" s="28" t="str">
        <x:v>Таблица сочетания(1).pdf</x:v>
      </x:c>
      <x:c r="AB299" s="28" t="str">
        <x:v>Таблица сочетания(1).pdf: 14</x:v>
      </x:c>
      <x:c r="AC299" s="28" t="str">
        <x:v>Пара указана в строке «Нектарин» → колонка «Другое».</x:v>
      </x:c>
      <x:c r="AD299" s="28" t="n">
        <x:v>1</x:v>
      </x:c>
      <x:c r="AE299" s="28" t="n">
        <x:v>1</x:v>
      </x:c>
      <x:c r="AF299" s="28" t="n">
        <x:f>IF(Z299="Высокая",3,IF(Z299="Средняя",2,1))+AD299*2+MIN(AE299,3)</x:f>
        <x:v>4</x:v>
      </x:c>
    </x:row>
    <x:row r="300" ht="62" customHeight="1">
      <x:c r="A300" s="28" t="str">
        <x:v>STN-0299</x:v>
      </x:c>
      <x:c r="B300" s="28" t="str">
        <x:v>нектарин</x:v>
      </x:c>
      <x:c r="C300" s="28" t="str">
        <x:v>Десерты и выпечка</x:v>
      </x:c>
      <x:c r="D300" s="28" t="str">
        <x:v>нектарин</x:v>
      </x:c>
      <x:c r="E300" s="28" t="str">
        <x:v>nectarine</x:v>
      </x:c>
      <x:c r="F300" s="28" t="str">
        <x:v>Косточковые фрукты</x:v>
      </x:c>
      <x:c r="G300" s="28" t="str">
        <x:v>миндаль</x:v>
      </x:c>
      <x:c r="H300" s="28" t="str">
        <x:v>миндаль | almond</x:v>
      </x:c>
      <x:c r="I300" s="28" t="str">
        <x:v>Орехи и семена</x:v>
      </x:c>
      <x:c r="J300" s="28" t="str">
        <x:v>персиковый, фруктовый, цветочный, зелёный, сливочно-лактонный</x:v>
      </x:c>
      <x:c r="K300" s="28" t="str">
        <x:v>марципановый и ореховый</x:v>
      </x:c>
      <x:c r="L300" s="28" t="str">
        <x:v>γ- и δ-декалактон, γ- и δ-додекалактон, фруктовые эфиры, линалоол, бензальдегид, C6-альдегиды</x:v>
      </x:c>
      <x:c r="M300" s="28" t="str">
        <x:v>бензальдегид, пиразины после обжарки</x:v>
      </x:c>
      <x:c r="N300" s="28" t="str">
        <x:v>прямое семейное перекрытие не является главным механизмом</x:v>
      </x:c>
      <x:c r="O300" s="28" t="str">
        <x:v>бензальдегид</x:v>
      </x:c>
      <x:c r="P300" s="28" t="str">
        <x:v>прямое или классовое перекрытие характерных одорантов + вкусовой баланс</x:v>
      </x:c>
      <x:c r="Q300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300" s="28" t="str">
        <x:v>слабый; кислотность усиливает свежесть; партнёр: обычно отсутствует</x:v>
      </x:c>
      <x:c r="S300" s="28" t="str">
        <x:v>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</x:v>
      </x:c>
      <x:c r="T30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30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Миндаль относится к группе «Орехи и семена» и даёт профиль «марципановый и ореховый»; типичные соединения или классы: бензальдегид, пиразины после обжарки.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300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W300" s="28" t="str">
        <x:v>ваниль, шоколад или корица</x:v>
      </x:c>
      <x:c r="X300" s="28" t="str">
        <x:v>тарт, крем, мороженое, выпечка, сырная подача или начинка</x:v>
      </x:c>
      <x:c r="Y300" s="28" t="str">
        <x:v>десерты; еда</x:v>
      </x:c>
      <x:c r="Z300" s="28" t="str">
        <x:v>Высокая</x:v>
      </x:c>
      <x:c r="AA300" s="28" t="str">
        <x:v>The Art &amp; Science of Foodpairing.pdf | Таблица сочетания(1).pdf</x:v>
      </x:c>
      <x:c r="AB300" s="28" t="str">
        <x:v>Таблица сочетания(1).pdf: 14 | The Art &amp; Science of Foodpairing.pdf: 260–261</x:v>
      </x:c>
      <x:c r="AC300" s="28" t="str">
        <x:v>Пара указана в строке «Нектарин» → колонка «Другое». Ingredient pairings with peach and nectarine: almond.</x:v>
      </x:c>
      <x:c r="AD300" s="28" t="n">
        <x:v>2</x:v>
      </x:c>
      <x:c r="AE300" s="28" t="n">
        <x:v>2</x:v>
      </x:c>
      <x:c r="AF300" s="28" t="n">
        <x:f>IF(Z300="Высокая",3,IF(Z300="Средняя",2,1))+AD300*2+MIN(AE300,3)</x:f>
        <x:v>9</x:v>
      </x:c>
    </x:row>
    <x:row r="301" ht="62" customHeight="1">
      <x:c r="A301" s="28" t="str">
        <x:v>STN-0300</x:v>
      </x:c>
      <x:c r="B301" s="28" t="str">
        <x:v>нектарин</x:v>
      </x:c>
      <x:c r="C301" s="28" t="str">
        <x:v>Десерты и выпечка</x:v>
      </x:c>
      <x:c r="D301" s="28" t="str">
        <x:v>нектарин</x:v>
      </x:c>
      <x:c r="E301" s="28" t="str">
        <x:v>nectarine</x:v>
      </x:c>
      <x:c r="F301" s="28" t="str">
        <x:v>Косточковые фрукты</x:v>
      </x:c>
      <x:c r="G301" s="28" t="str">
        <x:v>момбин желтый</x:v>
      </x:c>
      <x:c r="H301" s="28" t="str">
        <x:v>hog plum</x:v>
      </x:c>
      <x:c r="I301" s="28" t="str">
        <x:v>Фрукты</x:v>
      </x:c>
      <x:c r="J301" s="28" t="str">
        <x:v>персиковый, фруктовый, цветочный, зелёный, сливочно-лактонный</x:v>
      </x:c>
      <x:c r="K301" s="28" t="str">
        <x:v>фруктовый, цветочный, зелёный или тропический</x:v>
      </x:c>
      <x:c r="L301" s="28" t="str">
        <x:v>γ- и δ-декалактон, γ- и δ-додекалактон, фруктовые эфиры, линалоол, бензальдегид, C6-альдегиды</x:v>
      </x:c>
      <x:c r="M301" s="28" t="str">
        <x:v>фруктовые эфиры, терпены, альдегиды и лактоны</x:v>
      </x:c>
      <x:c r="N301" s="28" t="str">
        <x:v>цветочный, фруктовый, зелёный</x:v>
      </x:c>
      <x:c r="O301" s="28" t="str">
        <x:v>фруктовые эфиры</x:v>
      </x:c>
      <x:c r="P301" s="28" t="str">
        <x:v>прямое или классовое перекрытие характерных одорантов + вкусовой баланс</x:v>
      </x:c>
      <x:c r="Q301" s="28" t="str">
        <x:v>Близкие фруктовые эфиры создают непрерывность, а различия в кислотности, терпкости и сладости формируют контраст.</x:v>
      </x:c>
      <x:c r="R301" s="28" t="str">
        <x:v>слабый; кислотность усиливает свежесть; партнёр: обычно слабый</x:v>
      </x:c>
      <x:c r="S301" s="28" t="str">
        <x:v>водно-пектиновая; гидрофобные лактоны лучше проявляются в жире и этаноле. Партнёр: преимущественно водно-пектиновая матрица.</x:v>
      </x:c>
      <x:c r="T30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0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Момбин желтый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0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01" s="28" t="str">
        <x:v>цитрус, мята или ваниль</x:v>
      </x:c>
      <x:c r="X301" s="28" t="str">
        <x:v>сорбет, салат, джем, кордиал, лимонад, коктейль или фруктовый соус</x:v>
      </x:c>
      <x:c r="Y301" s="28" t="str">
        <x:v>напитки; десерты; соусы/маринады</x:v>
      </x:c>
      <x:c r="Z301" s="28" t="str">
        <x:v>Средняя</x:v>
      </x:c>
      <x:c r="AA301" s="28" t="str">
        <x:v>The Art &amp; Science of Foodpairing.pdf</x:v>
      </x:c>
      <x:c r="AB301" s="28" t="str">
        <x:v>The Art &amp; Science of Foodpairing.pdf: 260–261</x:v>
      </x:c>
      <x:c r="AC301" s="28" t="str">
        <x:v>Ingredient pairings with peach and nectarine: hog plum.</x:v>
      </x:c>
      <x:c r="AD301" s="28" t="n">
        <x:v>1</x:v>
      </x:c>
      <x:c r="AE301" s="28" t="n">
        <x:v>1</x:v>
      </x:c>
      <x:c r="AF301" s="28" t="n">
        <x:f>IF(Z301="Высокая",3,IF(Z301="Средняя",2,1))+AD301*2+MIN(AE301,3)</x:f>
        <x:v>5</x:v>
      </x:c>
    </x:row>
    <x:row r="302" ht="62" customHeight="1">
      <x:c r="A302" s="28" t="str">
        <x:v>STN-0301</x:v>
      </x:c>
      <x:c r="B302" s="28" t="str">
        <x:v>нектарин</x:v>
      </x:c>
      <x:c r="C302" s="28" t="str">
        <x:v>Десерты и выпечка</x:v>
      </x:c>
      <x:c r="D302" s="28" t="str">
        <x:v>нектарин</x:v>
      </x:c>
      <x:c r="E302" s="28" t="str">
        <x:v>nectarine</x:v>
      </x:c>
      <x:c r="F302" s="28" t="str">
        <x:v>Косточковые фрукты</x:v>
      </x:c>
      <x:c r="G302" s="28" t="str">
        <x:v>моцарелла из коровьего молока</x:v>
      </x:c>
      <x:c r="H302" s="28" t="str">
        <x:v>cow's milk mozzarella</x:v>
      </x:c>
      <x:c r="I302" s="28" t="str">
        <x:v>Сыры и молочные продукты</x:v>
      </x:c>
      <x:c r="J302" s="28" t="str">
        <x:v>персиковый, фруктовый, цветочный, зелёный, сливочно-лактонный</x:v>
      </x:c>
      <x:c r="K302" s="28" t="str">
        <x:v>сливочный, молочный, ферментированный, иногда ореховый или пикантный</x:v>
      </x:c>
      <x:c r="L302" s="28" t="str">
        <x:v>γ- и δ-декалактон, γ- и δ-додекалактон, фруктовые эфиры, линалоол, бензальдегид, C6-альдегиды</x:v>
      </x:c>
      <x:c r="M302" s="28" t="str">
        <x:v>лактоны, диацетил, жирные кислоты, сернистые и аминокислотные продукты ферментации</x:v>
      </x:c>
      <x:c r="N302" s="28" t="str">
        <x:v>прямое семейное перекрытие не является главным механизмом</x:v>
      </x:c>
      <x:c r="O302" s="28" t="str">
        <x:v>надёжный единичный общий маркер не подтверждён; механизм не сводится к одной молекуле</x:v>
      </x:c>
      <x:c r="P302" s="28" t="str">
        <x:v>комплементарность ароматических семейств, вкусовой контраст и матричный эффект</x:v>
      </x:c>
      <x:c r="Q302" s="28" t="str">
        <x:v>Фруктовая кислота и сладость освежают жирную молочную матрицу; соль и умами сыра усиливают воспринимаемую фруктовость.</x:v>
      </x:c>
      <x:c r="R302" s="28" t="str">
        <x:v>слабый; кислотность усиливает свежесть; партнёр: нет выраженного</x:v>
      </x:c>
      <x:c r="S302" s="28" t="str">
        <x:v>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</x:v>
      </x:c>
      <x:c r="T302" s="28" t="str">
        <x:v>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U30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Моцарелла из коровьего молока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 Обработка: 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V302" s="28" t="str">
        <x:v>не перегревать и не переслащивать; иначе исчезает свежая фруктовая детализация. Избыток кислоты может свернуть молочную основу; фрукт и сыр проверяют при рабочей температуре.</x:v>
      </x:c>
      <x:c r="W302" s="28" t="str">
        <x:v>миндаль, ваниль или мёд</x:v>
      </x:c>
      <x:c r="X302" s="28" t="str">
        <x:v>тарт, крем, мороженое, выпечка, сырная подача или начинка</x:v>
      </x:c>
      <x:c r="Y302" s="28" t="str">
        <x:v>десерты; еда</x:v>
      </x:c>
      <x:c r="Z302" s="28" t="str">
        <x:v>Средняя</x:v>
      </x:c>
      <x:c r="AA302" s="28" t="str">
        <x:v>The Art &amp; Science of Foodpairing.pdf</x:v>
      </x:c>
      <x:c r="AB302" s="28" t="str">
        <x:v>The Art &amp; Science of Foodpairing.pdf: 260–261</x:v>
      </x:c>
      <x:c r="AC302" s="28" t="str">
        <x:v>Ingredient pairings with peach and nectarine: cow's milk mozzarella.</x:v>
      </x:c>
      <x:c r="AD302" s="28" t="n">
        <x:v>1</x:v>
      </x:c>
      <x:c r="AE302" s="28" t="n">
        <x:v>1</x:v>
      </x:c>
      <x:c r="AF302" s="28" t="n">
        <x:f>IF(Z302="Высокая",3,IF(Z302="Средняя",2,1))+AD302*2+MIN(AE302,3)</x:f>
        <x:v>5</x:v>
      </x:c>
    </x:row>
    <x:row r="303" ht="62" customHeight="1">
      <x:c r="A303" s="28" t="str">
        <x:v>STN-0302</x:v>
      </x:c>
      <x:c r="B303" s="28" t="str">
        <x:v>нектарин</x:v>
      </x:c>
      <x:c r="C303" s="28" t="str">
        <x:v>Десерты и выпечка</x:v>
      </x:c>
      <x:c r="D303" s="28" t="str">
        <x:v>нектарин</x:v>
      </x:c>
      <x:c r="E303" s="28" t="str">
        <x:v>nectarine</x:v>
      </x:c>
      <x:c r="F303" s="28" t="str">
        <x:v>Косточковые фрукты</x:v>
      </x:c>
      <x:c r="G303" s="28" t="str">
        <x:v>мускатный орех</x:v>
      </x:c>
      <x:c r="H303" s="28" t="str">
        <x:v>nutmeg</x:v>
      </x:c>
      <x:c r="I303" s="28" t="str">
        <x:v>Орехи и семена</x:v>
      </x:c>
      <x:c r="J303" s="28" t="str">
        <x:v>персиковый, фруктовый, цветочный, зелёный, сливочно-лактонный</x:v>
      </x:c>
      <x:c r="K303" s="28" t="str">
        <x:v>ореховый, жареный, маслянистый и иногда миндальный</x:v>
      </x:c>
      <x:c r="L303" s="28" t="str">
        <x:v>γ- и δ-декалактон, γ- и δ-додекалактон, фруктовые эфиры, линалоол, бензальдегид, C6-альдегиды</x:v>
      </x:c>
      <x:c r="M303" s="28" t="str">
        <x:v>пиразины, бензальдегид, филбертон, жирные альдегиды</x:v>
      </x:c>
      <x:c r="N303" s="28" t="str">
        <x:v>прямое семейное перекрытие не является главным механизмом</x:v>
      </x:c>
      <x:c r="O303" s="28" t="str">
        <x:v>бензальдегид</x:v>
      </x:c>
      <x:c r="P303" s="28" t="str">
        <x:v>прямое или классовое перекрытие характерных одорантов + вкусовой баланс</x:v>
      </x:c>
      <x:c r="Q303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303" s="28" t="str">
        <x:v>слабый; кислотность усиливает свежесть; партнёр: обычно отсутствует</x:v>
      </x:c>
      <x:c r="S303" s="28" t="str">
        <x:v>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</x:v>
      </x:c>
      <x:c r="T30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30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Мускатный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303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W303" s="28" t="str">
        <x:v>ваниль, шоколад или корица</x:v>
      </x:c>
      <x:c r="X303" s="28" t="str">
        <x:v>тарт, крем, мороженое, выпечка, сырная подача или начинка</x:v>
      </x:c>
      <x:c r="Y303" s="28" t="str">
        <x:v>десерты; еда</x:v>
      </x:c>
      <x:c r="Z303" s="28" t="str">
        <x:v>Средняя</x:v>
      </x:c>
      <x:c r="AA303" s="28" t="str">
        <x:v>The Art &amp; Science of Foodpairing.pdf</x:v>
      </x:c>
      <x:c r="AB303" s="28" t="str">
        <x:v>The Art &amp; Science of Foodpairing.pdf: 260–261</x:v>
      </x:c>
      <x:c r="AC303" s="28" t="str">
        <x:v>Ingredient pairings with peach and nectarine: nutmeg.</x:v>
      </x:c>
      <x:c r="AD303" s="28" t="n">
        <x:v>1</x:v>
      </x:c>
      <x:c r="AE303" s="28" t="n">
        <x:v>1</x:v>
      </x:c>
      <x:c r="AF303" s="28" t="n">
        <x:f>IF(Z303="Высокая",3,IF(Z303="Средняя",2,1))+AD303*2+MIN(AE303,3)</x:f>
        <x:v>5</x:v>
      </x:c>
    </x:row>
    <x:row r="304" ht="62" customHeight="1">
      <x:c r="A304" s="28" t="str">
        <x:v>STN-0303</x:v>
      </x:c>
      <x:c r="B304" s="28" t="str">
        <x:v>нектарин</x:v>
      </x:c>
      <x:c r="C304" s="28" t="str">
        <x:v>Десерты и выпечка</x:v>
      </x:c>
      <x:c r="D304" s="28" t="str">
        <x:v>нектарин</x:v>
      </x:c>
      <x:c r="E304" s="28" t="str">
        <x:v>nectarine</x:v>
      </x:c>
      <x:c r="F304" s="28" t="str">
        <x:v>Косточковые фрукты</x:v>
      </x:c>
      <x:c r="G304" s="28" t="str">
        <x:v>мушмула японская</x:v>
      </x:c>
      <x:c r="H304" s="28" t="str">
        <x:v>loquat</x:v>
      </x:c>
      <x:c r="I304" s="28" t="str">
        <x:v>Фрукты</x:v>
      </x:c>
      <x:c r="J304" s="28" t="str">
        <x:v>персиковый, фруктовый, цветочный, зелёный, сливочно-лактонный</x:v>
      </x:c>
      <x:c r="K304" s="28" t="str">
        <x:v>фруктовый, цветочный, зелёный или тропический</x:v>
      </x:c>
      <x:c r="L304" s="28" t="str">
        <x:v>γ- и δ-декалактон, γ- и δ-додекалактон, фруктовые эфиры, линалоол, бензальдегид, C6-альдегиды</x:v>
      </x:c>
      <x:c r="M304" s="28" t="str">
        <x:v>фруктовые эфиры, терпены, альдегиды и лактоны</x:v>
      </x:c>
      <x:c r="N304" s="28" t="str">
        <x:v>цветочный, фруктовый, зелёный</x:v>
      </x:c>
      <x:c r="O304" s="28" t="str">
        <x:v>фруктовые эфиры</x:v>
      </x:c>
      <x:c r="P304" s="28" t="str">
        <x:v>прямое или классовое перекрытие характерных одорантов + вкусовой баланс</x:v>
      </x:c>
      <x:c r="Q304" s="28" t="str">
        <x:v>Близкие фруктовые эфиры создают непрерывность, а различия в кислотности, терпкости и сладости формируют контраст.</x:v>
      </x:c>
      <x:c r="R304" s="28" t="str">
        <x:v>слабый; кислотность усиливает свежесть; партнёр: обычно слабый</x:v>
      </x:c>
      <x:c r="S304" s="28" t="str">
        <x:v>водно-пектиновая; гидрофобные лактоны лучше проявляются в жире и этаноле. Партнёр: преимущественно водно-пектиновая матрица.</x:v>
      </x:c>
      <x:c r="T30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0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Мушмула японская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0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04" s="28" t="str">
        <x:v>цитрус, мята или ваниль</x:v>
      </x:c>
      <x:c r="X304" s="28" t="str">
        <x:v>сорбет, салат, джем, кордиал, лимонад, коктейль или фруктовый соус</x:v>
      </x:c>
      <x:c r="Y304" s="28" t="str">
        <x:v>напитки; десерты; соусы/маринады</x:v>
      </x:c>
      <x:c r="Z304" s="28" t="str">
        <x:v>Средняя</x:v>
      </x:c>
      <x:c r="AA304" s="28" t="str">
        <x:v>The Art &amp; Science of Foodpairing.pdf</x:v>
      </x:c>
      <x:c r="AB304" s="28" t="str">
        <x:v>The Art &amp; Science of Foodpairing.pdf: 260–261</x:v>
      </x:c>
      <x:c r="AC304" s="28" t="str">
        <x:v>Ingredient pairings with peach and nectarine: loquat.</x:v>
      </x:c>
      <x:c r="AD304" s="28" t="n">
        <x:v>1</x:v>
      </x:c>
      <x:c r="AE304" s="28" t="n">
        <x:v>1</x:v>
      </x:c>
      <x:c r="AF304" s="28" t="n">
        <x:f>IF(Z304="Высокая",3,IF(Z304="Средняя",2,1))+AD304*2+MIN(AE304,3)</x:f>
        <x:v>5</x:v>
      </x:c>
    </x:row>
    <x:row r="305" ht="62" customHeight="1">
      <x:c r="A305" s="28" t="str">
        <x:v>STN-0304</x:v>
      </x:c>
      <x:c r="B305" s="28" t="str">
        <x:v>нектарин</x:v>
      </x:c>
      <x:c r="C305" s="28" t="str">
        <x:v>Универсальные</x:v>
      </x:c>
      <x:c r="D305" s="28" t="str">
        <x:v>нектарин</x:v>
      </x:c>
      <x:c r="E305" s="28" t="str">
        <x:v>nectarine</x:v>
      </x:c>
      <x:c r="F305" s="28" t="str">
        <x:v>Косточковые фрукты</x:v>
      </x:c>
      <x:c r="G305" s="28" t="str">
        <x:v>мята</x:v>
      </x:c>
      <x:c r="H305" s="28" t="str">
        <x:v>мята</x:v>
      </x:c>
      <x:c r="I305" s="28" t="str">
        <x:v>Травы и цветы</x:v>
      </x:c>
      <x:c r="J305" s="28" t="str">
        <x:v>персиковый, фруктовый, цветочный, зелёный, сливочно-лактонный</x:v>
      </x:c>
      <x:c r="K305" s="28" t="str">
        <x:v>свежий мятный</x:v>
      </x:c>
      <x:c r="L305" s="28" t="str">
        <x:v>γ- и δ-декалактон, γ- и δ-додекалактон, фруктовые эфиры, линалоол, бензальдегид, C6-альдегиды</x:v>
      </x:c>
      <x:c r="M305" s="28" t="str">
        <x:v>ментол, ментон</x:v>
      </x:c>
      <x:c r="N305" s="28" t="str">
        <x:v>прямое семейное перекрытие не является главным механизмом</x:v>
      </x:c>
      <x:c r="O305" s="28" t="str">
        <x:v>надёжный единичный общий маркер не подтверждён; механизм не сводится к одной молекуле</x:v>
      </x:c>
      <x:c r="P305" s="28" t="str">
        <x:v>комплементарность ароматических семейств, вкусовой контраст и матричный эффект</x:v>
      </x:c>
      <x:c r="Q305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305" s="28" t="str">
        <x:v>слабый; кислотность усиливает свежесть; партнёр: ментол активирует холодовые рецепторы</x:v>
      </x:c>
      <x:c r="S305" s="28" t="str">
        <x:v>водно-пектиновая; гидрофобные лактоны лучше проявляются в жире и этаноле. Партнёр: эфирные масла гидрофобны и лучше раскрываются в жире или этаноле.</x:v>
      </x:c>
      <x:c r="T30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30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30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05" s="28" t="str">
        <x:v>мёд, цитрус или нейтральная жировая основа</x:v>
      </x:c>
      <x:c r="X305" s="28" t="str">
        <x:v>напиток, соус, десерт или горячее блюдо после пробной дегустации</x:v>
      </x:c>
      <x:c r="Y305" s="28" t="str">
        <x:v>напитки; еда; десерты; соусы/маринады</x:v>
      </x:c>
      <x:c r="Z305" s="28" t="str">
        <x:v>Гипотеза / практическая</x:v>
      </x:c>
      <x:c r="AA305" s="28" t="str">
        <x:v>Таблица сочетания(1).pdf</x:v>
      </x:c>
      <x:c r="AB305" s="28" t="str">
        <x:v>Таблица сочетания(1).pdf: 14</x:v>
      </x:c>
      <x:c r="AC305" s="28" t="str">
        <x:v>Пара указана в строке «Нектарин» → колонка «Травы и специи».</x:v>
      </x:c>
      <x:c r="AD305" s="28" t="n">
        <x:v>1</x:v>
      </x:c>
      <x:c r="AE305" s="28" t="n">
        <x:v>1</x:v>
      </x:c>
      <x:c r="AF305" s="28" t="n">
        <x:f>IF(Z305="Высокая",3,IF(Z305="Средняя",2,1))+AD305*2+MIN(AE305,3)</x:f>
        <x:v>4</x:v>
      </x:c>
    </x:row>
    <x:row r="306" ht="62" customHeight="1">
      <x:c r="A306" s="28" t="str">
        <x:v>STN-0305</x:v>
      </x:c>
      <x:c r="B306" s="28" t="str">
        <x:v>нектарин</x:v>
      </x:c>
      <x:c r="C306" s="28" t="str">
        <x:v>Десерты и выпечка</x:v>
      </x:c>
      <x:c r="D306" s="28" t="str">
        <x:v>нектарин</x:v>
      </x:c>
      <x:c r="E306" s="28" t="str">
        <x:v>nectarine</x:v>
      </x:c>
      <x:c r="F306" s="28" t="str">
        <x:v>Косточковые фрукты</x:v>
      </x:c>
      <x:c r="G306" s="28" t="str">
        <x:v>обжаренные миндальные лепестки</x:v>
      </x:c>
      <x:c r="H306" s="28" t="str">
        <x:v>toasted flaked almonds</x:v>
      </x:c>
      <x:c r="I306" s="28" t="str">
        <x:v>Орехи и семена</x:v>
      </x:c>
      <x:c r="J306" s="28" t="str">
        <x:v>персиковый, фруктовый, цветочный, зелёный, сливочно-лактонный</x:v>
      </x:c>
      <x:c r="K306" s="28" t="str">
        <x:v>ореховый, жареный, древесный, иногда миндальный</x:v>
      </x:c>
      <x:c r="L306" s="28" t="str">
        <x:v>γ- и δ-декалактон, γ- и δ-додекалактон, фруктовые эфиры, линалоол, бензальдегид, C6-альдегиды</x:v>
      </x:c>
      <x:c r="M306" s="28" t="str">
        <x:v>бензальдегид, пиразины, фураны, лактоны и липидные альдегиды</x:v>
      </x:c>
      <x:c r="N306" s="28" t="str">
        <x:v>прямое семейное перекрытие не является главным механизмом</x:v>
      </x:c>
      <x:c r="O306" s="28" t="str">
        <x:v>бензальдегид</x:v>
      </x:c>
      <x:c r="P306" s="28" t="str">
        <x:v>прямое или классовое перекрытие характерных одорантов + вкусовой баланс</x:v>
      </x:c>
      <x:c r="Q306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306" s="28" t="str">
        <x:v>слабый; кислотность усиливает свежесть; партнёр: нет выраженного</x:v>
      </x:c>
      <x:c r="S306" s="28" t="str">
        <x:v>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</x:v>
      </x:c>
      <x:c r="T30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0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Обжаренные миндальные лепестки относится к группе «Орехи и семена» и даёт профиль «ореховый, жареный, древесный, иногда миндальный»; типичные соединения или классы: бензальдегид, пиразины, фураны, лактоны и липидные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06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W306" s="28" t="str">
        <x:v>ваниль, шоколад или корица</x:v>
      </x:c>
      <x:c r="X306" s="28" t="str">
        <x:v>тарт, крем, мороженое, выпечка, сырная подача или начинка</x:v>
      </x:c>
      <x:c r="Y306" s="28" t="str">
        <x:v>десерты; еда</x:v>
      </x:c>
      <x:c r="Z306" s="28" t="str">
        <x:v>Средняя</x:v>
      </x:c>
      <x:c r="AA306" s="28" t="str">
        <x:v>The Art &amp; Science of Foodpairing.pdf</x:v>
      </x:c>
      <x:c r="AB306" s="28" t="str">
        <x:v>The Art &amp; Science of Foodpairing.pdf: 260–261</x:v>
      </x:c>
      <x:c r="AC306" s="28" t="str">
        <x:v>Ingredient pairings with peach and nectarine: toasted flaked almonds.</x:v>
      </x:c>
      <x:c r="AD306" s="28" t="n">
        <x:v>1</x:v>
      </x:c>
      <x:c r="AE306" s="28" t="n">
        <x:v>1</x:v>
      </x:c>
      <x:c r="AF306" s="28" t="n">
        <x:f>IF(Z306="Высокая",3,IF(Z306="Средняя",2,1))+AD306*2+MIN(AE306,3)</x:f>
        <x:v>5</x:v>
      </x:c>
    </x:row>
    <x:row r="307" ht="62" customHeight="1">
      <x:c r="A307" s="28" t="str">
        <x:v>STN-0306</x:v>
      </x:c>
      <x:c r="B307" s="28" t="str">
        <x:v>нектарин</x:v>
      </x:c>
      <x:c r="C307" s="28" t="str">
        <x:v>Универсальные</x:v>
      </x:c>
      <x:c r="D307" s="28" t="str">
        <x:v>нектарин</x:v>
      </x:c>
      <x:c r="E307" s="28" t="str">
        <x:v>nectarine</x:v>
      </x:c>
      <x:c r="F307" s="28" t="str">
        <x:v>Косточковые фрукты</x:v>
      </x:c>
      <x:c r="G307" s="28" t="str">
        <x:v>обжаренный bacon</x:v>
      </x:c>
      <x:c r="H307" s="28" t="str">
        <x:v>pan-fried bacon</x:v>
      </x:c>
      <x:c r="I307" s="28" t="str">
        <x:v>Прочее</x:v>
      </x:c>
      <x:c r="J307" s="28" t="str">
        <x:v>персиковый, фруктовый, цветочный, зелёный, сливочно-лактонный</x:v>
      </x:c>
      <x:c r="K307" s="28" t="str">
        <x:v>комплексный</x:v>
      </x:c>
      <x:c r="L307" s="28" t="str">
        <x:v>γ- и δ-декалактон, γ- и δ-додекалактон, фруктовые эфиры, линалоол, бензальдегид, C6-альдегиды</x:v>
      </x:c>
      <x:c r="M307" s="28" t="str">
        <x:v>не конкретизированы</x:v>
      </x:c>
      <x:c r="N307" s="28" t="str">
        <x:v>прямое семейное перекрытие не является главным механизмом</x:v>
      </x:c>
      <x:c r="O307" s="28" t="str">
        <x:v>надёжный единичный общий маркер не подтверждён; механизм не сводится к одной молекуле</x:v>
      </x:c>
      <x:c r="P307" s="28" t="str">
        <x:v>комплементарность ароматических семейств, вкусовой контраст и матричный эффект</x:v>
      </x:c>
      <x:c r="Q307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</x:v>
      </x:c>
      <x:c r="R307" s="28" t="str">
        <x:v>слабый; кислотность усиливает свежесть; партнёр: обычно отсутствует; зависит от конкретного продукта</x:v>
      </x:c>
      <x:c r="S307" s="28" t="str">
        <x:v>водно-пектиновая; гидрофобные лактоны лучше проявляются в жире и этаноле. Партнёр: механизм зависит от конкретного продукта.</x:v>
      </x:c>
      <x:c r="T30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30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Обжаренный bacon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30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07" s="28" t="str">
        <x:v>мёд, цитрус или нейтральная жировая основа</x:v>
      </x:c>
      <x:c r="X307" s="28" t="str">
        <x:v>напиток, соус, десерт или горячее блюдо после пробной дегустации</x:v>
      </x:c>
      <x:c r="Y307" s="28" t="str">
        <x:v>напитки; еда; десерты; соусы/маринады</x:v>
      </x:c>
      <x:c r="Z307" s="28" t="str">
        <x:v>Средняя</x:v>
      </x:c>
      <x:c r="AA307" s="28" t="str">
        <x:v>The Art &amp; Science of Foodpairing.pdf</x:v>
      </x:c>
      <x:c r="AB307" s="28" t="str">
        <x:v>The Art &amp; Science of Foodpairing.pdf: 260–261</x:v>
      </x:c>
      <x:c r="AC307" s="28" t="str">
        <x:v>Ingredient pairings with peach and nectarine: pan-fried bacon.</x:v>
      </x:c>
      <x:c r="AD307" s="28" t="n">
        <x:v>1</x:v>
      </x:c>
      <x:c r="AE307" s="28" t="n">
        <x:v>1</x:v>
      </x:c>
      <x:c r="AF307" s="28" t="n">
        <x:f>IF(Z307="Высокая",3,IF(Z307="Средняя",2,1))+AD307*2+MIN(AE307,3)</x:f>
        <x:v>5</x:v>
      </x:c>
    </x:row>
    <x:row r="308" ht="62" customHeight="1">
      <x:c r="A308" s="28" t="str">
        <x:v>STN-0307</x:v>
      </x:c>
      <x:c r="B308" s="28" t="str">
        <x:v>нектарин</x:v>
      </x:c>
      <x:c r="C308" s="28" t="str">
        <x:v>Универсальные</x:v>
      </x:c>
      <x:c r="D308" s="28" t="str">
        <x:v>нектарин</x:v>
      </x:c>
      <x:c r="E308" s="28" t="str">
        <x:v>nectarine</x:v>
      </x:c>
      <x:c r="F308" s="28" t="str">
        <x:v>Косточковые фрукты</x:v>
      </x:c>
      <x:c r="G308" s="28" t="str">
        <x:v>обжаренный duck breast</x:v>
      </x:c>
      <x:c r="H308" s="28" t="str">
        <x:v>pan-fried duck breast</x:v>
      </x:c>
      <x:c r="I308" s="28" t="str">
        <x:v>Прочее</x:v>
      </x:c>
      <x:c r="J308" s="28" t="str">
        <x:v>персиковый, фруктовый, цветочный, зелёный, сливочно-лактонный</x:v>
      </x:c>
      <x:c r="K308" s="28" t="str">
        <x:v>комплексный</x:v>
      </x:c>
      <x:c r="L308" s="28" t="str">
        <x:v>γ- и δ-декалактон, γ- и δ-додекалактон, фруктовые эфиры, линалоол, бензальдегид, C6-альдегиды</x:v>
      </x:c>
      <x:c r="M308" s="28" t="str">
        <x:v>не конкретизированы</x:v>
      </x:c>
      <x:c r="N308" s="28" t="str">
        <x:v>прямое семейное перекрытие не является главным механизмом</x:v>
      </x:c>
      <x:c r="O308" s="28" t="str">
        <x:v>надёжный единичный общий маркер не подтверждён; механизм не сводится к одной молекуле</x:v>
      </x:c>
      <x:c r="P308" s="28" t="str">
        <x:v>комплементарность ароматических семейств, вкусовой контраст и матричный эффект</x:v>
      </x:c>
      <x:c r="Q308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</x:v>
      </x:c>
      <x:c r="R308" s="28" t="str">
        <x:v>слабый; кислотность усиливает свежесть; партнёр: обычно отсутствует; зависит от конкретного продукта</x:v>
      </x:c>
      <x:c r="S308" s="28" t="str">
        <x:v>водно-пектиновая; гидрофобные лактоны лучше проявляются в жире и этаноле. Партнёр: механизм зависит от конкретного продукта.</x:v>
      </x:c>
      <x:c r="T30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30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Обжаренный duck breast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30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08" s="28" t="str">
        <x:v>мёд, цитрус или нейтральная жировая основа</x:v>
      </x:c>
      <x:c r="X308" s="28" t="str">
        <x:v>напиток, соус, десерт или горячее блюдо после пробной дегустации</x:v>
      </x:c>
      <x:c r="Y308" s="28" t="str">
        <x:v>напитки; еда; десерты; соусы/маринады</x:v>
      </x:c>
      <x:c r="Z308" s="28" t="str">
        <x:v>Средняя</x:v>
      </x:c>
      <x:c r="AA308" s="28" t="str">
        <x:v>The Art &amp; Science of Foodpairing.pdf</x:v>
      </x:c>
      <x:c r="AB308" s="28" t="str">
        <x:v>The Art &amp; Science of Foodpairing.pdf: 260–261</x:v>
      </x:c>
      <x:c r="AC308" s="28" t="str">
        <x:v>Ingredient pairings with peach and nectarine: pan-fried duck breast.</x:v>
      </x:c>
      <x:c r="AD308" s="28" t="n">
        <x:v>1</x:v>
      </x:c>
      <x:c r="AE308" s="28" t="n">
        <x:v>1</x:v>
      </x:c>
      <x:c r="AF308" s="28" t="n">
        <x:f>IF(Z308="Высокая",3,IF(Z308="Средняя",2,1))+AD308*2+MIN(AE308,3)</x:f>
        <x:v>5</x:v>
      </x:c>
    </x:row>
    <x:row r="309" ht="62" customHeight="1">
      <x:c r="A309" s="28" t="str">
        <x:v>STN-0308</x:v>
      </x:c>
      <x:c r="B309" s="28" t="str">
        <x:v>нектарин</x:v>
      </x:c>
      <x:c r="C309" s="28" t="str">
        <x:v>Еда и соусы</x:v>
      </x:c>
      <x:c r="D309" s="28" t="str">
        <x:v>нектарин</x:v>
      </x:c>
      <x:c r="E309" s="28" t="str">
        <x:v>nectarine</x:v>
      </x:c>
      <x:c r="F309" s="28" t="str">
        <x:v>Косточковые фрукты</x:v>
      </x:c>
      <x:c r="G309" s="28" t="str">
        <x:v>обжаренный страус</x:v>
      </x:c>
      <x:c r="H309" s="28" t="str">
        <x:v>pan-fried ostrich</x:v>
      </x:c>
      <x:c r="I309" s="28" t="str">
        <x:v>Мясо и птица</x:v>
      </x:c>
      <x:c r="J309" s="28" t="str">
        <x:v>персиковый, фруктовый, цветочный, зелёный, сливочно-лактонный</x:v>
      </x:c>
      <x:c r="K309" s="28" t="str">
        <x:v>жареный, мясной, сернистый, жирный</x:v>
      </x:c>
      <x:c r="L309" s="28" t="str">
        <x:v>γ- и δ-декалактон, γ- и δ-додекалактон, фруктовые эфиры, линалоол, бензальдегид, C6-альдегиды</x:v>
      </x:c>
      <x:c r="M309" s="28" t="str">
        <x:v>пиразины, тиазолы, альдегиды жиров, сернистые соединения</x:v>
      </x:c>
      <x:c r="N309" s="28" t="str">
        <x:v>прямое семейное перекрытие не является главным механизмом</x:v>
      </x:c>
      <x:c r="O309" s="28" t="str">
        <x:v>надёжный единичный общий маркер не подтверждён; механизм не сводится к одной молекуле</x:v>
      </x:c>
      <x:c r="P309" s="28" t="str">
        <x:v>комплементарность ароматических семейств, вкусовой контраст и матричный эффект</x:v>
      </x:c>
      <x:c r="Q309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309" s="28" t="str">
        <x:v>слабый; кислотность усиливает свежесть; партнёр: нет выраженного</x:v>
      </x:c>
      <x:c r="S309" s="28" t="str">
        <x:v>водно-пектиновая; гидрофобные лактоны лучше проявляются в жире и этаноле. Партнёр: жир удерживает терпеновые масла; кислота снижает ощущение жирности.</x:v>
      </x:c>
      <x:c r="T309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U30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Обжаренный страус относится к группе «Мясо и птица» и даёт профиль «жареный, мясной, сернистый, жирный»; типичные соединения или классы: пиразины, тиазолы, альдегиды жиров,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терпеновые масла; кислота снижает ощущение жирности.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V309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W309" s="28" t="str">
        <x:v>розмарин, горчица или хересный уксус</x:v>
      </x:c>
      <x:c r="X309" s="28" t="str">
        <x:v>соус, глазировка, чатни, маринад, гарнир или основное блюдо</x:v>
      </x:c>
      <x:c r="Y309" s="28" t="str">
        <x:v>еда; соусы/маринады</x:v>
      </x:c>
      <x:c r="Z309" s="28" t="str">
        <x:v>Средняя</x:v>
      </x:c>
      <x:c r="AA309" s="28" t="str">
        <x:v>The Art &amp; Science of Foodpairing.pdf</x:v>
      </x:c>
      <x:c r="AB309" s="28" t="str">
        <x:v>The Art &amp; Science of Foodpairing.pdf: 260–261</x:v>
      </x:c>
      <x:c r="AC309" s="28" t="str">
        <x:v>Ingredient pairings with peach and nectarine: pan-fried ostrich.</x:v>
      </x:c>
      <x:c r="AD309" s="28" t="n">
        <x:v>1</x:v>
      </x:c>
      <x:c r="AE309" s="28" t="n">
        <x:v>2</x:v>
      </x:c>
      <x:c r="AF309" s="28" t="n">
        <x:f>IF(Z309="Высокая",3,IF(Z309="Средняя",2,1))+AD309*2+MIN(AE309,3)</x:f>
        <x:v>6</x:v>
      </x:c>
    </x:row>
    <x:row r="310" ht="62" customHeight="1">
      <x:c r="A310" s="28" t="str">
        <x:v>STN-0309</x:v>
      </x:c>
      <x:c r="B310" s="28" t="str">
        <x:v>нектарин</x:v>
      </x:c>
      <x:c r="C310" s="28" t="str">
        <x:v>Универсальные</x:v>
      </x:c>
      <x:c r="D310" s="28" t="str">
        <x:v>нектарин</x:v>
      </x:c>
      <x:c r="E310" s="28" t="str">
        <x:v>nectarine</x:v>
      </x:c>
      <x:c r="F310" s="28" t="str">
        <x:v>Косточковые фрукты</x:v>
      </x:c>
      <x:c r="G310" s="28" t="str">
        <x:v>оливковое масло</x:v>
      </x:c>
      <x:c r="H310" s="28" t="str">
        <x:v>Olive oil</x:v>
      </x:c>
      <x:c r="I310" s="28" t="str">
        <x:v>Молочные продукты и сыры</x:v>
      </x:c>
      <x:c r="J310" s="28" t="str">
        <x:v>персиковый, фруктовый, цветочный, зелёный, сливочно-лактонный</x:v>
      </x:c>
      <x:c r="K310" s="28" t="str">
        <x:v>масляный, молочный, сливочный, сырный</x:v>
      </x:c>
      <x:c r="L310" s="28" t="str">
        <x:v>γ- и δ-декалактон, γ- и δ-додекалактон, фруктовые эфиры, линалоол, бензальдегид, C6-альдегиды</x:v>
      </x:c>
      <x:c r="M310" s="28" t="str">
        <x:v>диацетил, жирные кислоты, лактоны</x:v>
      </x:c>
      <x:c r="N310" s="28" t="str">
        <x:v>прямое семейное перекрытие не является главным механизмом</x:v>
      </x:c>
      <x:c r="O310" s="28" t="str">
        <x:v>надёжный единичный общий маркер не подтверждён; механизм не сводится к одной молекуле</x:v>
      </x:c>
      <x:c r="P310" s="28" t="str">
        <x:v>комплементарность ароматических семейств, вкусовой контраст и матричный эффект</x:v>
      </x:c>
      <x:c r="Q310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жирный, кислый/солёный. Баланс корректируется сахаром, кислотой, солью и горечью.</x:v>
      </x:c>
      <x:c r="R310" s="28" t="str">
        <x:v>слабый; кислотность усиливает свежесть; партнёр: обычно отсутствует; зависит от конкретного продукта</x:v>
      </x:c>
      <x:c r="S310" s="28" t="str">
        <x:v>водно-пектиновая; гидрофобные лактоны лучше проявляются в жире и этаноле. Партнёр: жировая и белковая матрица смягчает кислотность.</x:v>
      </x:c>
      <x:c r="T31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31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жирный, кислый/солёный.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жировая и белковая матрица смягчает кислотность.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31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10" s="28" t="str">
        <x:v>мёд, цитрус или нейтральная жировая основа</x:v>
      </x:c>
      <x:c r="X310" s="28" t="str">
        <x:v>напиток, соус, десерт или горячее блюдо после пробной дегустации</x:v>
      </x:c>
      <x:c r="Y310" s="28" t="str">
        <x:v>напитки; еда; десерты; соусы/маринады</x:v>
      </x:c>
      <x:c r="Z310" s="28" t="str">
        <x:v>Средняя</x:v>
      </x:c>
      <x:c r="AA310" s="28" t="str">
        <x:v>The Art &amp; Science of Foodpairing.pdf</x:v>
      </x:c>
      <x:c r="AB310" s="28" t="str">
        <x:v>The Art &amp; Science of Foodpairing.pdf: 172</x:v>
      </x:c>
      <x:c r="AC310" s="28" t="str">
        <x:v>Ингредиент «nectarine» указан на странице профиля/сетки сочетаний «Olive oil».</x:v>
      </x:c>
      <x:c r="AD310" s="28" t="n">
        <x:v>1</x:v>
      </x:c>
      <x:c r="AE310" s="28" t="n">
        <x:v>1</x:v>
      </x:c>
      <x:c r="AF310" s="28" t="n">
        <x:f>IF(Z310="Высокая",3,IF(Z310="Средняя",2,1))+AD310*2+MIN(AE310,3)</x:f>
        <x:v>5</x:v>
      </x:c>
    </x:row>
    <x:row r="311" ht="62" customHeight="1">
      <x:c r="A311" s="28" t="str">
        <x:v>STN-0310</x:v>
      </x:c>
      <x:c r="B311" s="28" t="str">
        <x:v>нектарин</x:v>
      </x:c>
      <x:c r="C311" s="28" t="str">
        <x:v>Универсальные</x:v>
      </x:c>
      <x:c r="D311" s="28" t="str">
        <x:v>нектарин</x:v>
      </x:c>
      <x:c r="E311" s="28" t="str">
        <x:v>nectarine</x:v>
      </x:c>
      <x:c r="F311" s="28" t="str">
        <x:v>Косточковые фрукты</x:v>
      </x:c>
      <x:c r="G311" s="28" t="str">
        <x:v>оливковое масло арбекина</x:v>
      </x:c>
      <x:c r="H311" s="28" t="str">
        <x:v>Arbequina olive oil</x:v>
      </x:c>
      <x:c r="I311" s="28" t="str">
        <x:v>Прочее</x:v>
      </x:c>
      <x:c r="J311" s="28" t="str">
        <x:v>персиковый, фруктовый, цветочный, зелёный, сливочно-лактонный</x:v>
      </x:c>
      <x:c r="K311" s="28" t="str">
        <x:v>комплексный профиль, зависящий от продукта</x:v>
      </x:c>
      <x:c r="L311" s="28" t="str">
        <x:v>γ- и δ-декалактон, γ- и δ-додекалактон, фруктовые эфиры, линалоол, бензальдегид, C6-альдегиды</x:v>
      </x:c>
      <x:c r="M311" s="28" t="str">
        <x:v>нужен профиль конкретного ингредиента</x:v>
      </x:c>
      <x:c r="N311" s="28" t="str">
        <x:v>прямое семейное перекрытие не является главным механизмом</x:v>
      </x:c>
      <x:c r="O311" s="28" t="str">
        <x:v>надёжный единичный общий маркер не подтверждён; механизм не сводится к одной молекуле</x:v>
      </x:c>
      <x:c r="P311" s="28" t="str">
        <x:v>комплементарность ароматических семейств, вкусовой контраст и матричный эффект</x:v>
      </x:c>
      <x:c r="Q311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баланс зависит от продукта. Баланс корректируется сахаром, кислотой, солью и горечью.</x:v>
      </x:c>
      <x:c r="R311" s="28" t="str">
        <x:v>слабый; кислотность усиливает свежесть; партнёр: нет данных</x:v>
      </x:c>
      <x:c r="S311" s="28" t="str">
        <x:v>водно-пектиновая; гидрофобные лактоны лучше проявляются в жире и этаноле. Партнёр: матрица зависит от формы продукта.</x:v>
      </x:c>
      <x:c r="T31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1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Оливковое масло арбекина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баланс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матрица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1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11" s="28" t="str">
        <x:v>мёд, цитрус или нейтральная жировая основа</x:v>
      </x:c>
      <x:c r="X311" s="28" t="str">
        <x:v>напиток, соус, десерт или горячее блюдо после пробной дегустации</x:v>
      </x:c>
      <x:c r="Y311" s="28" t="str">
        <x:v>напитки; еда; десерты; соусы/маринады</x:v>
      </x:c>
      <x:c r="Z311" s="28" t="str">
        <x:v>Средняя</x:v>
      </x:c>
      <x:c r="AA311" s="28" t="str">
        <x:v>The Art &amp; Science of Foodpairing.pdf</x:v>
      </x:c>
      <x:c r="AB311" s="28" t="str">
        <x:v>The Art &amp; Science of Foodpairing.pdf: 260–261</x:v>
      </x:c>
      <x:c r="AC311" s="28" t="str">
        <x:v>Ingredient pairings with peach and nectarine: Arbequina olive oil.</x:v>
      </x:c>
      <x:c r="AD311" s="28" t="n">
        <x:v>1</x:v>
      </x:c>
      <x:c r="AE311" s="28" t="n">
        <x:v>1</x:v>
      </x:c>
      <x:c r="AF311" s="28" t="n">
        <x:f>IF(Z311="Высокая",3,IF(Z311="Средняя",2,1))+AD311*2+MIN(AE311,3)</x:f>
        <x:v>5</x:v>
      </x:c>
    </x:row>
    <x:row r="312" ht="62" customHeight="1">
      <x:c r="A312" s="28" t="str">
        <x:v>STN-0311</x:v>
      </x:c>
      <x:c r="B312" s="28" t="str">
        <x:v>нектарин</x:v>
      </x:c>
      <x:c r="C312" s="28" t="str">
        <x:v>Десерты и выпечка</x:v>
      </x:c>
      <x:c r="D312" s="28" t="str">
        <x:v>нектарин</x:v>
      </x:c>
      <x:c r="E312" s="28" t="str">
        <x:v>nectarine</x:v>
      </x:c>
      <x:c r="F312" s="28" t="str">
        <x:v>Косточковые фрукты</x:v>
      </x:c>
      <x:c r="G312" s="28" t="str">
        <x:v>отварная паста</x:v>
      </x:c>
      <x:c r="H312" s="28" t="str">
        <x:v>cooked pasta</x:v>
      </x:c>
      <x:c r="I312" s="28" t="str">
        <x:v>Злаки и выпечка</x:v>
      </x:c>
      <x:c r="J312" s="28" t="str">
        <x:v>персиковый, фруктовый, цветочный, зелёный, сливочно-лактонный</x:v>
      </x:c>
      <x:c r="K312" s="28" t="str">
        <x:v>хлебный, зерновой, жареный, сливочный</x:v>
      </x:c>
      <x:c r="L312" s="28" t="str">
        <x:v>γ- и δ-декалактон, γ- и δ-додекалактон, фруктовые эфиры, линалоол, бензальдегид, C6-альдегиды</x:v>
      </x:c>
      <x:c r="M312" s="28" t="str">
        <x:v>пиразины, фураны, мальтол, продукты Майяра</x:v>
      </x:c>
      <x:c r="N312" s="28" t="str">
        <x:v>прямое семейное перекрытие не является главным механизмом</x:v>
      </x:c>
      <x:c r="O312" s="28" t="str">
        <x:v>надёжный единичный общий маркер не подтверждён; механизм не сводится к одной молекуле</x:v>
      </x:c>
      <x:c r="P312" s="28" t="str">
        <x:v>комплементарность ароматических семейств, вкусовой контраст и матричный эффект</x:v>
      </x:c>
      <x:c r="Q312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</x:v>
      </x:c>
      <x:c r="R312" s="28" t="str">
        <x:v>слабый; кислотность усиливает свежесть; партнёр: нет выраженного</x:v>
      </x:c>
      <x:c r="S312" s="28" t="str">
        <x:v>водно-пектиновая; гидрофобные лактоны лучше проявляются в жире и этаноле. Партнёр: крахмальная матрица приглушает кислоту и распределяет аромат.</x:v>
      </x:c>
      <x:c r="T31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1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Отварная паста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крахмальная матрица приглушает кислоту и распределяет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1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12" s="28" t="str">
        <x:v>сливочное масло, ваниль или орех</x:v>
      </x:c>
      <x:c r="X312" s="28" t="str">
        <x:v>тарт, крем, мороженое, выпечка, сырная подача или начинка</x:v>
      </x:c>
      <x:c r="Y312" s="28" t="str">
        <x:v>десерты; еда</x:v>
      </x:c>
      <x:c r="Z312" s="28" t="str">
        <x:v>Средняя</x:v>
      </x:c>
      <x:c r="AA312" s="28" t="str">
        <x:v>The Art &amp; Science of Foodpairing.pdf</x:v>
      </x:c>
      <x:c r="AB312" s="28" t="str">
        <x:v>The Art &amp; Science of Foodpairing.pdf: 260–261</x:v>
      </x:c>
      <x:c r="AC312" s="28" t="str">
        <x:v>Ingredient pairings with peach and nectarine: cooked pasta.</x:v>
      </x:c>
      <x:c r="AD312" s="28" t="n">
        <x:v>1</x:v>
      </x:c>
      <x:c r="AE312" s="28" t="n">
        <x:v>1</x:v>
      </x:c>
      <x:c r="AF312" s="28" t="n">
        <x:f>IF(Z312="Высокая",3,IF(Z312="Средняя",2,1))+AD312*2+MIN(AE312,3)</x:f>
        <x:v>5</x:v>
      </x:c>
    </x:row>
    <x:row r="313" ht="62" customHeight="1">
      <x:c r="A313" s="28" t="str">
        <x:v>STN-0312</x:v>
      </x:c>
      <x:c r="B313" s="28" t="str">
        <x:v>нектарин</x:v>
      </x:c>
      <x:c r="C313" s="28" t="str">
        <x:v>Десерты и выпечка</x:v>
      </x:c>
      <x:c r="D313" s="28" t="str">
        <x:v>нектарин</x:v>
      </x:c>
      <x:c r="E313" s="28" t="str">
        <x:v>nectarine</x:v>
      </x:c>
      <x:c r="F313" s="28" t="str">
        <x:v>Косточковые фрукты</x:v>
      </x:c>
      <x:c r="G313" s="28" t="str">
        <x:v>отварная полба</x:v>
      </x:c>
      <x:c r="H313" s="28" t="str">
        <x:v>cooked spelt</x:v>
      </x:c>
      <x:c r="I313" s="28" t="str">
        <x:v>Злаки и выпечка</x:v>
      </x:c>
      <x:c r="J313" s="28" t="str">
        <x:v>персиковый, фруктовый, цветочный, зелёный, сливочно-лактонный</x:v>
      </x:c>
      <x:c r="K313" s="28" t="str">
        <x:v>хлебный, зерновой, жареный, сливочный</x:v>
      </x:c>
      <x:c r="L313" s="28" t="str">
        <x:v>γ- и δ-декалактон, γ- и δ-додекалактон, фруктовые эфиры, линалоол, бензальдегид, C6-альдегиды</x:v>
      </x:c>
      <x:c r="M313" s="28" t="str">
        <x:v>пиразины, фураны, мальтол, продукты Майяра</x:v>
      </x:c>
      <x:c r="N313" s="28" t="str">
        <x:v>прямое семейное перекрытие не является главным механизмом</x:v>
      </x:c>
      <x:c r="O313" s="28" t="str">
        <x:v>надёжный единичный общий маркер не подтверждён; механизм не сводится к одной молекуле</x:v>
      </x:c>
      <x:c r="P313" s="28" t="str">
        <x:v>комплементарность ароматических семейств, вкусовой контраст и матричный эффект</x:v>
      </x:c>
      <x:c r="Q313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</x:v>
      </x:c>
      <x:c r="R313" s="28" t="str">
        <x:v>слабый; кислотность усиливает свежесть; партнёр: нет выраженного</x:v>
      </x:c>
      <x:c r="S313" s="28" t="str">
        <x:v>водно-пектиновая; гидрофобные лактоны лучше проявляются в жире и этаноле. Партнёр: крахмальная матрица приглушает кислоту и распределяет аромат.</x:v>
      </x:c>
      <x:c r="T31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1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Отварная полба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крахмальная матрица приглушает кислоту и распределяет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1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13" s="28" t="str">
        <x:v>сливочное масло, ваниль или орех</x:v>
      </x:c>
      <x:c r="X313" s="28" t="str">
        <x:v>тарт, крем, мороженое, выпечка, сырная подача или начинка</x:v>
      </x:c>
      <x:c r="Y313" s="28" t="str">
        <x:v>десерты; еда</x:v>
      </x:c>
      <x:c r="Z313" s="28" t="str">
        <x:v>Средняя</x:v>
      </x:c>
      <x:c r="AA313" s="28" t="str">
        <x:v>The Art &amp; Science of Foodpairing.pdf</x:v>
      </x:c>
      <x:c r="AB313" s="28" t="str">
        <x:v>The Art &amp; Science of Foodpairing.pdf: 260–261</x:v>
      </x:c>
      <x:c r="AC313" s="28" t="str">
        <x:v>Ingredient pairings with peach and nectarine: cooked spelt.</x:v>
      </x:c>
      <x:c r="AD313" s="28" t="n">
        <x:v>1</x:v>
      </x:c>
      <x:c r="AE313" s="28" t="n">
        <x:v>1</x:v>
      </x:c>
      <x:c r="AF313" s="28" t="n">
        <x:f>IF(Z313="Высокая",3,IF(Z313="Средняя",2,1))+AD313*2+MIN(AE313,3)</x:f>
        <x:v>5</x:v>
      </x:c>
    </x:row>
    <x:row r="314" ht="62" customHeight="1">
      <x:c r="A314" s="28" t="str">
        <x:v>STN-0313</x:v>
      </x:c>
      <x:c r="B314" s="28" t="str">
        <x:v>нектарин</x:v>
      </x:c>
      <x:c r="C314" s="28" t="str">
        <x:v>Еда и соусы</x:v>
      </x:c>
      <x:c r="D314" s="28" t="str">
        <x:v>нектарин</x:v>
      </x:c>
      <x:c r="E314" s="28" t="str">
        <x:v>nectarine</x:v>
      </x:c>
      <x:c r="F314" s="28" t="str">
        <x:v>Косточковые фрукты</x:v>
      </x:c>
      <x:c r="G314" s="28" t="str">
        <x:v>отварная стручковая фасоль</x:v>
      </x:c>
      <x:c r="H314" s="28" t="str">
        <x:v>boiled green beans</x:v>
      </x:c>
      <x:c r="I314" s="28" t="str">
        <x:v>Овощи и корнеплоды</x:v>
      </x:c>
      <x:c r="J314" s="28" t="str">
        <x:v>персиковый, фруктовый, цветочный, зелёный, сливочно-лактонный</x:v>
      </x:c>
      <x:c r="K314" s="28" t="str">
        <x:v>зелёный, землистый, сладковатый или сернистый</x:v>
      </x:c>
      <x:c r="L314" s="28" t="str">
        <x:v>γ- и δ-декалактон, γ- и δ-додекалактон, фруктовые эфиры, линалоол, бензальдегид, C6-альдегиды</x:v>
      </x:c>
      <x:c r="M314" s="28" t="str">
        <x:v>C6-альдегиды, метоксипиразины, терпены, сернистые соединения</x:v>
      </x:c>
      <x:c r="N314" s="28" t="str">
        <x:v>зелёный</x:v>
      </x:c>
      <x:c r="O314" s="28" t="str">
        <x:v>c6-альдегиды</x:v>
      </x:c>
      <x:c r="P314" s="28" t="str">
        <x:v>прямое или классовое перекрытие характерных одорантов + вкусовой баланс</x:v>
      </x:c>
      <x:c r="Q314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</x:v>
      </x:c>
      <x:c r="R314" s="28" t="str">
        <x:v>слабый; кислотность усиливает свежесть; партнёр: зависит от продукта</x:v>
      </x:c>
      <x:c r="S314" s="28" t="str">
        <x:v>водно-пектиновая; гидрофобные лактоны лучше проявляются в жире и этаноле. Партнёр: водная и клетчаточная матрица; обжарка усиливает сладость и Майяр.</x:v>
      </x:c>
      <x:c r="T31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1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Отварная стручковая фасоль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1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14" s="28" t="str">
        <x:v>мёд, травы или уксус</x:v>
      </x:c>
      <x:c r="X314" s="28" t="str">
        <x:v>соус, глазировка, чатни, маринад, гарнир или основное блюдо</x:v>
      </x:c>
      <x:c r="Y314" s="28" t="str">
        <x:v>еда; соусы/маринады</x:v>
      </x:c>
      <x:c r="Z314" s="28" t="str">
        <x:v>Средняя</x:v>
      </x:c>
      <x:c r="AA314" s="28" t="str">
        <x:v>The Art &amp; Science of Foodpairing.pdf</x:v>
      </x:c>
      <x:c r="AB314" s="28" t="str">
        <x:v>The Art &amp; Science of Foodpairing.pdf: 260–261</x:v>
      </x:c>
      <x:c r="AC314" s="28" t="str">
        <x:v>Ingredient pairings with peach and nectarine: boiled green beans.</x:v>
      </x:c>
      <x:c r="AD314" s="28" t="n">
        <x:v>1</x:v>
      </x:c>
      <x:c r="AE314" s="28" t="n">
        <x:v>1</x:v>
      </x:c>
      <x:c r="AF314" s="28" t="n">
        <x:f>IF(Z314="Высокая",3,IF(Z314="Средняя",2,1))+AD314*2+MIN(AE314,3)</x:f>
        <x:v>5</x:v>
      </x:c>
    </x:row>
    <x:row r="315" ht="62" customHeight="1">
      <x:c r="A315" s="28" t="str">
        <x:v>STN-0314</x:v>
      </x:c>
      <x:c r="B315" s="28" t="str">
        <x:v>нектарин</x:v>
      </x:c>
      <x:c r="C315" s="28" t="str">
        <x:v>Еда и соусы</x:v>
      </x:c>
      <x:c r="D315" s="28" t="str">
        <x:v>нектарин</x:v>
      </x:c>
      <x:c r="E315" s="28" t="str">
        <x:v>nectarine</x:v>
      </x:c>
      <x:c r="F315" s="28" t="str">
        <x:v>Косточковые фрукты</x:v>
      </x:c>
      <x:c r="G315" s="28" t="str">
        <x:v>отварная тыква</x:v>
      </x:c>
      <x:c r="H315" s="28" t="str">
        <x:v>boiled pumpkin</x:v>
      </x:c>
      <x:c r="I315" s="28" t="str">
        <x:v>Овощи и корнеплоды</x:v>
      </x:c>
      <x:c r="J315" s="28" t="str">
        <x:v>персиковый, фруктовый, цветочный, зелёный, сливочно-лактонный</x:v>
      </x:c>
      <x:c r="K315" s="28" t="str">
        <x:v>зелёный, землистый, сладковатый или сернистый</x:v>
      </x:c>
      <x:c r="L315" s="28" t="str">
        <x:v>γ- и δ-декалактон, γ- и δ-додекалактон, фруктовые эфиры, линалоол, бензальдегид, C6-альдегиды</x:v>
      </x:c>
      <x:c r="M315" s="28" t="str">
        <x:v>C6-альдегиды, метоксипиразины, терпены, сернистые соединения</x:v>
      </x:c>
      <x:c r="N315" s="28" t="str">
        <x:v>зелёный</x:v>
      </x:c>
      <x:c r="O315" s="28" t="str">
        <x:v>c6-альдегиды</x:v>
      </x:c>
      <x:c r="P315" s="28" t="str">
        <x:v>прямое или классовое перекрытие характерных одорантов + вкусовой баланс</x:v>
      </x:c>
      <x:c r="Q315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</x:v>
      </x:c>
      <x:c r="R315" s="28" t="str">
        <x:v>слабый; кислотность усиливает свежесть; партнёр: зависит от продукта</x:v>
      </x:c>
      <x:c r="S315" s="28" t="str">
        <x:v>водно-пектиновая; гидрофобные лактоны лучше проявляются в жире и этаноле. Партнёр: водная и клетчаточная матрица; обжарка усиливает сладость и Майяр.</x:v>
      </x:c>
      <x:c r="T31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1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Отварная тыква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1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15" s="28" t="str">
        <x:v>мёд, травы или уксус</x:v>
      </x:c>
      <x:c r="X315" s="28" t="str">
        <x:v>соус, глазировка, чатни, маринад, гарнир или основное блюдо</x:v>
      </x:c>
      <x:c r="Y315" s="28" t="str">
        <x:v>еда; соусы/маринады</x:v>
      </x:c>
      <x:c r="Z315" s="28" t="str">
        <x:v>Средняя</x:v>
      </x:c>
      <x:c r="AA315" s="28" t="str">
        <x:v>The Art &amp; Science of Foodpairing.pdf</x:v>
      </x:c>
      <x:c r="AB315" s="28" t="str">
        <x:v>The Art &amp; Science of Foodpairing.pdf: 260–261</x:v>
      </x:c>
      <x:c r="AC315" s="28" t="str">
        <x:v>Ingredient pairings with peach and nectarine: boiled pumpkin.</x:v>
      </x:c>
      <x:c r="AD315" s="28" t="n">
        <x:v>1</x:v>
      </x:c>
      <x:c r="AE315" s="28" t="n">
        <x:v>1</x:v>
      </x:c>
      <x:c r="AF315" s="28" t="n">
        <x:f>IF(Z315="Высокая",3,IF(Z315="Средняя",2,1))+AD315*2+MIN(AE315,3)</x:f>
        <x:v>5</x:v>
      </x:c>
    </x:row>
    <x:row r="316" ht="62" customHeight="1">
      <x:c r="A316" s="28" t="str">
        <x:v>STN-0315</x:v>
      </x:c>
      <x:c r="B316" s="28" t="str">
        <x:v>нектарин</x:v>
      </x:c>
      <x:c r="C316" s="28" t="str">
        <x:v>Еда и соусы</x:v>
      </x:c>
      <x:c r="D316" s="28" t="str">
        <x:v>нектарин</x:v>
      </x:c>
      <x:c r="E316" s="28" t="str">
        <x:v>nectarine</x:v>
      </x:c>
      <x:c r="F316" s="28" t="str">
        <x:v>Косточковые фрукты</x:v>
      </x:c>
      <x:c r="G316" s="28" t="str">
        <x:v>отварное мясо бурого краба</x:v>
      </x:c>
      <x:c r="H316" s="28" t="str">
        <x:v>boiled brown crab meat</x:v>
      </x:c>
      <x:c r="I316" s="28" t="str">
        <x:v>Мясо и птица</x:v>
      </x:c>
      <x:c r="J316" s="28" t="str">
        <x:v>персиковый, фруктовый, цветочный, зелёный, сливочно-лактонный</x:v>
      </x:c>
      <x:c r="K316" s="28" t="str">
        <x:v>жареный, мясной, жирный, иногда копчёный и пряный</x:v>
      </x:c>
      <x:c r="L316" s="28" t="str">
        <x:v>γ- и δ-декалактон, γ- и δ-додекалактон, фруктовые эфиры, линалоол, бензальдегид, C6-альдегиды</x:v>
      </x:c>
      <x:c r="M316" s="28" t="str">
        <x:v>пиразины, фураны, сернистые соединения, продукты Майяра, жирные альдегиды</x:v>
      </x:c>
      <x:c r="N316" s="28" t="str">
        <x:v>прямое семейное перекрытие не является главным механизмом</x:v>
      </x:c>
      <x:c r="O316" s="28" t="str">
        <x:v>надёжный единичный общий маркер не подтверждён; механизм не сводится к одной молекуле</x:v>
      </x:c>
      <x:c r="P316" s="28" t="str">
        <x:v>комплементарность ароматических семейств, вкусовой контраст и матричный эффект</x:v>
      </x:c>
      <x:c r="Q316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316" s="28" t="str">
        <x:v>слабый; кислотность усиливает свежесть; партнёр: тепловой/пряный зависит от обработки</x:v>
      </x:c>
      <x:c r="S316" s="28" t="str">
        <x:v>водно-пектиновая; гидрофобные лактоны лучше проявляются в жире и этаноле. Партнёр: жир удерживает фруктовые лактоны; белок смягчает кислотность.</x:v>
      </x:c>
      <x:c r="T316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U31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Отварное мясо бурого краба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V316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W316" s="28" t="str">
        <x:v>розмарин, горчица или хересный уксус</x:v>
      </x:c>
      <x:c r="X316" s="28" t="str">
        <x:v>соус, глазировка, чатни, маринад, гарнир или основное блюдо</x:v>
      </x:c>
      <x:c r="Y316" s="28" t="str">
        <x:v>еда; соусы/маринады</x:v>
      </x:c>
      <x:c r="Z316" s="28" t="str">
        <x:v>Средняя</x:v>
      </x:c>
      <x:c r="AA316" s="28" t="str">
        <x:v>The Art &amp; Science of Foodpairing.pdf</x:v>
      </x:c>
      <x:c r="AB316" s="28" t="str">
        <x:v>The Art &amp; Science of Foodpairing.pdf: 260–261</x:v>
      </x:c>
      <x:c r="AC316" s="28" t="str">
        <x:v>Ingredient pairings with peach and nectarine: boiled brown crab meat.</x:v>
      </x:c>
      <x:c r="AD316" s="28" t="n">
        <x:v>1</x:v>
      </x:c>
      <x:c r="AE316" s="28" t="n">
        <x:v>1</x:v>
      </x:c>
      <x:c r="AF316" s="28" t="n">
        <x:f>IF(Z316="Высокая",3,IF(Z316="Средняя",2,1))+AD316*2+MIN(AE316,3)</x:f>
        <x:v>5</x:v>
      </x:c>
    </x:row>
    <x:row r="317" ht="62" customHeight="1">
      <x:c r="A317" s="28" t="str">
        <x:v>STN-0316</x:v>
      </x:c>
      <x:c r="B317" s="28" t="str">
        <x:v>нектарин</x:v>
      </x:c>
      <x:c r="C317" s="28" t="str">
        <x:v>Универсальные</x:v>
      </x:c>
      <x:c r="D317" s="28" t="str">
        <x:v>нектарин</x:v>
      </x:c>
      <x:c r="E317" s="28" t="str">
        <x:v>nectarine</x:v>
      </x:c>
      <x:c r="F317" s="28" t="str">
        <x:v>Косточковые фрукты</x:v>
      </x:c>
      <x:c r="G317" s="28" t="str">
        <x:v>отварной broccoli</x:v>
      </x:c>
      <x:c r="H317" s="28" t="str">
        <x:v>boiled broccoli</x:v>
      </x:c>
      <x:c r="I317" s="28" t="str">
        <x:v>Прочее</x:v>
      </x:c>
      <x:c r="J317" s="28" t="str">
        <x:v>персиковый, фруктовый, цветочный, зелёный, сливочно-лактонный</x:v>
      </x:c>
      <x:c r="K317" s="28" t="str">
        <x:v>комплексный</x:v>
      </x:c>
      <x:c r="L317" s="28" t="str">
        <x:v>γ- и δ-декалактон, γ- и δ-додекалактон, фруктовые эфиры, линалоол, бензальдегид, C6-альдегиды</x:v>
      </x:c>
      <x:c r="M317" s="28" t="str">
        <x:v>не конкретизированы</x:v>
      </x:c>
      <x:c r="N317" s="28" t="str">
        <x:v>прямое семейное перекрытие не является главным механизмом</x:v>
      </x:c>
      <x:c r="O317" s="28" t="str">
        <x:v>надёжный единичный общий маркер не подтверждён; механизм не сводится к одной молекуле</x:v>
      </x:c>
      <x:c r="P317" s="28" t="str">
        <x:v>комплементарность ароматических семейств, вкусовой контраст и матричный эффект</x:v>
      </x:c>
      <x:c r="Q317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</x:v>
      </x:c>
      <x:c r="R317" s="28" t="str">
        <x:v>слабый; кислотность усиливает свежесть; партнёр: обычно отсутствует; зависит от конкретного продукта</x:v>
      </x:c>
      <x:c r="S317" s="28" t="str">
        <x:v>водно-пектиновая; гидрофобные лактоны лучше проявляются в жире и этаноле. Партнёр: механизм зависит от конкретного продукта.</x:v>
      </x:c>
      <x:c r="T31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31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Отварной broccoli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31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17" s="28" t="str">
        <x:v>мёд, цитрус или нейтральная жировая основа</x:v>
      </x:c>
      <x:c r="X317" s="28" t="str">
        <x:v>напиток, соус, десерт или горячее блюдо после пробной дегустации</x:v>
      </x:c>
      <x:c r="Y317" s="28" t="str">
        <x:v>напитки; еда; десерты; соусы/маринады</x:v>
      </x:c>
      <x:c r="Z317" s="28" t="str">
        <x:v>Средняя</x:v>
      </x:c>
      <x:c r="AA317" s="28" t="str">
        <x:v>The Art &amp; Science of Foodpairing.pdf</x:v>
      </x:c>
      <x:c r="AB317" s="28" t="str">
        <x:v>The Art &amp; Science of Foodpairing.pdf: 260–261</x:v>
      </x:c>
      <x:c r="AC317" s="28" t="str">
        <x:v>Ingredient pairings with peach and nectarine: boiled broccoli.</x:v>
      </x:c>
      <x:c r="AD317" s="28" t="n">
        <x:v>1</x:v>
      </x:c>
      <x:c r="AE317" s="28" t="n">
        <x:v>1</x:v>
      </x:c>
      <x:c r="AF317" s="28" t="n">
        <x:f>IF(Z317="Высокая",3,IF(Z317="Средняя",2,1))+AD317*2+MIN(AE317,3)</x:f>
        <x:v>5</x:v>
      </x:c>
    </x:row>
    <x:row r="318" ht="62" customHeight="1">
      <x:c r="A318" s="28" t="str">
        <x:v>STN-0317</x:v>
      </x:c>
      <x:c r="B318" s="28" t="str">
        <x:v>нектарин</x:v>
      </x:c>
      <x:c r="C318" s="28" t="str">
        <x:v>Еда и соусы</x:v>
      </x:c>
      <x:c r="D318" s="28" t="str">
        <x:v>нектарин</x:v>
      </x:c>
      <x:c r="E318" s="28" t="str">
        <x:v>nectarine</x:v>
      </x:c>
      <x:c r="F318" s="28" t="str">
        <x:v>Косточковые фрукты</x:v>
      </x:c>
      <x:c r="G318" s="28" t="str">
        <x:v>отварной голубой краб</x:v>
      </x:c>
      <x:c r="H318" s="28" t="str">
        <x:v>boiled blue crab</x:v>
      </x:c>
      <x:c r="I318" s="28" t="str">
        <x:v>Рыба и морепродукты</x:v>
      </x:c>
      <x:c r="J318" s="28" t="str">
        <x:v>персиковый, фруктовый, цветочный, зелёный, сливочно-лактонный</x:v>
      </x:c>
      <x:c r="K318" s="28" t="str">
        <x:v>морской, солёный, умами, иногда йодистый и жареный</x:v>
      </x:c>
      <x:c r="L318" s="28" t="str">
        <x:v>γ- и δ-декалактон, γ- и δ-додекалактон, фруктовые эфиры, линалоол, бензальдегид, C6-альдегиды</x:v>
      </x:c>
      <x:c r="M318" s="28" t="str">
        <x:v>амины, бромфенолы, альдегиды жирных кислот, сернистые соединения</x:v>
      </x:c>
      <x:c r="N318" s="28" t="str">
        <x:v>прямое семейное перекрытие не является главным механизмом</x:v>
      </x:c>
      <x:c r="O318" s="28" t="str">
        <x:v>надёжный единичный общий маркер не подтверждён; механизм не сводится к одной молекуле</x:v>
      </x:c>
      <x:c r="P318" s="28" t="str">
        <x:v>комплементарность ароматических семейств, вкусовой контраст и матричный эффект</x:v>
      </x:c>
      <x:c r="Q318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318" s="28" t="str">
        <x:v>слабый; кислотность усиливает свежесть; партнёр: нет выраженного</x:v>
      </x:c>
      <x:c r="S318" s="28" t="str">
        <x:v>водно-пектиновая; гидрофобные лактоны лучше проявляются в жире и этаноле. Партнёр: водно-белковая матрица; жирная рыба лучше удерживает лактоны.</x:v>
      </x:c>
      <x:c r="T31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1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Отварной голубой краб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18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W318" s="28" t="str">
        <x:v>цитрус, укроп или оливковое масло</x:v>
      </x:c>
      <x:c r="X318" s="28" t="str">
        <x:v>соус, глазировка, чатни, маринад, гарнир или основное блюдо</x:v>
      </x:c>
      <x:c r="Y318" s="28" t="str">
        <x:v>еда; соусы/маринады</x:v>
      </x:c>
      <x:c r="Z318" s="28" t="str">
        <x:v>Средняя</x:v>
      </x:c>
      <x:c r="AA318" s="28" t="str">
        <x:v>The Art &amp; Science of Foodpairing.pdf</x:v>
      </x:c>
      <x:c r="AB318" s="28" t="str">
        <x:v>The Art &amp; Science of Foodpairing.pdf: 260–261</x:v>
      </x:c>
      <x:c r="AC318" s="28" t="str">
        <x:v>Ingredient pairings with peach and nectarine: boiled blue crab.</x:v>
      </x:c>
      <x:c r="AD318" s="28" t="n">
        <x:v>1</x:v>
      </x:c>
      <x:c r="AE318" s="28" t="n">
        <x:v>1</x:v>
      </x:c>
      <x:c r="AF318" s="28" t="n">
        <x:f>IF(Z318="Высокая",3,IF(Z318="Средняя",2,1))+AD318*2+MIN(AE318,3)</x:f>
        <x:v>5</x:v>
      </x:c>
    </x:row>
    <x:row r="319" ht="62" customHeight="1">
      <x:c r="A319" s="28" t="str">
        <x:v>STN-0318</x:v>
      </x:c>
      <x:c r="B319" s="28" t="str">
        <x:v>нектарин</x:v>
      </x:c>
      <x:c r="C319" s="28" t="str">
        <x:v>Десерты и выпечка</x:v>
      </x:c>
      <x:c r="D319" s="28" t="str">
        <x:v>нектарин</x:v>
      </x:c>
      <x:c r="E319" s="28" t="str">
        <x:v>nectarine</x:v>
      </x:c>
      <x:c r="F319" s="28" t="str">
        <x:v>Косточковые фрукты</x:v>
      </x:c>
      <x:c r="G319" s="28" t="str">
        <x:v>отварной рис басмати</x:v>
      </x:c>
      <x:c r="H319" s="28" t="str">
        <x:v>cooked basmati rice</x:v>
      </x:c>
      <x:c r="I319" s="28" t="str">
        <x:v>Злаки и выпечка</x:v>
      </x:c>
      <x:c r="J319" s="28" t="str">
        <x:v>персиковый, фруктовый, цветочный, зелёный, сливочно-лактонный</x:v>
      </x:c>
      <x:c r="K319" s="28" t="str">
        <x:v>хлебный, зерновой, жареный, сливочный</x:v>
      </x:c>
      <x:c r="L319" s="28" t="str">
        <x:v>γ- и δ-декалактон, γ- и δ-додекалактон, фруктовые эфиры, линалоол, бензальдегид, C6-альдегиды</x:v>
      </x:c>
      <x:c r="M319" s="28" t="str">
        <x:v>пиразины, фураны, мальтол, продукты Майяра</x:v>
      </x:c>
      <x:c r="N319" s="28" t="str">
        <x:v>прямое семейное перекрытие не является главным механизмом</x:v>
      </x:c>
      <x:c r="O319" s="28" t="str">
        <x:v>надёжный единичный общий маркер не подтверждён; механизм не сводится к одной молекуле</x:v>
      </x:c>
      <x:c r="P319" s="28" t="str">
        <x:v>комплементарность ароматических семейств, вкусовой контраст и матричный эффект</x:v>
      </x:c>
      <x:c r="Q319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</x:v>
      </x:c>
      <x:c r="R319" s="28" t="str">
        <x:v>слабый; кислотность усиливает свежесть; партнёр: нет выраженного</x:v>
      </x:c>
      <x:c r="S319" s="28" t="str">
        <x:v>водно-пектиновая; гидрофобные лактоны лучше проявляются в жире и этаноле. Партнёр: крахмальная матрица приглушает кислоту и распределяет аромат.</x:v>
      </x:c>
      <x:c r="T31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1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Отварной рис басмати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крахмальная матрица приглушает кислоту и распределяет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1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19" s="28" t="str">
        <x:v>сливочное масло, ваниль или орех</x:v>
      </x:c>
      <x:c r="X319" s="28" t="str">
        <x:v>тарт, крем, мороженое, выпечка, сырная подача или начинка</x:v>
      </x:c>
      <x:c r="Y319" s="28" t="str">
        <x:v>десерты; еда</x:v>
      </x:c>
      <x:c r="Z319" s="28" t="str">
        <x:v>Средняя</x:v>
      </x:c>
      <x:c r="AA319" s="28" t="str">
        <x:v>The Art &amp; Science of Foodpairing.pdf</x:v>
      </x:c>
      <x:c r="AB319" s="28" t="str">
        <x:v>The Art &amp; Science of Foodpairing.pdf: 260–261</x:v>
      </x:c>
      <x:c r="AC319" s="28" t="str">
        <x:v>Ingredient pairings with peach and nectarine: cooked basmati rice.</x:v>
      </x:c>
      <x:c r="AD319" s="28" t="n">
        <x:v>1</x:v>
      </x:c>
      <x:c r="AE319" s="28" t="n">
        <x:v>1</x:v>
      </x:c>
      <x:c r="AF319" s="28" t="n">
        <x:f>IF(Z319="Высокая",3,IF(Z319="Средняя",2,1))+AD319*2+MIN(AE319,3)</x:f>
        <x:v>5</x:v>
      </x:c>
    </x:row>
    <x:row r="320" ht="62" customHeight="1">
      <x:c r="A320" s="28" t="str">
        <x:v>STN-0319</x:v>
      </x:c>
      <x:c r="B320" s="28" t="str">
        <x:v>нектарин</x:v>
      </x:c>
      <x:c r="C320" s="28" t="str">
        <x:v>Еда и соусы</x:v>
      </x:c>
      <x:c r="D320" s="28" t="str">
        <x:v>нектарин</x:v>
      </x:c>
      <x:c r="E320" s="28" t="str">
        <x:v>nectarine</x:v>
      </x:c>
      <x:c r="F320" s="28" t="str">
        <x:v>Косточковые фрукты</x:v>
      </x:c>
      <x:c r="G320" s="28" t="str">
        <x:v>отварной томатильо</x:v>
      </x:c>
      <x:c r="H320" s="28" t="str">
        <x:v>boiled tomatillo</x:v>
      </x:c>
      <x:c r="I320" s="28" t="str">
        <x:v>Овощи и корнеплоды</x:v>
      </x:c>
      <x:c r="J320" s="28" t="str">
        <x:v>персиковый, фруктовый, цветочный, зелёный, сливочно-лактонный</x:v>
      </x:c>
      <x:c r="K320" s="28" t="str">
        <x:v>зелёный, землистый, сладковатый или сернистый</x:v>
      </x:c>
      <x:c r="L320" s="28" t="str">
        <x:v>γ- и δ-декалактон, γ- и δ-додекалактон, фруктовые эфиры, линалоол, бензальдегид, C6-альдегиды</x:v>
      </x:c>
      <x:c r="M320" s="28" t="str">
        <x:v>C6-альдегиды, метоксипиразины, терпены, сернистые соединения</x:v>
      </x:c>
      <x:c r="N320" s="28" t="str">
        <x:v>зелёный</x:v>
      </x:c>
      <x:c r="O320" s="28" t="str">
        <x:v>c6-альдегиды</x:v>
      </x:c>
      <x:c r="P320" s="28" t="str">
        <x:v>прямое или классовое перекрытие характерных одорантов + вкусовой баланс</x:v>
      </x:c>
      <x:c r="Q320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</x:v>
      </x:c>
      <x:c r="R320" s="28" t="str">
        <x:v>слабый; кислотность усиливает свежесть; партнёр: зависит от продукта</x:v>
      </x:c>
      <x:c r="S320" s="28" t="str">
        <x:v>водно-пектиновая; гидрофобные лактоны лучше проявляются в жире и этаноле. Партнёр: водная и клетчаточная матрица; обжарка усиливает сладость и Майяр.</x:v>
      </x:c>
      <x:c r="T32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2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Отварной томатильо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2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20" s="28" t="str">
        <x:v>мёд, травы или уксус</x:v>
      </x:c>
      <x:c r="X320" s="28" t="str">
        <x:v>соус, глазировка, чатни, маринад, гарнир или основное блюдо</x:v>
      </x:c>
      <x:c r="Y320" s="28" t="str">
        <x:v>еда; соусы/маринады</x:v>
      </x:c>
      <x:c r="Z320" s="28" t="str">
        <x:v>Средняя</x:v>
      </x:c>
      <x:c r="AA320" s="28" t="str">
        <x:v>The Art &amp; Science of Foodpairing.pdf</x:v>
      </x:c>
      <x:c r="AB320" s="28" t="str">
        <x:v>The Art &amp; Science of Foodpairing.pdf: 260–261</x:v>
      </x:c>
      <x:c r="AC320" s="28" t="str">
        <x:v>Ingredient pairings with peach and nectarine: boiled tomatillo.</x:v>
      </x:c>
      <x:c r="AD320" s="28" t="n">
        <x:v>1</x:v>
      </x:c>
      <x:c r="AE320" s="28" t="n">
        <x:v>1</x:v>
      </x:c>
      <x:c r="AF320" s="28" t="n">
        <x:f>IF(Z320="Высокая",3,IF(Z320="Средняя",2,1))+AD320*2+MIN(AE320,3)</x:f>
        <x:v>5</x:v>
      </x:c>
    </x:row>
    <x:row r="321" ht="62" customHeight="1">
      <x:c r="A321" s="28" t="str">
        <x:v>STN-0320</x:v>
      </x:c>
      <x:c r="B321" s="28" t="str">
        <x:v>нектарин</x:v>
      </x:c>
      <x:c r="C321" s="28" t="str">
        <x:v>Еда и соусы</x:v>
      </x:c>
      <x:c r="D321" s="28" t="str">
        <x:v>нектарин</x:v>
      </x:c>
      <x:c r="E321" s="28" t="str">
        <x:v>nectarine</x:v>
      </x:c>
      <x:c r="F321" s="28" t="str">
        <x:v>Косточковые фрукты</x:v>
      </x:c>
      <x:c r="G321" s="28" t="str">
        <x:v>отварные бобы</x:v>
      </x:c>
      <x:c r="H321" s="28" t="str">
        <x:v>boiled broad beans</x:v>
      </x:c>
      <x:c r="I321" s="28" t="str">
        <x:v>Овощи и корнеплоды</x:v>
      </x:c>
      <x:c r="J321" s="28" t="str">
        <x:v>персиковый, фруктовый, цветочный, зелёный, сливочно-лактонный</x:v>
      </x:c>
      <x:c r="K321" s="28" t="str">
        <x:v>зелёный, землистый, сладковатый или сернистый</x:v>
      </x:c>
      <x:c r="L321" s="28" t="str">
        <x:v>γ- и δ-декалактон, γ- и δ-додекалактон, фруктовые эфиры, линалоол, бензальдегид, C6-альдегиды</x:v>
      </x:c>
      <x:c r="M321" s="28" t="str">
        <x:v>C6-альдегиды, метоксипиразины, терпены, сернистые соединения</x:v>
      </x:c>
      <x:c r="N321" s="28" t="str">
        <x:v>зелёный</x:v>
      </x:c>
      <x:c r="O321" s="28" t="str">
        <x:v>c6-альдегиды</x:v>
      </x:c>
      <x:c r="P321" s="28" t="str">
        <x:v>прямое или классовое перекрытие характерных одорантов + вкусовой баланс</x:v>
      </x:c>
      <x:c r="Q321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</x:v>
      </x:c>
      <x:c r="R321" s="28" t="str">
        <x:v>слабый; кислотность усиливает свежесть; партнёр: зависит от продукта</x:v>
      </x:c>
      <x:c r="S321" s="28" t="str">
        <x:v>водно-пектиновая; гидрофобные лактоны лучше проявляются в жире и этаноле. Партнёр: водная и клетчаточная матрица; обжарка усиливает сладость и Майяр.</x:v>
      </x:c>
      <x:c r="T32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2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Отварные бобы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2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21" s="28" t="str">
        <x:v>мёд, травы или уксус</x:v>
      </x:c>
      <x:c r="X321" s="28" t="str">
        <x:v>соус, глазировка, чатни, маринад, гарнир или основное блюдо</x:v>
      </x:c>
      <x:c r="Y321" s="28" t="str">
        <x:v>еда; соусы/маринады</x:v>
      </x:c>
      <x:c r="Z321" s="28" t="str">
        <x:v>Средняя</x:v>
      </x:c>
      <x:c r="AA321" s="28" t="str">
        <x:v>The Art &amp; Science of Foodpairing.pdf</x:v>
      </x:c>
      <x:c r="AB321" s="28" t="str">
        <x:v>The Art &amp; Science of Foodpairing.pdf: 260–261</x:v>
      </x:c>
      <x:c r="AC321" s="28" t="str">
        <x:v>Ingredient pairings with peach and nectarine: boiled broad beans.</x:v>
      </x:c>
      <x:c r="AD321" s="28" t="n">
        <x:v>1</x:v>
      </x:c>
      <x:c r="AE321" s="28" t="n">
        <x:v>1</x:v>
      </x:c>
      <x:c r="AF321" s="28" t="n">
        <x:f>IF(Z321="Высокая",3,IF(Z321="Средняя",2,1))+AD321*2+MIN(AE321,3)</x:f>
        <x:v>5</x:v>
      </x:c>
    </x:row>
    <x:row r="322" ht="62" customHeight="1">
      <x:c r="A322" s="28" t="str">
        <x:v>STN-0321</x:v>
      </x:c>
      <x:c r="B322" s="28" t="str">
        <x:v>нектарин</x:v>
      </x:c>
      <x:c r="C322" s="28" t="str">
        <x:v>Универсальные</x:v>
      </x:c>
      <x:c r="D322" s="28" t="str">
        <x:v>нектарин</x:v>
      </x:c>
      <x:c r="E322" s="28" t="str">
        <x:v>nectarine</x:v>
      </x:c>
      <x:c r="F322" s="28" t="str">
        <x:v>Косточковые фрукты</x:v>
      </x:c>
      <x:c r="G322" s="28" t="str">
        <x:v>пастернак</x:v>
      </x:c>
      <x:c r="H322" s="28" t="str">
        <x:v>parsnip</x:v>
      </x:c>
      <x:c r="I322" s="28" t="str">
        <x:v>Прочее</x:v>
      </x:c>
      <x:c r="J322" s="28" t="str">
        <x:v>персиковый, фруктовый, цветочный, зелёный, сливочно-лактонный</x:v>
      </x:c>
      <x:c r="K322" s="28" t="str">
        <x:v>ароматический профиль зависит от конкретного ингредиента</x:v>
      </x:c>
      <x:c r="L322" s="28" t="str">
        <x:v>γ- и δ-декалактон, γ- и δ-додекалактон, фруктовые эфиры, линалоол, бензальдегид, C6-альдегиды</x:v>
      </x:c>
      <x:c r="M322" s="28" t="str">
        <x:v>летучие соединения конкретного продукта</x:v>
      </x:c>
      <x:c r="N322" s="28" t="str">
        <x:v>прямое семейное перекрытие не является главным механизмом</x:v>
      </x:c>
      <x:c r="O322" s="28" t="str">
        <x:v>надёжный единичный общий маркер не подтверждён; механизм не сводится к одной молекуле</x:v>
      </x:c>
      <x:c r="P322" s="28" t="str">
        <x:v>комплементарность ароматических семейств, вкусовой контраст и матричный эффект</x:v>
      </x:c>
      <x:c r="Q322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</x:v>
      </x:c>
      <x:c r="R322" s="28" t="str">
        <x:v>слабый; кислотность усиливает свежесть; партнёр: возможен в зависимости от состава</x:v>
      </x:c>
      <x:c r="S322" s="28" t="str">
        <x:v>водно-пектиновая; гидрофобные лактоны лучше проявляются в жире и этаноле. Партнёр: важны вода, жир, белок, сахар и температура.</x:v>
      </x:c>
      <x:c r="T32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U32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Пастернак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важны вода, жир, белок, сахар и температура.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V32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22" s="28" t="str">
        <x:v>мёд, цитрус или нейтральная жировая основа</x:v>
      </x:c>
      <x:c r="X322" s="28" t="str">
        <x:v>напиток, соус, десерт или горячее блюдо после пробной дегустации</x:v>
      </x:c>
      <x:c r="Y322" s="28" t="str">
        <x:v>напитки; еда; десерты; соусы/маринады</x:v>
      </x:c>
      <x:c r="Z322" s="28" t="str">
        <x:v>Средняя</x:v>
      </x:c>
      <x:c r="AA322" s="28" t="str">
        <x:v>The Art &amp; Science of Foodpairing.pdf</x:v>
      </x:c>
      <x:c r="AB322" s="28" t="str">
        <x:v>The Art &amp; Science of Foodpairing.pdf: 260–261</x:v>
      </x:c>
      <x:c r="AC322" s="28" t="str">
        <x:v>Ingredient pairings with peach and nectarine: parsnip.</x:v>
      </x:c>
      <x:c r="AD322" s="28" t="n">
        <x:v>1</x:v>
      </x:c>
      <x:c r="AE322" s="28" t="n">
        <x:v>1</x:v>
      </x:c>
      <x:c r="AF322" s="28" t="n">
        <x:f>IF(Z322="Высокая",3,IF(Z322="Средняя",2,1))+AD322*2+MIN(AE322,3)</x:f>
        <x:v>5</x:v>
      </x:c>
    </x:row>
    <x:row r="323" ht="62" customHeight="1">
      <x:c r="A323" s="28" t="str">
        <x:v>STN-0322</x:v>
      </x:c>
      <x:c r="B323" s="28" t="str">
        <x:v>нектарин</x:v>
      </x:c>
      <x:c r="C323" s="28" t="str">
        <x:v>Десерты и выпечка</x:v>
      </x:c>
      <x:c r="D323" s="28" t="str">
        <x:v>нектарин</x:v>
      </x:c>
      <x:c r="E323" s="28" t="str">
        <x:v>nectarine</x:v>
      </x:c>
      <x:c r="F323" s="28" t="str">
        <x:v>Косточковые фрукты</x:v>
      </x:c>
      <x:c r="G323" s="28" t="str">
        <x:v>пекан</x:v>
      </x:c>
      <x:c r="H323" s="28" t="str">
        <x:v>пекан</x:v>
      </x:c>
      <x:c r="I323" s="28" t="str">
        <x:v>Орехи и семена</x:v>
      </x:c>
      <x:c r="J323" s="28" t="str">
        <x:v>персиковый, фруктовый, цветочный, зелёный, сливочно-лактонный</x:v>
      </x:c>
      <x:c r="K323" s="28" t="str">
        <x:v>ореховый, жареный, маслянистый и иногда миндальный</x:v>
      </x:c>
      <x:c r="L323" s="28" t="str">
        <x:v>γ- и δ-декалактон, γ- и δ-додекалактон, фруктовые эфиры, линалоол, бензальдегид, C6-альдегиды</x:v>
      </x:c>
      <x:c r="M323" s="28" t="str">
        <x:v>пиразины, бензальдегид, филбертон, жирные альдегиды</x:v>
      </x:c>
      <x:c r="N323" s="28" t="str">
        <x:v>прямое семейное перекрытие не является главным механизмом</x:v>
      </x:c>
      <x:c r="O323" s="28" t="str">
        <x:v>бензальдегид</x:v>
      </x:c>
      <x:c r="P323" s="28" t="str">
        <x:v>прямое или классовое перекрытие характерных одорантов + вкусовой баланс</x:v>
      </x:c>
      <x:c r="Q323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323" s="28" t="str">
        <x:v>слабый; кислотность усиливает свежесть; партнёр: обычно отсутствует</x:v>
      </x:c>
      <x:c r="S323" s="28" t="str">
        <x:v>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</x:v>
      </x:c>
      <x:c r="T32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32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Пекан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323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W323" s="28" t="str">
        <x:v>ваниль, шоколад или корица</x:v>
      </x:c>
      <x:c r="X323" s="28" t="str">
        <x:v>тарт, крем, мороженое, выпечка, сырная подача или начинка</x:v>
      </x:c>
      <x:c r="Y323" s="28" t="str">
        <x:v>десерты; еда</x:v>
      </x:c>
      <x:c r="Z323" s="28" t="str">
        <x:v>Гипотеза / практическая</x:v>
      </x:c>
      <x:c r="AA323" s="28" t="str">
        <x:v>Таблица сочетания(1).pdf</x:v>
      </x:c>
      <x:c r="AB323" s="28" t="str">
        <x:v>Таблица сочетания(1).pdf: 14</x:v>
      </x:c>
      <x:c r="AC323" s="28" t="str">
        <x:v>Пара указана в строке «Нектарин» → колонка «Другое».</x:v>
      </x:c>
      <x:c r="AD323" s="28" t="n">
        <x:v>1</x:v>
      </x:c>
      <x:c r="AE323" s="28" t="n">
        <x:v>1</x:v>
      </x:c>
      <x:c r="AF323" s="28" t="n">
        <x:f>IF(Z323="Высокая",3,IF(Z323="Средняя",2,1))+AD323*2+MIN(AE323,3)</x:f>
        <x:v>4</x:v>
      </x:c>
    </x:row>
    <x:row r="324" ht="62" customHeight="1">
      <x:c r="A324" s="28" t="str">
        <x:v>STN-0323</x:v>
      </x:c>
      <x:c r="B324" s="28" t="str">
        <x:v>нектарин</x:v>
      </x:c>
      <x:c r="C324" s="28" t="str">
        <x:v>Универсальные</x:v>
      </x:c>
      <x:c r="D324" s="28" t="str">
        <x:v>нектарин</x:v>
      </x:c>
      <x:c r="E324" s="28" t="str">
        <x:v>nectarine</x:v>
      </x:c>
      <x:c r="F324" s="28" t="str">
        <x:v>Косточковые фрукты</x:v>
      </x:c>
      <x:c r="G324" s="28" t="str">
        <x:v>перец рокото</x:v>
      </x:c>
      <x:c r="H324" s="28" t="str">
        <x:v>rocoto chilli</x:v>
      </x:c>
      <x:c r="I324" s="28" t="str">
        <x:v>Специи и острые компоненты</x:v>
      </x:c>
      <x:c r="J324" s="28" t="str">
        <x:v>персиковый, фруктовый, цветочный, зелёный, сливочно-лактонный</x:v>
      </x:c>
      <x:c r="K324" s="28" t="str">
        <x:v>пряный, древесный, цветочный или жгучий</x:v>
      </x:c>
      <x:c r="L324" s="28" t="str">
        <x:v>γ- и δ-декалактон, γ- и δ-додекалактон, фруктовые эфиры, линалоол, бензальдегид, C6-альдегиды</x:v>
      </x:c>
      <x:c r="M324" s="28" t="str">
        <x:v>эвгенол, циннамальдегид, анетол, терпены, капсаициноиды, пиперин</x:v>
      </x:c>
      <x:c r="N324" s="28" t="str">
        <x:v>цветочный</x:v>
      </x:c>
      <x:c r="O324" s="28" t="str">
        <x:v>надёжный единичный общий маркер не подтверждён; механизм не сводится к одной молекуле</x:v>
      </x:c>
      <x:c r="P324" s="28" t="str">
        <x:v>комплементарность ароматических семейств, вкусовой контраст и матричный эффект</x:v>
      </x:c>
      <x:c r="Q324" s="28" t="str">
        <x:v>Сладость и кислота фрукта смягчают остроту и горечь специи, а пряный компонент удлиняет ароматическое послевкусие.</x:v>
      </x:c>
      <x:c r="R324" s="28" t="str">
        <x:v>слабый; кислотность усиливает свежесть; партнёр: выраженный: жжение, тепло или покалывание</x:v>
      </x:c>
      <x:c r="S324" s="28" t="str">
        <x:v>водно-пектиновая; гидрофобные лактоны лучше проявляются в жире и этаноле. Партнёр: гидрофобные молекулы хорошо переходят в жир и этанол.</x:v>
      </x:c>
      <x:c r="T324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U32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Перец рокото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V324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W324" s="28" t="str">
        <x:v>мёд, цитрус или миндаль</x:v>
      </x:c>
      <x:c r="X324" s="28" t="str">
        <x:v>напиток, соус, десерт или горячее блюдо после пробной дегустации</x:v>
      </x:c>
      <x:c r="Y324" s="28" t="str">
        <x:v>напитки; еда; десерты; соусы/маринады</x:v>
      </x:c>
      <x:c r="Z324" s="28" t="str">
        <x:v>Средняя</x:v>
      </x:c>
      <x:c r="AA324" s="28" t="str">
        <x:v>The Art &amp; Science of Foodpairing.pdf</x:v>
      </x:c>
      <x:c r="AB324" s="28" t="str">
        <x:v>The Art &amp; Science of Foodpairing.pdf: 260–261</x:v>
      </x:c>
      <x:c r="AC324" s="28" t="str">
        <x:v>Ingredient pairings with peach and nectarine: rocoto chilli.</x:v>
      </x:c>
      <x:c r="AD324" s="28" t="n">
        <x:v>1</x:v>
      </x:c>
      <x:c r="AE324" s="28" t="n">
        <x:v>1</x:v>
      </x:c>
      <x:c r="AF324" s="28" t="n">
        <x:f>IF(Z324="Высокая",3,IF(Z324="Средняя",2,1))+AD324*2+MIN(AE324,3)</x:f>
        <x:v>5</x:v>
      </x:c>
    </x:row>
    <x:row r="325" ht="62" customHeight="1">
      <x:c r="A325" s="28" t="str">
        <x:v>STN-0324</x:v>
      </x:c>
      <x:c r="B325" s="28" t="str">
        <x:v>нектарин</x:v>
      </x:c>
      <x:c r="C325" s="28" t="str">
        <x:v>Универсальные</x:v>
      </x:c>
      <x:c r="D325" s="28" t="str">
        <x:v>нектарин</x:v>
      </x:c>
      <x:c r="E325" s="28" t="str">
        <x:v>nectarine</x:v>
      </x:c>
      <x:c r="F325" s="28" t="str">
        <x:v>Косточковые фрукты</x:v>
      </x:c>
      <x:c r="G325" s="28" t="str">
        <x:v>перец урфа</x:v>
      </x:c>
      <x:c r="H325" s="28" t="str">
        <x:v>isot pepper (urfa chilli flakes)</x:v>
      </x:c>
      <x:c r="I325" s="28" t="str">
        <x:v>Специи и острые компоненты</x:v>
      </x:c>
      <x:c r="J325" s="28" t="str">
        <x:v>персиковый, фруктовый, цветочный, зелёный, сливочно-лактонный</x:v>
      </x:c>
      <x:c r="K325" s="28" t="str">
        <x:v>пряный, древесный, тёплый, цитрусовый или анисовый</x:v>
      </x:c>
      <x:c r="L325" s="28" t="str">
        <x:v>γ- и δ-декалактон, γ- и δ-додекалактон, фруктовые эфиры, линалоол, бензальдегид, C6-альдегиды</x:v>
      </x:c>
      <x:c r="M325" s="28" t="str">
        <x:v>эвгенол, коричный альдегид, анетол, терпинилацетат</x:v>
      </x:c>
      <x:c r="N325" s="28" t="str">
        <x:v>прямое семейное перекрытие не является главным механизмом</x:v>
      </x:c>
      <x:c r="O325" s="28" t="str">
        <x:v>надёжный единичный общий маркер не подтверждён; механизм не сводится к одной молекуле</x:v>
      </x:c>
      <x:c r="P325" s="28" t="str">
        <x:v>комплементарность ароматических семейств, вкусовой контраст и матричный эффект</x:v>
      </x:c>
      <x:c r="Q325" s="28" t="str">
        <x:v>Сладость и кислота фрукта смягчают остроту и горечь специи, а пряный компонент удлиняет ароматическое послевкусие.</x:v>
      </x:c>
      <x:c r="R325" s="28" t="str">
        <x:v>слабый; кислотность усиливает свежесть; партнёр: капсаицин, пиперин, гингеролы и камфорные терпены создают жжение, тепло или охлаждение</x:v>
      </x:c>
      <x:c r="S325" s="28" t="str">
        <x:v>водно-пектиновая; гидрофобные лактоны лучше проявляются в жире и этаноле. Партнёр: ароматические масла хорошо переходят в жир и этанол.</x:v>
      </x:c>
      <x:c r="T325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32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Перец урфа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325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W325" s="28" t="str">
        <x:v>мёд, цитрус или миндаль</x:v>
      </x:c>
      <x:c r="X325" s="28" t="str">
        <x:v>напиток, соус, десерт или горячее блюдо после пробной дегустации</x:v>
      </x:c>
      <x:c r="Y325" s="28" t="str">
        <x:v>напитки; еда; десерты; соусы/маринады</x:v>
      </x:c>
      <x:c r="Z325" s="28" t="str">
        <x:v>Средняя</x:v>
      </x:c>
      <x:c r="AA325" s="28" t="str">
        <x:v>The Art &amp; Science of Foodpairing.pdf</x:v>
      </x:c>
      <x:c r="AB325" s="28" t="str">
        <x:v>The Art &amp; Science of Foodpairing.pdf: 260–261</x:v>
      </x:c>
      <x:c r="AC325" s="28" t="str">
        <x:v>Ingredient pairings with peach and nectarine: isot pepper (urfa chilli flakes).</x:v>
      </x:c>
      <x:c r="AD325" s="28" t="n">
        <x:v>1</x:v>
      </x:c>
      <x:c r="AE325" s="28" t="n">
        <x:v>1</x:v>
      </x:c>
      <x:c r="AF325" s="28" t="n">
        <x:f>IF(Z325="Высокая",3,IF(Z325="Средняя",2,1))+AD325*2+MIN(AE325,3)</x:f>
        <x:v>5</x:v>
      </x:c>
    </x:row>
    <x:row r="326" ht="62" customHeight="1">
      <x:c r="A326" s="28" t="str">
        <x:v>STN-0325</x:v>
      </x:c>
      <x:c r="B326" s="28" t="str">
        <x:v>нектарин</x:v>
      </x:c>
      <x:c r="C326" s="28" t="str">
        <x:v>Универсальные</x:v>
      </x:c>
      <x:c r="D326" s="28" t="str">
        <x:v>нектарин</x:v>
      </x:c>
      <x:c r="E326" s="28" t="str">
        <x:v>nectarine</x:v>
      </x:c>
      <x:c r="F326" s="28" t="str">
        <x:v>Косточковые фрукты</x:v>
      </x:c>
      <x:c r="G326" s="28" t="str">
        <x:v>приготовленный black salsify</x:v>
      </x:c>
      <x:c r="H326" s="28" t="str">
        <x:v>cooked black salsify</x:v>
      </x:c>
      <x:c r="I326" s="28" t="str">
        <x:v>Прочее</x:v>
      </x:c>
      <x:c r="J326" s="28" t="str">
        <x:v>персиковый, фруктовый, цветочный, зелёный, сливочно-лактонный</x:v>
      </x:c>
      <x:c r="K326" s="28" t="str">
        <x:v>комплексный</x:v>
      </x:c>
      <x:c r="L326" s="28" t="str">
        <x:v>γ- и δ-декалактон, γ- и δ-додекалактон, фруктовые эфиры, линалоол, бензальдегид, C6-альдегиды</x:v>
      </x:c>
      <x:c r="M326" s="28" t="str">
        <x:v>не конкретизированы</x:v>
      </x:c>
      <x:c r="N326" s="28" t="str">
        <x:v>прямое семейное перекрытие не является главным механизмом</x:v>
      </x:c>
      <x:c r="O326" s="28" t="str">
        <x:v>надёжный единичный общий маркер не подтверждён; механизм не сводится к одной молекуле</x:v>
      </x:c>
      <x:c r="P326" s="28" t="str">
        <x:v>комплементарность ароматических семейств, вкусовой контраст и матричный эффект</x:v>
      </x:c>
      <x:c r="Q326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</x:v>
      </x:c>
      <x:c r="R326" s="28" t="str">
        <x:v>слабый; кислотность усиливает свежесть; партнёр: обычно отсутствует; зависит от конкретного продукта</x:v>
      </x:c>
      <x:c r="S326" s="28" t="str">
        <x:v>водно-пектиновая; гидрофобные лактоны лучше проявляются в жире и этаноле. Партнёр: механизм зависит от конкретного продукта.</x:v>
      </x:c>
      <x:c r="T32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32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Приготовленный black salsify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32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26" s="28" t="str">
        <x:v>мёд, цитрус или нейтральная жировая основа</x:v>
      </x:c>
      <x:c r="X326" s="28" t="str">
        <x:v>напиток, соус, десерт или горячее блюдо после пробной дегустации</x:v>
      </x:c>
      <x:c r="Y326" s="28" t="str">
        <x:v>напитки; еда; десерты; соусы/маринады</x:v>
      </x:c>
      <x:c r="Z326" s="28" t="str">
        <x:v>Средняя</x:v>
      </x:c>
      <x:c r="AA326" s="28" t="str">
        <x:v>The Art &amp; Science of Foodpairing.pdf</x:v>
      </x:c>
      <x:c r="AB326" s="28" t="str">
        <x:v>The Art &amp; Science of Foodpairing.pdf: 260–261</x:v>
      </x:c>
      <x:c r="AC326" s="28" t="str">
        <x:v>Ingredient pairings with peach and nectarine: cooked black salsify.</x:v>
      </x:c>
      <x:c r="AD326" s="28" t="n">
        <x:v>1</x:v>
      </x:c>
      <x:c r="AE326" s="28" t="n">
        <x:v>1</x:v>
      </x:c>
      <x:c r="AF326" s="28" t="n">
        <x:f>IF(Z326="Высокая",3,IF(Z326="Средняя",2,1))+AD326*2+MIN(AE326,3)</x:f>
        <x:v>5</x:v>
      </x:c>
    </x:row>
    <x:row r="327" ht="62" customHeight="1">
      <x:c r="A327" s="28" t="str">
        <x:v>STN-0326</x:v>
      </x:c>
      <x:c r="B327" s="28" t="str">
        <x:v>нектарин</x:v>
      </x:c>
      <x:c r="C327" s="28" t="str">
        <x:v>Еда и соусы</x:v>
      </x:c>
      <x:c r="D327" s="28" t="str">
        <x:v>нектарин</x:v>
      </x:c>
      <x:c r="E327" s="28" t="str">
        <x:v>nectarine</x:v>
      </x:c>
      <x:c r="F327" s="28" t="str">
        <x:v>Косточковые фрукты</x:v>
      </x:c>
      <x:c r="G327" s="28" t="str">
        <x:v>припущенный тюрбо</x:v>
      </x:c>
      <x:c r="H327" s="28" t="str">
        <x:v>poached turbot</x:v>
      </x:c>
      <x:c r="I327" s="28" t="str">
        <x:v>Рыба и морепродукты</x:v>
      </x:c>
      <x:c r="J327" s="28" t="str">
        <x:v>персиковый, фруктовый, цветочный, зелёный, сливочно-лактонный</x:v>
      </x:c>
      <x:c r="K327" s="28" t="str">
        <x:v>морской, солёный, умами, иногда йодистый и жареный</x:v>
      </x:c>
      <x:c r="L327" s="28" t="str">
        <x:v>γ- и δ-декалактон, γ- и δ-додекалактон, фруктовые эфиры, линалоол, бензальдегид, C6-альдегиды</x:v>
      </x:c>
      <x:c r="M327" s="28" t="str">
        <x:v>амины, бромфенолы, альдегиды жирных кислот, сернистые соединения</x:v>
      </x:c>
      <x:c r="N327" s="28" t="str">
        <x:v>прямое семейное перекрытие не является главным механизмом</x:v>
      </x:c>
      <x:c r="O327" s="28" t="str">
        <x:v>надёжный единичный общий маркер не подтверждён; механизм не сводится к одной молекуле</x:v>
      </x:c>
      <x:c r="P327" s="28" t="str">
        <x:v>комплементарность ароматических семейств, вкусовой контраст и матричный эффект</x:v>
      </x:c>
      <x:c r="Q327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327" s="28" t="str">
        <x:v>слабый; кислотность усиливает свежесть; партнёр: нет выраженного</x:v>
      </x:c>
      <x:c r="S327" s="28" t="str">
        <x:v>водно-пектиновая; гидрофобные лактоны лучше проявляются в жире и этаноле. Партнёр: водно-белковая матрица; жирная рыба лучше удерживает лактоны.</x:v>
      </x:c>
      <x:c r="T32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2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Припущенный тюрбо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27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W327" s="28" t="str">
        <x:v>цитрус, укроп или оливковое масло</x:v>
      </x:c>
      <x:c r="X327" s="28" t="str">
        <x:v>соус, глазировка, чатни, маринад, гарнир или основное блюдо</x:v>
      </x:c>
      <x:c r="Y327" s="28" t="str">
        <x:v>еда; соусы/маринады</x:v>
      </x:c>
      <x:c r="Z327" s="28" t="str">
        <x:v>Средняя</x:v>
      </x:c>
      <x:c r="AA327" s="28" t="str">
        <x:v>The Art &amp; Science of Foodpairing.pdf</x:v>
      </x:c>
      <x:c r="AB327" s="28" t="str">
        <x:v>The Art &amp; Science of Foodpairing.pdf: 260–261</x:v>
      </x:c>
      <x:c r="AC327" s="28" t="str">
        <x:v>Ingredient pairings with peach and nectarine: poached turbot.</x:v>
      </x:c>
      <x:c r="AD327" s="28" t="n">
        <x:v>1</x:v>
      </x:c>
      <x:c r="AE327" s="28" t="n">
        <x:v>1</x:v>
      </x:c>
      <x:c r="AF327" s="28" t="n">
        <x:f>IF(Z327="Высокая",3,IF(Z327="Средняя",2,1))+AD327*2+MIN(AE327,3)</x:f>
        <x:v>5</x:v>
      </x:c>
    </x:row>
    <x:row r="328" ht="62" customHeight="1">
      <x:c r="A328" s="28" t="str">
        <x:v>STN-0327</x:v>
      </x:c>
      <x:c r="B328" s="28" t="str">
        <x:v>нектарин</x:v>
      </x:c>
      <x:c r="C328" s="28" t="str">
        <x:v>Еда и соусы</x:v>
      </x:c>
      <x:c r="D328" s="28" t="str">
        <x:v>нектарин</x:v>
      </x:c>
      <x:c r="E328" s="28" t="str">
        <x:v>nectarine</x:v>
      </x:c>
      <x:c r="F328" s="28" t="str">
        <x:v>Косточковые фрукты</x:v>
      </x:c>
      <x:c r="G328" s="28" t="str">
        <x:v>прошутто сан-даниэле</x:v>
      </x:c>
      <x:c r="H328" s="28" t="str">
        <x:v>San Daniele ham</x:v>
      </x:c>
      <x:c r="I328" s="28" t="str">
        <x:v>Мясо и птица</x:v>
      </x:c>
      <x:c r="J328" s="28" t="str">
        <x:v>персиковый, фруктовый, цветочный, зелёный, сливочно-лактонный</x:v>
      </x:c>
      <x:c r="K328" s="28" t="str">
        <x:v>жареный, мясной, жирный, иногда копчёный и пряный</x:v>
      </x:c>
      <x:c r="L328" s="28" t="str">
        <x:v>γ- и δ-декалактон, γ- и δ-додекалактон, фруктовые эфиры, линалоол, бензальдегид, C6-альдегиды</x:v>
      </x:c>
      <x:c r="M328" s="28" t="str">
        <x:v>пиразины, фураны, сернистые соединения, продукты Майяра, жирные альдегиды</x:v>
      </x:c>
      <x:c r="N328" s="28" t="str">
        <x:v>прямое семейное перекрытие не является главным механизмом</x:v>
      </x:c>
      <x:c r="O328" s="28" t="str">
        <x:v>надёжный единичный общий маркер не подтверждён; механизм не сводится к одной молекуле</x:v>
      </x:c>
      <x:c r="P328" s="28" t="str">
        <x:v>комплементарность ароматических семейств, вкусовой контраст и матричный эффект</x:v>
      </x:c>
      <x:c r="Q328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328" s="28" t="str">
        <x:v>слабый; кислотность усиливает свежесть; партнёр: тепловой/пряный зависит от обработки</x:v>
      </x:c>
      <x:c r="S328" s="28" t="str">
        <x:v>водно-пектиновая; гидрофобные лактоны лучше проявляются в жире и этаноле. Партнёр: жир удерживает фруктовые лактоны; белок смягчает кислотность.</x:v>
      </x:c>
      <x:c r="T328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U32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Прошутто сан-даниэле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V328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W328" s="28" t="str">
        <x:v>розмарин, горчица или хересный уксус</x:v>
      </x:c>
      <x:c r="X328" s="28" t="str">
        <x:v>соус, глазировка, чатни, маринад, гарнир или основное блюдо</x:v>
      </x:c>
      <x:c r="Y328" s="28" t="str">
        <x:v>еда; соусы/маринады</x:v>
      </x:c>
      <x:c r="Z328" s="28" t="str">
        <x:v>Средняя</x:v>
      </x:c>
      <x:c r="AA328" s="28" t="str">
        <x:v>The Art &amp; Science of Foodpairing.pdf</x:v>
      </x:c>
      <x:c r="AB328" s="28" t="str">
        <x:v>The Art &amp; Science of Foodpairing.pdf: 260–261</x:v>
      </x:c>
      <x:c r="AC328" s="28" t="str">
        <x:v>Ingredient pairings with peach and nectarine: San Daniele ham.</x:v>
      </x:c>
      <x:c r="AD328" s="28" t="n">
        <x:v>1</x:v>
      </x:c>
      <x:c r="AE328" s="28" t="n">
        <x:v>1</x:v>
      </x:c>
      <x:c r="AF328" s="28" t="n">
        <x:f>IF(Z328="Высокая",3,IF(Z328="Средняя",2,1))+AD328*2+MIN(AE328,3)</x:f>
        <x:v>5</x:v>
      </x:c>
    </x:row>
    <x:row r="329" ht="62" customHeight="1">
      <x:c r="A329" s="28" t="str">
        <x:v>STN-0328</x:v>
      </x:c>
      <x:c r="B329" s="28" t="str">
        <x:v>нектарин</x:v>
      </x:c>
      <x:c r="C329" s="28" t="str">
        <x:v>Еда и соусы</x:v>
      </x:c>
      <x:c r="D329" s="28" t="str">
        <x:v>нектарин</x:v>
      </x:c>
      <x:c r="E329" s="28" t="str">
        <x:v>nectarine</x:v>
      </x:c>
      <x:c r="F329" s="28" t="str">
        <x:v>Косточковые фрукты</x:v>
      </x:c>
      <x:c r="G329" s="28" t="str">
        <x:v>радиккьо</x:v>
      </x:c>
      <x:c r="H329" s="28" t="str">
        <x:v>radicchio</x:v>
      </x:c>
      <x:c r="I329" s="28" t="str">
        <x:v>Овощи и корнеплоды</x:v>
      </x:c>
      <x:c r="J329" s="28" t="str">
        <x:v>персиковый, фруктовый, цветочный, зелёный, сливочно-лактонный</x:v>
      </x:c>
      <x:c r="K329" s="28" t="str">
        <x:v>зелёный, землистый, сладковатый или сернистый</x:v>
      </x:c>
      <x:c r="L329" s="28" t="str">
        <x:v>γ- и δ-декалактон, γ- и δ-додекалактон, фруктовые эфиры, линалоол, бензальдегид, C6-альдегиды</x:v>
      </x:c>
      <x:c r="M329" s="28" t="str">
        <x:v>C6-альдегиды, метоксипиразины, терпены, сернистые соединения</x:v>
      </x:c>
      <x:c r="N329" s="28" t="str">
        <x:v>зелёный</x:v>
      </x:c>
      <x:c r="O329" s="28" t="str">
        <x:v>c6-альдегиды</x:v>
      </x:c>
      <x:c r="P329" s="28" t="str">
        <x:v>прямое или классовое перекрытие характерных одорантов + вкусовой баланс</x:v>
      </x:c>
      <x:c r="Q329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</x:v>
      </x:c>
      <x:c r="R329" s="28" t="str">
        <x:v>слабый; кислотность усиливает свежесть; партнёр: зависит от продукта</x:v>
      </x:c>
      <x:c r="S329" s="28" t="str">
        <x:v>водно-пектиновая; гидрофобные лактоны лучше проявляются в жире и этаноле. Партнёр: водная и клетчаточная матрица; обжарка усиливает сладость и Майяр.</x:v>
      </x:c>
      <x:c r="T32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2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Радиккьо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2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29" s="28" t="str">
        <x:v>мёд, травы или уксус</x:v>
      </x:c>
      <x:c r="X329" s="28" t="str">
        <x:v>соус, глазировка, чатни, маринад, гарнир или основное блюдо</x:v>
      </x:c>
      <x:c r="Y329" s="28" t="str">
        <x:v>еда; соусы/маринады</x:v>
      </x:c>
      <x:c r="Z329" s="28" t="str">
        <x:v>Средняя</x:v>
      </x:c>
      <x:c r="AA329" s="28" t="str">
        <x:v>The Art &amp; Science of Foodpairing.pdf</x:v>
      </x:c>
      <x:c r="AB329" s="28" t="str">
        <x:v>The Art &amp; Science of Foodpairing.pdf: 260–261</x:v>
      </x:c>
      <x:c r="AC329" s="28" t="str">
        <x:v>Ingredient pairings with peach and nectarine: radicchio.</x:v>
      </x:c>
      <x:c r="AD329" s="28" t="n">
        <x:v>1</x:v>
      </x:c>
      <x:c r="AE329" s="28" t="n">
        <x:v>1</x:v>
      </x:c>
      <x:c r="AF329" s="28" t="n">
        <x:f>IF(Z329="Высокая",3,IF(Z329="Средняя",2,1))+AD329*2+MIN(AE329,3)</x:f>
        <x:v>5</x:v>
      </x:c>
    </x:row>
    <x:row r="330" ht="62" customHeight="1">
      <x:c r="A330" s="28" t="str">
        <x:v>STN-0329</x:v>
      </x:c>
      <x:c r="B330" s="28" t="str">
        <x:v>нектарин</x:v>
      </x:c>
      <x:c r="C330" s="28" t="str">
        <x:v>Универсальные</x:v>
      </x:c>
      <x:c r="D330" s="28" t="str">
        <x:v>нектарин</x:v>
      </x:c>
      <x:c r="E330" s="28" t="str">
        <x:v>nectarine</x:v>
      </x:c>
      <x:c r="F330" s="28" t="str">
        <x:v>Косточковые фрукты</x:v>
      </x:c>
      <x:c r="G330" s="28" t="str">
        <x:v>розмарин</x:v>
      </x:c>
      <x:c r="H330" s="28" t="str">
        <x:v>розмарин</x:v>
      </x:c>
      <x:c r="I330" s="28" t="str">
        <x:v>Травы и цветы</x:v>
      </x:c>
      <x:c r="J330" s="28" t="str">
        <x:v>персиковый, фруктовый, цветочный, зелёный, сливочно-лактонный</x:v>
      </x:c>
      <x:c r="K330" s="28" t="str">
        <x:v>хвойный, камфорный и древесный</x:v>
      </x:c>
      <x:c r="L330" s="28" t="str">
        <x:v>γ- и δ-декалактон, γ- и δ-додекалактон, фруктовые эфиры, линалоол, бензальдегид, C6-альдегиды</x:v>
      </x:c>
      <x:c r="M330" s="28" t="str">
        <x:v>1,8-цинеол, камфора, α-пинен</x:v>
      </x:c>
      <x:c r="N330" s="28" t="str">
        <x:v>прямое семейное перекрытие не является главным механизмом</x:v>
      </x:c>
      <x:c r="O330" s="28" t="str">
        <x:v>надёжный единичный общий маркер не подтверждён; механизм не сводится к одной молекуле</x:v>
      </x:c>
      <x:c r="P330" s="28" t="str">
        <x:v>комплементарность ароматических семейств, вкусовой контраст и матричный эффект</x:v>
      </x:c>
      <x:c r="Q330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330" s="28" t="str">
        <x:v>слабый; кислотность усиливает свежесть; партнёр: у мяты возможен холодящий эффект ментола; у некоторых трав — камфорность</x:v>
      </x:c>
      <x:c r="S330" s="28" t="str">
        <x:v>водно-пектиновая; гидрофобные лактоны лучше проявляются в жире и этаноле. Партнёр: эфирные масла гидрофобны и лучше раскрываются в жире или этаноле.</x:v>
      </x:c>
      <x:c r="T33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33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Розмарин относится к группе «Травы и цветы» и даёт профиль «хвойный, камфорный и древесный»; типичные соединения или классы: 1,8-цинеол, камфора, α-пинен.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33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30" s="28" t="str">
        <x:v>мёд, цитрус или нейтральная жировая основа</x:v>
      </x:c>
      <x:c r="X330" s="28" t="str">
        <x:v>напиток, соус, десерт или горячее блюдо после пробной дегустации</x:v>
      </x:c>
      <x:c r="Y330" s="28" t="str">
        <x:v>напитки; еда; десерты; соусы/маринады</x:v>
      </x:c>
      <x:c r="Z330" s="28" t="str">
        <x:v>Гипотеза / практическая</x:v>
      </x:c>
      <x:c r="AA330" s="28" t="str">
        <x:v>Таблица сочетания(1).pdf</x:v>
      </x:c>
      <x:c r="AB330" s="28" t="str">
        <x:v>Таблица сочетания(1).pdf: 14</x:v>
      </x:c>
      <x:c r="AC330" s="28" t="str">
        <x:v>Пара указана в строке «Нектарин» → колонка «Травы и специи».</x:v>
      </x:c>
      <x:c r="AD330" s="28" t="n">
        <x:v>1</x:v>
      </x:c>
      <x:c r="AE330" s="28" t="n">
        <x:v>1</x:v>
      </x:c>
      <x:c r="AF330" s="28" t="n">
        <x:f>IF(Z330="Высокая",3,IF(Z330="Средняя",2,1))+AD330*2+MIN(AE330,3)</x:f>
        <x:v>4</x:v>
      </x:c>
    </x:row>
    <x:row r="331" ht="62" customHeight="1">
      <x:c r="A331" s="28" t="str">
        <x:v>STN-0330</x:v>
      </x:c>
      <x:c r="B331" s="28" t="str">
        <x:v>нектарин</x:v>
      </x:c>
      <x:c r="C331" s="28" t="str">
        <x:v>Еда и соусы</x:v>
      </x:c>
      <x:c r="D331" s="28" t="str">
        <x:v>нектарин</x:v>
      </x:c>
      <x:c r="E331" s="28" t="str">
        <x:v>nectarine</x:v>
      </x:c>
      <x:c r="F331" s="28" t="str">
        <x:v>Косточковые фрукты</x:v>
      </x:c>
      <x:c r="G331" s="28" t="str">
        <x:v>салями милано</x:v>
      </x:c>
      <x:c r="H331" s="28" t="str">
        <x:v>Milano salami</x:v>
      </x:c>
      <x:c r="I331" s="28" t="str">
        <x:v>Мясо и птица</x:v>
      </x:c>
      <x:c r="J331" s="28" t="str">
        <x:v>персиковый, фруктовый, цветочный, зелёный, сливочно-лактонный</x:v>
      </x:c>
      <x:c r="K331" s="28" t="str">
        <x:v>жареный, мясной, жирный, иногда копчёный и пряный</x:v>
      </x:c>
      <x:c r="L331" s="28" t="str">
        <x:v>γ- и δ-декалактон, γ- и δ-додекалактон, фруктовые эфиры, линалоол, бензальдегид, C6-альдегиды</x:v>
      </x:c>
      <x:c r="M331" s="28" t="str">
        <x:v>пиразины, фураны, сернистые соединения, продукты Майяра, жирные альдегиды</x:v>
      </x:c>
      <x:c r="N331" s="28" t="str">
        <x:v>прямое семейное перекрытие не является главным механизмом</x:v>
      </x:c>
      <x:c r="O331" s="28" t="str">
        <x:v>надёжный единичный общий маркер не подтверждён; механизм не сводится к одной молекуле</x:v>
      </x:c>
      <x:c r="P331" s="28" t="str">
        <x:v>комплементарность ароматических семейств, вкусовой контраст и матричный эффект</x:v>
      </x:c>
      <x:c r="Q331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331" s="28" t="str">
        <x:v>слабый; кислотность усиливает свежесть; партнёр: тепловой/пряный зависит от обработки</x:v>
      </x:c>
      <x:c r="S331" s="28" t="str">
        <x:v>водно-пектиновая; гидрофобные лактоны лучше проявляются в жире и этаноле. Партнёр: жир удерживает фруктовые лактоны; белок смягчает кислотность.</x:v>
      </x:c>
      <x:c r="T331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U33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Салями милано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V331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W331" s="28" t="str">
        <x:v>розмарин, горчица или хересный уксус</x:v>
      </x:c>
      <x:c r="X331" s="28" t="str">
        <x:v>соус, глазировка, чатни, маринад, гарнир или основное блюдо</x:v>
      </x:c>
      <x:c r="Y331" s="28" t="str">
        <x:v>еда; соусы/маринады</x:v>
      </x:c>
      <x:c r="Z331" s="28" t="str">
        <x:v>Средняя</x:v>
      </x:c>
      <x:c r="AA331" s="28" t="str">
        <x:v>The Art &amp; Science of Foodpairing.pdf</x:v>
      </x:c>
      <x:c r="AB331" s="28" t="str">
        <x:v>The Art &amp; Science of Foodpairing.pdf: 260–261</x:v>
      </x:c>
      <x:c r="AC331" s="28" t="str">
        <x:v>Ingredient pairings with peach and nectarine: Milano salami.</x:v>
      </x:c>
      <x:c r="AD331" s="28" t="n">
        <x:v>1</x:v>
      </x:c>
      <x:c r="AE331" s="28" t="n">
        <x:v>1</x:v>
      </x:c>
      <x:c r="AF331" s="28" t="n">
        <x:f>IF(Z331="Высокая",3,IF(Z331="Средняя",2,1))+AD331*2+MIN(AE331,3)</x:f>
        <x:v>5</x:v>
      </x:c>
    </x:row>
    <x:row r="332" ht="62" customHeight="1">
      <x:c r="A332" s="28" t="str">
        <x:v>STN-0331</x:v>
      </x:c>
      <x:c r="B332" s="28" t="str">
        <x:v>нектарин</x:v>
      </x:c>
      <x:c r="C332" s="28" t="str">
        <x:v>Универсальные</x:v>
      </x:c>
      <x:c r="D332" s="28" t="str">
        <x:v>нектарин</x:v>
      </x:c>
      <x:c r="E332" s="28" t="str">
        <x:v>nectarine</x:v>
      </x:c>
      <x:c r="F332" s="28" t="str">
        <x:v>Косточковые фрукты</x:v>
      </x:c>
      <x:c r="G332" s="28" t="str">
        <x:v>свиная корейка</x:v>
      </x:c>
      <x:c r="H332" s="28" t="str">
        <x:v>Pork loin chop</x:v>
      </x:c>
      <x:c r="I332" s="28" t="str">
        <x:v>Прочее</x:v>
      </x:c>
      <x:c r="J332" s="28" t="str">
        <x:v>персиковый, фруктовый, цветочный, зелёный, сливочно-лактонный</x:v>
      </x:c>
      <x:c r="K332" s="28" t="str">
        <x:v>комплексный профиль, зависящий от продукта</x:v>
      </x:c>
      <x:c r="L332" s="28" t="str">
        <x:v>γ- и δ-декалактон, γ- и δ-додекалактон, фруктовые эфиры, линалоол, бензальдегид, C6-альдегиды</x:v>
      </x:c>
      <x:c r="M332" s="28" t="str">
        <x:v>нужен профиль конкретного ингредиента</x:v>
      </x:c>
      <x:c r="N332" s="28" t="str">
        <x:v>прямое семейное перекрытие не является главным механизмом</x:v>
      </x:c>
      <x:c r="O332" s="28" t="str">
        <x:v>надёжный единичный общий маркер не подтверждён; механизм не сводится к одной молекуле</x:v>
      </x:c>
      <x:c r="P332" s="28" t="str">
        <x:v>комплементарность ароматических семейств, вкусовой контраст и матричный эффект</x:v>
      </x:c>
      <x:c r="Q332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баланс зависит от продукта. Баланс корректируется сахаром, кислотой, солью и горечью.</x:v>
      </x:c>
      <x:c r="R332" s="28" t="str">
        <x:v>слабый; кислотность усиливает свежесть; партнёр: нет данных</x:v>
      </x:c>
      <x:c r="S332" s="28" t="str">
        <x:v>водно-пектиновая; гидрофобные лактоны лучше проявляются в жире и этаноле. Партнёр: матрица зависит от формы продукта.</x:v>
      </x:c>
      <x:c r="T33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3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баланс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матрица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3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32" s="28" t="str">
        <x:v>мёд, цитрус или нейтральная жировая основа</x:v>
      </x:c>
      <x:c r="X332" s="28" t="str">
        <x:v>напиток, соус, десерт или горячее блюдо после пробной дегустации</x:v>
      </x:c>
      <x:c r="Y332" s="28" t="str">
        <x:v>напитки; еда; десерты; соусы/маринады</x:v>
      </x:c>
      <x:c r="Z332" s="28" t="str">
        <x:v>Средняя</x:v>
      </x:c>
      <x:c r="AA332" s="28" t="str">
        <x:v>The Art &amp; Science of Foodpairing.pdf</x:v>
      </x:c>
      <x:c r="AB332" s="28" t="str">
        <x:v>The Art &amp; Science of Foodpairing.pdf: 187 | The Art &amp; Science of Foodpairing.pdf: 189</x:v>
      </x:c>
      <x:c r="AC332" s="28" t="str">
        <x:v>Ингредиент «nectarine» указан на странице профиля/сетки сочетаний «Pork loin chop».</x:v>
      </x:c>
      <x:c r="AD332" s="28" t="n">
        <x:v>1</x:v>
      </x:c>
      <x:c r="AE332" s="28" t="n">
        <x:v>2</x:v>
      </x:c>
      <x:c r="AF332" s="28" t="n">
        <x:f>IF(Z332="Высокая",3,IF(Z332="Средняя",2,1))+AD332*2+MIN(AE332,3)</x:f>
        <x:v>6</x:v>
      </x:c>
    </x:row>
    <x:row r="333" ht="62" customHeight="1">
      <x:c r="A333" s="28" t="str">
        <x:v>STN-0332</x:v>
      </x:c>
      <x:c r="B333" s="28" t="str">
        <x:v>нектарин</x:v>
      </x:c>
      <x:c r="C333" s="28" t="str">
        <x:v>Универсальные</x:v>
      </x:c>
      <x:c r="D333" s="28" t="str">
        <x:v>нектарин</x:v>
      </x:c>
      <x:c r="E333" s="28" t="str">
        <x:v>nectarine</x:v>
      </x:c>
      <x:c r="F333" s="28" t="str">
        <x:v>Косточковые фрукты</x:v>
      </x:c>
      <x:c r="G333" s="28" t="str">
        <x:v>сельдерей</x:v>
      </x:c>
      <x:c r="H333" s="28" t="str">
        <x:v>celery</x:v>
      </x:c>
      <x:c r="I333" s="28" t="str">
        <x:v>Овощи и бобовые</x:v>
      </x:c>
      <x:c r="J333" s="28" t="str">
        <x:v>персиковый, фруктовый, цветочный, зелёный, сливочно-лактонный</x:v>
      </x:c>
      <x:c r="K333" s="28" t="str">
        <x:v>зелёный, землистый, сернистый, сладковатый или травянистый</x:v>
      </x:c>
      <x:c r="L333" s="28" t="str">
        <x:v>γ- и δ-декалактон, γ- и δ-додекалактон, фруктовые эфиры, линалоол, бензальдегид, C6-альдегиды</x:v>
      </x:c>
      <x:c r="M333" s="28" t="str">
        <x:v>C6-альдегиды, метоксипиразины, сернистые соединения, геосмин</x:v>
      </x:c>
      <x:c r="N333" s="28" t="str">
        <x:v>зелёный</x:v>
      </x:c>
      <x:c r="O333" s="28" t="str">
        <x:v>c6-альдегиды</x:v>
      </x:c>
      <x:c r="P333" s="28" t="str">
        <x:v>прямое или классовое перекрытие характерных одорантов + вкусовой баланс</x:v>
      </x:c>
      <x:c r="Q333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варьирует от сладости до горечи, умами и крахмалистости. Баланс корректируется сахаром, кислотой, солью и горечью.</x:v>
      </x:c>
      <x:c r="R333" s="28" t="str">
        <x:v>слабый; кислотность усиливает свежесть; партнёр: у лука, горчицы и хрена возможен резкий эффект изотиоцианатов</x:v>
      </x:c>
      <x:c r="S333" s="28" t="str">
        <x:v>водно-пектиновая; гидрофобные лактоны лучше проявляются в жире и этаноле. Партнёр: водная, волокнистая или крахмальная.</x:v>
      </x:c>
      <x:c r="T33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U33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Сельдерей относится к группе «Овощи и бобовые» и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варьирует от сладости до горечи, умами и крахмалистости.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водная, волокнистая или крахмальная.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V33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33" s="28" t="str">
        <x:v>мёд, цитрус или нейтральная жировая основа</x:v>
      </x:c>
      <x:c r="X333" s="28" t="str">
        <x:v>напиток, соус, десерт или горячее блюдо после пробной дегустации</x:v>
      </x:c>
      <x:c r="Y333" s="28" t="str">
        <x:v>напитки; еда; десерты; соусы/маринады</x:v>
      </x:c>
      <x:c r="Z333" s="28" t="str">
        <x:v>Средняя</x:v>
      </x:c>
      <x:c r="AA333" s="28" t="str">
        <x:v>The Art &amp; Science of Foodpairing.pdf</x:v>
      </x:c>
      <x:c r="AB333" s="28" t="str">
        <x:v>The Art &amp; Science of Foodpairing.pdf: 260–261</x:v>
      </x:c>
      <x:c r="AC333" s="28" t="str">
        <x:v>Ingredient pairings with peach and nectarine: celery.</x:v>
      </x:c>
      <x:c r="AD333" s="28" t="n">
        <x:v>1</x:v>
      </x:c>
      <x:c r="AE333" s="28" t="n">
        <x:v>1</x:v>
      </x:c>
      <x:c r="AF333" s="28" t="n">
        <x:f>IF(Z333="Высокая",3,IF(Z333="Средняя",2,1))+AD333*2+MIN(AE333,3)</x:f>
        <x:v>5</x:v>
      </x:c>
    </x:row>
    <x:row r="334" ht="62" customHeight="1">
      <x:c r="A334" s="28" t="str">
        <x:v>STN-0333</x:v>
      </x:c>
      <x:c r="B334" s="28" t="str">
        <x:v>нектарин</x:v>
      </x:c>
      <x:c r="C334" s="28" t="str">
        <x:v>Универсальные</x:v>
      </x:c>
      <x:c r="D334" s="28" t="str">
        <x:v>нектарин</x:v>
      </x:c>
      <x:c r="E334" s="28" t="str">
        <x:v>nectarine</x:v>
      </x:c>
      <x:c r="F334" s="28" t="str">
        <x:v>Косточковые фрукты</x:v>
      </x:c>
      <x:c r="G334" s="28" t="str">
        <x:v>семена кардамона</x:v>
      </x:c>
      <x:c r="H334" s="28" t="str">
        <x:v>Cardamom seeds</x:v>
      </x:c>
      <x:c r="I334" s="28" t="str">
        <x:v>Специи</x:v>
      </x:c>
      <x:c r="J334" s="28" t="str">
        <x:v>персиковый, фруктовый, цветочный, зелёный, сливочно-лактонный</x:v>
      </x:c>
      <x:c r="K334" s="28" t="str">
        <x:v>древесный, пряный, тёплый</x:v>
      </x:c>
      <x:c r="L334" s="28" t="str">
        <x:v>γ- и δ-декалактон, γ- и δ-додекалактон, фруктовые эфиры, линалоол, бензальдегид, C6-альдегиды</x:v>
      </x:c>
      <x:c r="M334" s="28" t="str">
        <x:v>коричный альдегид, терпены, эвгенол</x:v>
      </x:c>
      <x:c r="N334" s="28" t="str">
        <x:v>прямое семейное перекрытие не является главным механизмом</x:v>
      </x:c>
      <x:c r="O334" s="28" t="str">
        <x:v>надёжный единичный общий маркер не подтверждён; механизм не сводится к одной молекуле</x:v>
      </x:c>
      <x:c r="P334" s="28" t="str">
        <x:v>комплементарность ароматических семейств, вкусовой контраст и матричный эффект</x:v>
      </x:c>
      <x:c r="Q334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пряный, иногда горький. Баланс корректируется сахаром, кислотой, солью и горечью.</x:v>
      </x:c>
      <x:c r="R334" s="28" t="str">
        <x:v>слабый; кислотность усиливает свежесть; партнёр: обычно отсутствует; зависит от конкретного продукта</x:v>
      </x:c>
      <x:c r="S334" s="28" t="str">
        <x:v>водно-пектиновая; гидрофобные лактоны лучше проявляются в жире и этаноле. Партнёр: эфирные масла хорошо извлекаются спиртом и жиром.</x:v>
      </x:c>
      <x:c r="T33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33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Семена кардамона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пряный, иногда горький.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хорошо извлекаются спиртом и жиром.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33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34" s="28" t="str">
        <x:v>мёд, цитрус или нейтральная жировая основа</x:v>
      </x:c>
      <x:c r="X334" s="28" t="str">
        <x:v>напиток, соус, десерт или горячее блюдо после пробной дегустации</x:v>
      </x:c>
      <x:c r="Y334" s="28" t="str">
        <x:v>напитки; еда; десерты; соусы/маринады</x:v>
      </x:c>
      <x:c r="Z334" s="28" t="str">
        <x:v>Средняя</x:v>
      </x:c>
      <x:c r="AA334" s="28" t="str">
        <x:v>The Art &amp; Science of Foodpairing.pdf</x:v>
      </x:c>
      <x:c r="AB334" s="28" t="str">
        <x:v>The Art &amp; Science of Foodpairing.pdf: 257</x:v>
      </x:c>
      <x:c r="AC334" s="28" t="str">
        <x:v>Ингредиент «nectarine» указан на странице профиля/сетки сочетаний «Cardamom seeds».</x:v>
      </x:c>
      <x:c r="AD334" s="28" t="n">
        <x:v>1</x:v>
      </x:c>
      <x:c r="AE334" s="28" t="n">
        <x:v>1</x:v>
      </x:c>
      <x:c r="AF334" s="28" t="n">
        <x:f>IF(Z334="Высокая",3,IF(Z334="Средняя",2,1))+AD334*2+MIN(AE334,3)</x:f>
        <x:v>5</x:v>
      </x:c>
    </x:row>
    <x:row r="335" ht="62" customHeight="1">
      <x:c r="A335" s="28" t="str">
        <x:v>STN-0334</x:v>
      </x:c>
      <x:c r="B335" s="28" t="str">
        <x:v>нектарин</x:v>
      </x:c>
      <x:c r="C335" s="28" t="str">
        <x:v>Универсальные</x:v>
      </x:c>
      <x:c r="D335" s="28" t="str">
        <x:v>нектарин</x:v>
      </x:c>
      <x:c r="E335" s="28" t="str">
        <x:v>nectarine</x:v>
      </x:c>
      <x:c r="F335" s="28" t="str">
        <x:v>Косточковые фрукты</x:v>
      </x:c>
      <x:c r="G335" s="28" t="str">
        <x:v>скрэмбл</x:v>
      </x:c>
      <x:c r="H335" s="28" t="str">
        <x:v>scrambled egg</x:v>
      </x:c>
      <x:c r="I335" s="28" t="str">
        <x:v>Прочее</x:v>
      </x:c>
      <x:c r="J335" s="28" t="str">
        <x:v>персиковый, фруктовый, цветочный, зелёный, сливочно-лактонный</x:v>
      </x:c>
      <x:c r="K335" s="28" t="str">
        <x:v>нейтральный/специфический</x:v>
      </x:c>
      <x:c r="L335" s="28" t="str">
        <x:v>γ- и δ-декалактон, γ- и δ-додекалактон, фруктовые эфиры, линалоол, бензальдегид, C6-альдегиды</x:v>
      </x:c>
      <x:c r="M335" s="28" t="str">
        <x:v>нужен профиль конкретного продукта</x:v>
      </x:c>
      <x:c r="N335" s="28" t="str">
        <x:v>прямое семейное перекрытие не является главным механизмом</x:v>
      </x:c>
      <x:c r="O335" s="28" t="str">
        <x:v>надёжный единичный общий маркер не подтверждён; механизм не сводится к одной молекуле</x:v>
      </x:c>
      <x:c r="P335" s="28" t="str">
        <x:v>комплементарность ароматических семейств, вкусовой контраст и матричный эффект</x:v>
      </x:c>
      <x:c r="Q335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</x:v>
      </x:c>
      <x:c r="R335" s="28" t="str">
        <x:v>слабый; кислотность усиливает свежесть; партнёр: нет данных</x:v>
      </x:c>
      <x:c r="S335" s="28" t="str">
        <x:v>водно-пектиновая; гидрофобные лактоны лучше проявляются в жире и этаноле. Партнёр: зависит от формы продукта.</x:v>
      </x:c>
      <x:c r="T33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U33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Скрэмбл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V33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35" s="28" t="str">
        <x:v>мёд, цитрус или нейтральная жировая основа</x:v>
      </x:c>
      <x:c r="X335" s="28" t="str">
        <x:v>напиток, соус, десерт или горячее блюдо после пробной дегустации</x:v>
      </x:c>
      <x:c r="Y335" s="28" t="str">
        <x:v>напитки; еда; десерты; соусы/маринады</x:v>
      </x:c>
      <x:c r="Z335" s="28" t="str">
        <x:v>Средняя</x:v>
      </x:c>
      <x:c r="AA335" s="28" t="str">
        <x:v>The Art &amp; Science of Foodpairing.pdf</x:v>
      </x:c>
      <x:c r="AB335" s="28" t="str">
        <x:v>The Art &amp; Science of Foodpairing.pdf: 260–261</x:v>
      </x:c>
      <x:c r="AC335" s="28" t="str">
        <x:v>Ingredient pairings with peach and nectarine: scrambled egg.</x:v>
      </x:c>
      <x:c r="AD335" s="28" t="n">
        <x:v>1</x:v>
      </x:c>
      <x:c r="AE335" s="28" t="n">
        <x:v>1</x:v>
      </x:c>
      <x:c r="AF335" s="28" t="n">
        <x:f>IF(Z335="Высокая",3,IF(Z335="Средняя",2,1))+AD335*2+MIN(AE335,3)</x:f>
        <x:v>5</x:v>
      </x:c>
    </x:row>
    <x:row r="336" ht="62" customHeight="1">
      <x:c r="A336" s="28" t="str">
        <x:v>STN-0335</x:v>
      </x:c>
      <x:c r="B336" s="28" t="str">
        <x:v>нектарин</x:v>
      </x:c>
      <x:c r="C336" s="28" t="str">
        <x:v>Универсальные</x:v>
      </x:c>
      <x:c r="D336" s="28" t="str">
        <x:v>нектарин</x:v>
      </x:c>
      <x:c r="E336" s="28" t="str">
        <x:v>nectarine</x:v>
      </x:c>
      <x:c r="F336" s="28" t="str">
        <x:v>Косточковые фрукты</x:v>
      </x:c>
      <x:c r="G336" s="28" t="str">
        <x:v>слива</x:v>
      </x:c>
      <x:c r="H336" s="28" t="str">
        <x:v>слива | Нектарин | нектарин | Слива</x:v>
      </x:c>
      <x:c r="I336" s="28" t="str">
        <x:v>Косточковые фрукты</x:v>
      </x:c>
      <x:c r="J336" s="28" t="str">
        <x:v>персиковый, фруктовый, цветочный, зелёный, сливочно-лактонный</x:v>
      </x:c>
      <x:c r="K336" s="28" t="str">
        <x:v>винно-фруктовый, цветочный, зелёный, пряный, миндальный; от свежего до тёмно-джемового</x:v>
      </x:c>
      <x:c r="L336" s="28" t="str">
        <x:v>γ- и δ-декалактон, γ- и δ-додекалактон, фруктовые эфиры, линалоол, бензальдегид, C6-альдегиды</x:v>
      </x:c>
      <x:c r="M336" s="28" t="str">
        <x:v>фруктовые эфиры, γ- и δ-лактоны, бензальдегид, линалоол, C6-альдегиды, дамасконы</x:v>
      </x:c>
      <x:c r="N336" s="28" t="str">
        <x:v>цветочный, фруктовый, зелёный</x:v>
      </x:c>
      <x:c r="O336" s="28" t="str">
        <x:v>бензальдегид, линалоол, c6-альдегиды, фруктовые эфиры</x:v>
      </x:c>
      <x:c r="P336" s="28" t="str">
        <x:v>прямое или классовое перекрытие характерных одорантов + вкусовой баланс</x:v>
      </x:c>
      <x:c r="Q336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 и заметная яблочно-лимонная кислотность; кожица часто терпкая. Баланс корректируется сахаром, кислотой, солью и горечью.</x:v>
      </x:c>
      <x:c r="R336" s="28" t="str">
        <x:v>слабый; кислотность усиливает свежесть; партнёр: слабый; кислота и полифенолы создают освежающе-вяжущий эффект</x:v>
      </x:c>
      <x:c r="S336" s="28" t="str">
        <x:v>водно-пектиновая; гидрофобные лактоны лучше проявляются в жире и этаноле. Партнёр: сочная пектиновая мякоть; кожица богата полифенолами; аромат хорошо работает в воде, сахаре и этаноле.</x:v>
      </x:c>
      <x:c r="T33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U33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Слива относится к группе «Косточковые фрукты» и даёт профиль «винно-фруктовый, цветочный, зелёный, пряный, миндальный; от свежего до тёмно-джемового»; типичные соединения или классы: фруктовые эфиры, γ- и δ-лактоны, бензальдегид, линалоол, C6-альдегиды, дамасконы. В рабочих профилях пересекаются: бензальдегид, линалоол, c6-альдегиды, фруктовые эфиры. Общие ароматические направления: цветочный,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 и заметная яблочно-лимонная кислотность; кожица часто терпкая.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сочная пектиновая мякоть; кожица богата полифенолами; аромат хорошо работает в воде, сахаре 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V33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36" s="28" t="str">
        <x:v>мёд, цитрус или нейтральная жировая основа</x:v>
      </x:c>
      <x:c r="X336" s="28" t="str">
        <x:v>напиток, соус, десерт или горячее блюдо после пробной дегустации</x:v>
      </x:c>
      <x:c r="Y336" s="28" t="str">
        <x:v>напитки; еда; десерты; соусы/маринады</x:v>
      </x:c>
      <x:c r="Z336" s="28" t="str">
        <x:v>Гипотеза / практическая</x:v>
      </x:c>
      <x:c r="AA336" s="28" t="str">
        <x:v>Таблица сочетания(1).pdf</x:v>
      </x:c>
      <x:c r="AB336" s="28" t="str">
        <x:v>Таблица сочетания(1).pdf: 14 | Таблица сочетания(1).pdf: 17</x:v>
      </x:c>
      <x:c r="AC336" s="28" t="str">
        <x:v>Пара указана в строке «Нектарин» → колонка «Фрукты». Пара указана в строке «Нектарин»: «слива» находится в колонке «Фрукты». Пара указана в строке «Слива» → колонка «Фрукты».</x:v>
      </x:c>
      <x:c r="AD336" s="28" t="n">
        <x:v>1</x:v>
      </x:c>
      <x:c r="AE336" s="28" t="n">
        <x:v>4</x:v>
      </x:c>
      <x:c r="AF336" s="28" t="n">
        <x:f>IF(Z336="Высокая",3,IF(Z336="Средняя",2,1))+AD336*2+MIN(AE336,3)</x:f>
        <x:v>6</x:v>
      </x:c>
    </x:row>
    <x:row r="337" ht="62" customHeight="1">
      <x:c r="A337" s="28" t="str">
        <x:v>STN-0336</x:v>
      </x:c>
      <x:c r="B337" s="28" t="str">
        <x:v>нектарин</x:v>
      </x:c>
      <x:c r="C337" s="28" t="str">
        <x:v>Десерты и выпечка</x:v>
      </x:c>
      <x:c r="D337" s="28" t="str">
        <x:v>нектарин</x:v>
      </x:c>
      <x:c r="E337" s="28" t="str">
        <x:v>nectarine</x:v>
      </x:c>
      <x:c r="F337" s="28" t="str">
        <x:v>Косточковые фрукты</x:v>
      </x:c>
      <x:c r="G337" s="28" t="str">
        <x:v>сок яблока кешью</x:v>
      </x:c>
      <x:c r="H337" s="28" t="str">
        <x:v>cashew apple juice</x:v>
      </x:c>
      <x:c r="I337" s="28" t="str">
        <x:v>Фрукты</x:v>
      </x:c>
      <x:c r="J337" s="28" t="str">
        <x:v>персиковый, фруктовый, цветочный, зелёный, сливочно-лактонный</x:v>
      </x:c>
      <x:c r="K337" s="28" t="str">
        <x:v>фруктовый, цветочный, зелёный или тропический</x:v>
      </x:c>
      <x:c r="L337" s="28" t="str">
        <x:v>γ- и δ-декалактон, γ- и δ-додекалактон, фруктовые эфиры, линалоол, бензальдегид, C6-альдегиды</x:v>
      </x:c>
      <x:c r="M337" s="28" t="str">
        <x:v>фруктовые эфиры, терпены, альдегиды и лактоны</x:v>
      </x:c>
      <x:c r="N337" s="28" t="str">
        <x:v>цветочный, фруктовый, зелёный</x:v>
      </x:c>
      <x:c r="O337" s="28" t="str">
        <x:v>фруктовые эфиры</x:v>
      </x:c>
      <x:c r="P337" s="28" t="str">
        <x:v>прямое или классовое перекрытие характерных одорантов + вкусовой баланс</x:v>
      </x:c>
      <x:c r="Q337" s="28" t="str">
        <x:v>Близкие фруктовые эфиры создают непрерывность, а различия в кислотности, терпкости и сладости формируют контраст.</x:v>
      </x:c>
      <x:c r="R337" s="28" t="str">
        <x:v>слабый; кислотность усиливает свежесть; партнёр: обычно слабый</x:v>
      </x:c>
      <x:c r="S337" s="28" t="str">
        <x:v>водно-пектиновая; гидрофобные лактоны лучше проявляются в жире и этаноле. Партнёр: преимущественно водно-пектиновая матрица.</x:v>
      </x:c>
      <x:c r="T33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3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Сок яблока кешью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3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37" s="28" t="str">
        <x:v>цитрус, мята или ваниль</x:v>
      </x:c>
      <x:c r="X337" s="28" t="str">
        <x:v>сорбет, салат, джем, кордиал, лимонад, коктейль или фруктовый соус</x:v>
      </x:c>
      <x:c r="Y337" s="28" t="str">
        <x:v>напитки; десерты; соусы/маринады</x:v>
      </x:c>
      <x:c r="Z337" s="28" t="str">
        <x:v>Средняя</x:v>
      </x:c>
      <x:c r="AA337" s="28" t="str">
        <x:v>The Art &amp; Science of Foodpairing.pdf</x:v>
      </x:c>
      <x:c r="AB337" s="28" t="str">
        <x:v>The Art &amp; Science of Foodpairing.pdf: 260–261</x:v>
      </x:c>
      <x:c r="AC337" s="28" t="str">
        <x:v>Ingredient pairings with peach and nectarine: cashew apple juice.</x:v>
      </x:c>
      <x:c r="AD337" s="28" t="n">
        <x:v>1</x:v>
      </x:c>
      <x:c r="AE337" s="28" t="n">
        <x:v>1</x:v>
      </x:c>
      <x:c r="AF337" s="28" t="n">
        <x:f>IF(Z337="Высокая",3,IF(Z337="Средняя",2,1))+AD337*2+MIN(AE337,3)</x:f>
        <x:v>5</x:v>
      </x:c>
    </x:row>
    <x:row r="338" ht="62" customHeight="1">
      <x:c r="A338" s="28" t="str">
        <x:v>STN-0337</x:v>
      </x:c>
      <x:c r="B338" s="28" t="str">
        <x:v>нектарин</x:v>
      </x:c>
      <x:c r="C338" s="28" t="str">
        <x:v>Универсальные</x:v>
      </x:c>
      <x:c r="D338" s="28" t="str">
        <x:v>нектарин</x:v>
      </x:c>
      <x:c r="E338" s="28" t="str">
        <x:v>nectarine</x:v>
      </x:c>
      <x:c r="F338" s="28" t="str">
        <x:v>Косточковые фрукты</x:v>
      </x:c>
      <x:c r="G338" s="28" t="str">
        <x:v>сушеная вешенка</x:v>
      </x:c>
      <x:c r="H338" s="28" t="str">
        <x:v>dried oyster mushroom</x:v>
      </x:c>
      <x:c r="I338" s="28" t="str">
        <x:v>Прочее</x:v>
      </x:c>
      <x:c r="J338" s="28" t="str">
        <x:v>персиковый, фруктовый, цветочный, зелёный, сливочно-лактонный</x:v>
      </x:c>
      <x:c r="K338" s="28" t="str">
        <x:v>нейтральный/специфический</x:v>
      </x:c>
      <x:c r="L338" s="28" t="str">
        <x:v>γ- и δ-декалактон, γ- и δ-додекалактон, фруктовые эфиры, линалоол, бензальдегид, C6-альдегиды</x:v>
      </x:c>
      <x:c r="M338" s="28" t="str">
        <x:v>нужен профиль конкретного продукта</x:v>
      </x:c>
      <x:c r="N338" s="28" t="str">
        <x:v>прямое семейное перекрытие не является главным механизмом</x:v>
      </x:c>
      <x:c r="O338" s="28" t="str">
        <x:v>надёжный единичный общий маркер не подтверждён; механизм не сводится к одной молекуле</x:v>
      </x:c>
      <x:c r="P338" s="28" t="str">
        <x:v>комплементарность ароматических семейств, вкусовой контраст и матричный эффект</x:v>
      </x:c>
      <x:c r="Q338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</x:v>
      </x:c>
      <x:c r="R338" s="28" t="str">
        <x:v>слабый; кислотность усиливает свежесть; партнёр: нет данных</x:v>
      </x:c>
      <x:c r="S338" s="28" t="str">
        <x:v>водно-пектиновая; гидрофобные лактоны лучше проявляются в жире и этаноле. Партнёр: зависит от формы продукта.</x:v>
      </x:c>
      <x:c r="T33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U33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Сушеная вешенка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V33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38" s="28" t="str">
        <x:v>мёд, цитрус или нейтральная жировая основа</x:v>
      </x:c>
      <x:c r="X338" s="28" t="str">
        <x:v>напиток, соус, десерт или горячее блюдо после пробной дегустации</x:v>
      </x:c>
      <x:c r="Y338" s="28" t="str">
        <x:v>напитки; еда; десерты; соусы/маринады</x:v>
      </x:c>
      <x:c r="Z338" s="28" t="str">
        <x:v>Средняя</x:v>
      </x:c>
      <x:c r="AA338" s="28" t="str">
        <x:v>The Art &amp; Science of Foodpairing.pdf</x:v>
      </x:c>
      <x:c r="AB338" s="28" t="str">
        <x:v>The Art &amp; Science of Foodpairing.pdf: 260–261</x:v>
      </x:c>
      <x:c r="AC338" s="28" t="str">
        <x:v>Ingredient pairings with peach and nectarine: dried oyster mushroom.</x:v>
      </x:c>
      <x:c r="AD338" s="28" t="n">
        <x:v>1</x:v>
      </x:c>
      <x:c r="AE338" s="28" t="n">
        <x:v>1</x:v>
      </x:c>
      <x:c r="AF338" s="28" t="n">
        <x:f>IF(Z338="Высокая",3,IF(Z338="Средняя",2,1))+AD338*2+MIN(AE338,3)</x:f>
        <x:v>5</x:v>
      </x:c>
    </x:row>
    <x:row r="339" ht="62" customHeight="1">
      <x:c r="A339" s="28" t="str">
        <x:v>STN-0338</x:v>
      </x:c>
      <x:c r="B339" s="28" t="str">
        <x:v>нектарин</x:v>
      </x:c>
      <x:c r="C339" s="28" t="str">
        <x:v>Напитки</x:v>
      </x:c>
      <x:c r="D339" s="28" t="str">
        <x:v>нектарин</x:v>
      </x:c>
      <x:c r="E339" s="28" t="str">
        <x:v>nectarine</x:v>
      </x:c>
      <x:c r="F339" s="28" t="str">
        <x:v>Косточковые фрукты</x:v>
      </x:c>
      <x:c r="G339" s="28" t="str">
        <x:v>сушеная ромашка</x:v>
      </x:c>
      <x:c r="H339" s="28" t="str">
        <x:v>dried chamomile</x:v>
      </x:c>
      <x:c r="I339" s="28" t="str">
        <x:v>Алкогольные напитки</x:v>
      </x:c>
      <x:c r="J339" s="28" t="str">
        <x:v>персиковый, фруктовый, цветочный, зелёный, сливочно-лактонный</x:v>
      </x:c>
      <x:c r="K339" s="28" t="str">
        <x:v>спиртовой, эфирный, фруктовый или древесный в зависимости от напитка</x:v>
      </x:c>
      <x:c r="L339" s="28" t="str">
        <x:v>γ- и δ-декалактон, γ- и δ-додекалактон, фруктовые эфиры, линалоол, бензальдегид, C6-альдегиды</x:v>
      </x:c>
      <x:c r="M339" s="28" t="str">
        <x:v>этиловые эфиры, высшие спирты, ацетали; для выдержанных напитков — ванилин и дубовые лактоны</x:v>
      </x:c>
      <x:c r="N339" s="28" t="str">
        <x:v>фруктовый</x:v>
      </x:c>
      <x:c r="O339" s="28" t="str">
        <x:v>эфиры</x:v>
      </x:c>
      <x:c r="P339" s="28" t="str">
        <x:v>прямое или классовое перекрытие характерных одорантов + вкусовой баланс</x:v>
      </x:c>
      <x:c r="Q339" s="28" t="str">
        <x:v>Этанол усиливает летучесть лактонов и терпенов; сахар и кислотность должны быть настроены так, чтобы крепость не маскировала плод.</x:v>
      </x:c>
      <x:c r="R339" s="28" t="str">
        <x:v>слабый; кислотность усиливает свежесть; партнёр: этанол даёт согревание</x:v>
      </x:c>
      <x:c r="S339" s="28" t="str">
        <x:v>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</x:v>
      </x:c>
      <x:c r="T339" s="28" t="str">
        <x:v>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</x:v>
      </x:c>
      <x:c r="U33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Сушеная ромашка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В рабочих профилях пересекаются: эфиры. Общие ароматические направления: фруктовый. Этанол усиливает летучесть лактонов и терпенов; сахар и кислотность должны быть настроены так, чтобы крепость не маскировала плод. Матрица пары: 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 Обработка: 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</x:v>
      </x:c>
      <x:c r="V339" s="28" t="str">
        <x:v>не перегревать и не переслащивать; иначе исчезает свежая фруктовая детализация. Высокая крепость и избыток сахара маскируют свежесть; после мацерации контролируйте терпкость кожицы.</x:v>
      </x:c>
      <x:c r="W339" s="28" t="str">
        <x:v>цитрус, чай или вермут</x:v>
      </x:c>
      <x:c r="X339" s="28" t="str">
        <x:v>коктейль, кордиал, настой, спритц, чайный или кофейный напиток</x:v>
      </x:c>
      <x:c r="Y339" s="28" t="str">
        <x:v>напитки</x:v>
      </x:c>
      <x:c r="Z339" s="28" t="str">
        <x:v>Средняя</x:v>
      </x:c>
      <x:c r="AA339" s="28" t="str">
        <x:v>The Art &amp; Science of Foodpairing.pdf</x:v>
      </x:c>
      <x:c r="AB339" s="28" t="str">
        <x:v>The Art &amp; Science of Foodpairing.pdf: 260–261</x:v>
      </x:c>
      <x:c r="AC339" s="28" t="str">
        <x:v>Ingredient pairings with peach and nectarine: dried chamomile.</x:v>
      </x:c>
      <x:c r="AD339" s="28" t="n">
        <x:v>1</x:v>
      </x:c>
      <x:c r="AE339" s="28" t="n">
        <x:v>1</x:v>
      </x:c>
      <x:c r="AF339" s="28" t="n">
        <x:f>IF(Z339="Высокая",3,IF(Z339="Средняя",2,1))+AD339*2+MIN(AE339,3)</x:f>
        <x:v>5</x:v>
      </x:c>
    </x:row>
    <x:row r="340" ht="62" customHeight="1">
      <x:c r="A340" s="28" t="str">
        <x:v>STN-0339</x:v>
      </x:c>
      <x:c r="B340" s="28" t="str">
        <x:v>нектарин</x:v>
      </x:c>
      <x:c r="C340" s="28" t="str">
        <x:v>Еда и соусы</x:v>
      </x:c>
      <x:c r="D340" s="28" t="str">
        <x:v>нектарин</x:v>
      </x:c>
      <x:c r="E340" s="28" t="str">
        <x:v>nectarine</x:v>
      </x:c>
      <x:c r="F340" s="28" t="str">
        <x:v>Косточковые фрукты</x:v>
      </x:c>
      <x:c r="G340" s="28" t="str">
        <x:v>сушеные белые грибы</x:v>
      </x:c>
      <x:c r="H340" s="28" t="str">
        <x:v>dried porcini</x:v>
      </x:c>
      <x:c r="I340" s="28" t="str">
        <x:v>Грибы и трюфели</x:v>
      </x:c>
      <x:c r="J340" s="28" t="str">
        <x:v>персиковый, фруктовый, цветочный, зелёный, сливочно-лактонный</x:v>
      </x:c>
      <x:c r="K340" s="28" t="str">
        <x:v>землистый, грибной, ореховый и умами</x:v>
      </x:c>
      <x:c r="L340" s="28" t="str">
        <x:v>γ- и δ-декалактон, γ- и δ-додекалактон, фруктовые эфиры, линалоол, бензальдегид, C6-альдегиды</x:v>
      </x:c>
      <x:c r="M340" s="28" t="str">
        <x:v>1-октен-3-ол, 1-октен-3-он, сернистые соединения</x:v>
      </x:c>
      <x:c r="N340" s="28" t="str">
        <x:v>прямое семейное перекрытие не является главным механизмом</x:v>
      </x:c>
      <x:c r="O340" s="28" t="str">
        <x:v>надёжный единичный общий маркер не подтверждён; механизм не сводится к одной молекуле</x:v>
      </x:c>
      <x:c r="P340" s="28" t="str">
        <x:v>комплементарность ароматических семейств, вкусовой контраст и матричный эффект</x:v>
      </x:c>
      <x:c r="Q340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умами и лёгкая горечь. Баланс корректируется сахаром, кислотой, солью и горечью.</x:v>
      </x:c>
      <x:c r="R340" s="28" t="str">
        <x:v>слабый; кислотность усиливает свежесть; партнёр: нет выраженного</x:v>
      </x:c>
      <x:c r="S340" s="28" t="str">
        <x:v>водно-пектиновая; гидрофобные лактоны лучше проявляются в жире и этаноле. Партнёр: вода и клетчатка; обжарка создаёт новые жареные молекулы.</x:v>
      </x:c>
      <x:c r="T34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4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белые грибы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умами и лёгкая горечь.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вода и клетчатка; обжарка создаёт новые жареные молекулы.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4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40" s="28" t="str">
        <x:v>сливочное масло, тимьян или твёрдый сыр</x:v>
      </x:c>
      <x:c r="X340" s="28" t="str">
        <x:v>соус, глазировка, чатни, маринад, гарнир или основное блюдо</x:v>
      </x:c>
      <x:c r="Y340" s="28" t="str">
        <x:v>еда; соусы/маринады</x:v>
      </x:c>
      <x:c r="Z340" s="28" t="str">
        <x:v>Средняя</x:v>
      </x:c>
      <x:c r="AA340" s="28" t="str">
        <x:v>The Art &amp; Science of Foodpairing.pdf</x:v>
      </x:c>
      <x:c r="AB340" s="28" t="str">
        <x:v>The Art &amp; Science of Foodpairing.pdf: 260–261</x:v>
      </x:c>
      <x:c r="AC340" s="28" t="str">
        <x:v>Ingredient pairings with peach and nectarine: dried porcini.</x:v>
      </x:c>
      <x:c r="AD340" s="28" t="n">
        <x:v>1</x:v>
      </x:c>
      <x:c r="AE340" s="28" t="n">
        <x:v>2</x:v>
      </x:c>
      <x:c r="AF340" s="28" t="n">
        <x:f>IF(Z340="Высокая",3,IF(Z340="Средняя",2,1))+AD340*2+MIN(AE340,3)</x:f>
        <x:v>6</x:v>
      </x:c>
    </x:row>
    <x:row r="341" ht="62" customHeight="1">
      <x:c r="A341" s="28" t="str">
        <x:v>STN-0340</x:v>
      </x:c>
      <x:c r="B341" s="28" t="str">
        <x:v>нектарин</x:v>
      </x:c>
      <x:c r="C341" s="28" t="str">
        <x:v>Универсальные</x:v>
      </x:c>
      <x:c r="D341" s="28" t="str">
        <x:v>нектарин</x:v>
      </x:c>
      <x:c r="E341" s="28" t="str">
        <x:v>nectarine</x:v>
      </x:c>
      <x:c r="F341" s="28" t="str">
        <x:v>Косточковые фрукты</x:v>
      </x:c>
      <x:c r="G341" s="28" t="str">
        <x:v>сушеные листья тмина</x:v>
      </x:c>
      <x:c r="H341" s="28" t="str">
        <x:v>dried caraway leaves</x:v>
      </x:c>
      <x:c r="I341" s="28" t="str">
        <x:v>Прочее</x:v>
      </x:c>
      <x:c r="J341" s="28" t="str">
        <x:v>персиковый, фруктовый, цветочный, зелёный, сливочно-лактонный</x:v>
      </x:c>
      <x:c r="K341" s="28" t="str">
        <x:v>нейтральный/специфический</x:v>
      </x:c>
      <x:c r="L341" s="28" t="str">
        <x:v>γ- и δ-декалактон, γ- и δ-додекалактон, фруктовые эфиры, линалоол, бензальдегид, C6-альдегиды</x:v>
      </x:c>
      <x:c r="M341" s="28" t="str">
        <x:v>нужен профиль конкретного продукта</x:v>
      </x:c>
      <x:c r="N341" s="28" t="str">
        <x:v>прямое семейное перекрытие не является главным механизмом</x:v>
      </x:c>
      <x:c r="O341" s="28" t="str">
        <x:v>надёжный единичный общий маркер не подтверждён; механизм не сводится к одной молекуле</x:v>
      </x:c>
      <x:c r="P341" s="28" t="str">
        <x:v>комплементарность ароматических семейств, вкусовой контраст и матричный эффект</x:v>
      </x:c>
      <x:c r="Q341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</x:v>
      </x:c>
      <x:c r="R341" s="28" t="str">
        <x:v>слабый; кислотность усиливает свежесть; партнёр: нет данных</x:v>
      </x:c>
      <x:c r="S341" s="28" t="str">
        <x:v>водно-пектиновая; гидрофобные лактоны лучше проявляются в жире и этаноле. Партнёр: зависит от формы продукта.</x:v>
      </x:c>
      <x:c r="T34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U34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листья тмина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V34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41" s="28" t="str">
        <x:v>мёд, цитрус или нейтральная жировая основа</x:v>
      </x:c>
      <x:c r="X341" s="28" t="str">
        <x:v>напиток, соус, десерт или горячее блюдо после пробной дегустации</x:v>
      </x:c>
      <x:c r="Y341" s="28" t="str">
        <x:v>напитки; еда; десерты; соусы/маринады</x:v>
      </x:c>
      <x:c r="Z341" s="28" t="str">
        <x:v>Средняя</x:v>
      </x:c>
      <x:c r="AA341" s="28" t="str">
        <x:v>The Art &amp; Science of Foodpairing.pdf</x:v>
      </x:c>
      <x:c r="AB341" s="28" t="str">
        <x:v>The Art &amp; Science of Foodpairing.pdf: 260–261</x:v>
      </x:c>
      <x:c r="AC341" s="28" t="str">
        <x:v>Ingredient pairings with peach and nectarine: dried caraway leaves.</x:v>
      </x:c>
      <x:c r="AD341" s="28" t="n">
        <x:v>1</x:v>
      </x:c>
      <x:c r="AE341" s="28" t="n">
        <x:v>1</x:v>
      </x:c>
      <x:c r="AF341" s="28" t="n">
        <x:f>IF(Z341="Высокая",3,IF(Z341="Средняя",2,1))+AD341*2+MIN(AE341,3)</x:f>
        <x:v>5</x:v>
      </x:c>
    </x:row>
    <x:row r="342" ht="62" customHeight="1">
      <x:c r="A342" s="28" t="str">
        <x:v>STN-0341</x:v>
      </x:c>
      <x:c r="B342" s="28" t="str">
        <x:v>нектарин</x:v>
      </x:c>
      <x:c r="C342" s="28" t="str">
        <x:v>Универсальные</x:v>
      </x:c>
      <x:c r="D342" s="28" t="str">
        <x:v>нектарин</x:v>
      </x:c>
      <x:c r="E342" s="28" t="str">
        <x:v>nectarine</x:v>
      </x:c>
      <x:c r="F342" s="28" t="str">
        <x:v>Косточковые фрукты</x:v>
      </x:c>
      <x:c r="G342" s="28" t="str">
        <x:v>сушеные семена черного тмина</x:v>
      </x:c>
      <x:c r="H342" s="28" t="str">
        <x:v>dried black caraway seeds</x:v>
      </x:c>
      <x:c r="I342" s="28" t="str">
        <x:v>Специи и острые компоненты</x:v>
      </x:c>
      <x:c r="J342" s="28" t="str">
        <x:v>персиковый, фруктовый, цветочный, зелёный, сливочно-лактонный</x:v>
      </x:c>
      <x:c r="K342" s="28" t="str">
        <x:v>пряный, древесный, цветочный или жгучий</x:v>
      </x:c>
      <x:c r="L342" s="28" t="str">
        <x:v>γ- и δ-декалактон, γ- и δ-додекалактон, фруктовые эфиры, линалоол, бензальдегид, C6-альдегиды</x:v>
      </x:c>
      <x:c r="M342" s="28" t="str">
        <x:v>эвгенол, циннамальдегид, анетол, терпены, капсаициноиды, пиперин</x:v>
      </x:c>
      <x:c r="N342" s="28" t="str">
        <x:v>цветочный</x:v>
      </x:c>
      <x:c r="O342" s="28" t="str">
        <x:v>надёжный единичный общий маркер не подтверждён; механизм не сводится к одной молекуле</x:v>
      </x:c>
      <x:c r="P342" s="28" t="str">
        <x:v>комплементарность ароматических семейств, вкусовой контраст и матричный эффект</x:v>
      </x:c>
      <x:c r="Q342" s="28" t="str">
        <x:v>Сладость и кислота фрукта смягчают остроту и горечь специи, а пряный компонент удлиняет ароматическое послевкусие.</x:v>
      </x:c>
      <x:c r="R342" s="28" t="str">
        <x:v>слабый; кислотность усиливает свежесть; партнёр: выраженный: жжение, тепло или покалывание</x:v>
      </x:c>
      <x:c r="S342" s="28" t="str">
        <x:v>водно-пектиновая; гидрофобные лактоны лучше проявляются в жире и этаноле. Партнёр: гидрофобные молекулы хорошо переходят в жир и этанол.</x:v>
      </x:c>
      <x:c r="T342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U34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семена черного тмина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V342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W342" s="28" t="str">
        <x:v>мёд, цитрус или миндаль</x:v>
      </x:c>
      <x:c r="X342" s="28" t="str">
        <x:v>напиток, соус, десерт или горячее блюдо после пробной дегустации</x:v>
      </x:c>
      <x:c r="Y342" s="28" t="str">
        <x:v>напитки; еда; десерты; соусы/маринады</x:v>
      </x:c>
      <x:c r="Z342" s="28" t="str">
        <x:v>Средняя</x:v>
      </x:c>
      <x:c r="AA342" s="28" t="str">
        <x:v>The Art &amp; Science of Foodpairing.pdf</x:v>
      </x:c>
      <x:c r="AB342" s="28" t="str">
        <x:v>The Art &amp; Science of Foodpairing.pdf: 260–261</x:v>
      </x:c>
      <x:c r="AC342" s="28" t="str">
        <x:v>Ingredient pairings with peach and nectarine: dried black caraway seeds.</x:v>
      </x:c>
      <x:c r="AD342" s="28" t="n">
        <x:v>1</x:v>
      </x:c>
      <x:c r="AE342" s="28" t="n">
        <x:v>1</x:v>
      </x:c>
      <x:c r="AF342" s="28" t="n">
        <x:f>IF(Z342="Высокая",3,IF(Z342="Средняя",2,1))+AD342*2+MIN(AE342,3)</x:f>
        <x:v>5</x:v>
      </x:c>
    </x:row>
    <x:row r="343" ht="62" customHeight="1">
      <x:c r="A343" s="28" t="str">
        <x:v>STN-0342</x:v>
      </x:c>
      <x:c r="B343" s="28" t="str">
        <x:v>нектарин</x:v>
      </x:c>
      <x:c r="C343" s="28" t="str">
        <x:v>Универсальные</x:v>
      </x:c>
      <x:c r="D343" s="28" t="str">
        <x:v>нектарин</x:v>
      </x:c>
      <x:c r="E343" s="28" t="str">
        <x:v>nectarine</x:v>
      </x:c>
      <x:c r="F343" s="28" t="str">
        <x:v>Косточковые фрукты</x:v>
      </x:c>
      <x:c r="G343" s="28" t="str">
        <x:v>сушеные цветы сакуры</x:v>
      </x:c>
      <x:c r="H343" s="28" t="str">
        <x:v>dried cherry blossom</x:v>
      </x:c>
      <x:c r="I343" s="28" t="str">
        <x:v>Травы, листья и цветы</x:v>
      </x:c>
      <x:c r="J343" s="28" t="str">
        <x:v>персиковый, фруктовый, цветочный, зелёный, сливочно-лактонный</x:v>
      </x:c>
      <x:c r="K343" s="28" t="str">
        <x:v>зелёный, цветочный, цитрусовый или анисовый</x:v>
      </x:c>
      <x:c r="L343" s="28" t="str">
        <x:v>γ- и δ-декалактон, γ- и δ-додекалактон, фруктовые эфиры, линалоол, бензальдегид, C6-альдегиды</x:v>
      </x:c>
      <x:c r="M343" s="28" t="str">
        <x:v>терпены, линалоол, гераниол, эвгенол, анетол, C6-альдегиды</x:v>
      </x:c>
      <x:c r="N343" s="28" t="str">
        <x:v>цветочный, зелёный</x:v>
      </x:c>
      <x:c r="O343" s="28" t="str">
        <x:v>линалоол, c6-альдегиды</x:v>
      </x:c>
      <x:c r="P343" s="28" t="str">
        <x:v>прямое или классовое перекрытие характерных одорантов + вкусовой баланс</x:v>
      </x:c>
      <x:c r="Q343" s="28" t="str">
        <x:v>Цветочные и зелёные ноты расширяют верхнюю часть аромата; фруктовая сладость смягчает травяную горечь.</x:v>
      </x:c>
      <x:c r="R343" s="28" t="str">
        <x:v>слабый; кислотность усиливает свежесть; партнёр: часто охлаждение/покалывание у мяты и хвои</x:v>
      </x:c>
      <x:c r="S343" s="28" t="str">
        <x:v>водно-пектиновая; гидрофобные лактоны лучше проявляются в жире и этаноле. Партнёр: эфирные масла гидрофобны и лучше экстрагируются жиром или этанолом.</x:v>
      </x:c>
      <x:c r="T343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U34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цветы сакуры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V34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43" s="28" t="str">
        <x:v>лимон, мёд или ваниль</x:v>
      </x:c>
      <x:c r="X343" s="28" t="str">
        <x:v>напиток, соус, десерт или горячее блюдо после пробной дегустации</x:v>
      </x:c>
      <x:c r="Y343" s="28" t="str">
        <x:v>напитки; еда; десерты; соусы/маринады</x:v>
      </x:c>
      <x:c r="Z343" s="28" t="str">
        <x:v>Средняя</x:v>
      </x:c>
      <x:c r="AA343" s="28" t="str">
        <x:v>The Art &amp; Science of Foodpairing.pdf</x:v>
      </x:c>
      <x:c r="AB343" s="28" t="str">
        <x:v>The Art &amp; Science of Foodpairing.pdf: 260–261</x:v>
      </x:c>
      <x:c r="AC343" s="28" t="str">
        <x:v>Ingredient pairings with peach and nectarine: dried cherry blossom.</x:v>
      </x:c>
      <x:c r="AD343" s="28" t="n">
        <x:v>1</x:v>
      </x:c>
      <x:c r="AE343" s="28" t="n">
        <x:v>1</x:v>
      </x:c>
      <x:c r="AF343" s="28" t="n">
        <x:f>IF(Z343="Высокая",3,IF(Z343="Средняя",2,1))+AD343*2+MIN(AE343,3)</x:f>
        <x:v>5</x:v>
      </x:c>
    </x:row>
    <x:row r="344" ht="62" customHeight="1">
      <x:c r="A344" s="28" t="str">
        <x:v>STN-0343</x:v>
      </x:c>
      <x:c r="B344" s="28" t="str">
        <x:v>нектарин</x:v>
      </x:c>
      <x:c r="C344" s="28" t="str">
        <x:v>Десерты и выпечка</x:v>
      </x:c>
      <x:c r="D344" s="28" t="str">
        <x:v>нектарин</x:v>
      </x:c>
      <x:c r="E344" s="28" t="str">
        <x:v>nectarine</x:v>
      </x:c>
      <x:c r="F344" s="28" t="str">
        <x:v>Косточковые фрукты</x:v>
      </x:c>
      <x:c r="G344" s="28" t="str">
        <x:v>сыр манчего</x:v>
      </x:c>
      <x:c r="H344" s="28" t="str">
        <x:v>Manchego cheese</x:v>
      </x:c>
      <x:c r="I344" s="28" t="str">
        <x:v>Сыры и молочные продукты</x:v>
      </x:c>
      <x:c r="J344" s="28" t="str">
        <x:v>персиковый, фруктовый, цветочный, зелёный, сливочно-лактонный</x:v>
      </x:c>
      <x:c r="K344" s="28" t="str">
        <x:v>сливочный, молочный, ферментированный, иногда ореховый или пикантный</x:v>
      </x:c>
      <x:c r="L344" s="28" t="str">
        <x:v>γ- и δ-декалактон, γ- и δ-додекалактон, фруктовые эфиры, линалоол, бензальдегид, C6-альдегиды</x:v>
      </x:c>
      <x:c r="M344" s="28" t="str">
        <x:v>лактоны, диацетил, жирные кислоты, сернистые и аминокислотные продукты ферментации</x:v>
      </x:c>
      <x:c r="N344" s="28" t="str">
        <x:v>прямое семейное перекрытие не является главным механизмом</x:v>
      </x:c>
      <x:c r="O344" s="28" t="str">
        <x:v>надёжный единичный общий маркер не подтверждён; механизм не сводится к одной молекуле</x:v>
      </x:c>
      <x:c r="P344" s="28" t="str">
        <x:v>комплементарность ароматических семейств, вкусовой контраст и матричный эффект</x:v>
      </x:c>
      <x:c r="Q344" s="28" t="str">
        <x:v>Фруктовая кислота и сладость освежают жирную молочную матрицу; соль и умами сыра усиливают воспринимаемую фруктовость.</x:v>
      </x:c>
      <x:c r="R344" s="28" t="str">
        <x:v>слабый; кислотность усиливает свежесть; партнёр: нет выраженного</x:v>
      </x:c>
      <x:c r="S344" s="28" t="str">
        <x:v>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</x:v>
      </x:c>
      <x:c r="T344" s="28" t="str">
        <x:v>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U34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Сыр манчего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 Обработка: 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V344" s="28" t="str">
        <x:v>не перегревать и не переслащивать; иначе исчезает свежая фруктовая детализация. Избыток кислоты может свернуть молочную основу; фрукт и сыр проверяют при рабочей температуре.</x:v>
      </x:c>
      <x:c r="W344" s="28" t="str">
        <x:v>миндаль, ваниль или мёд</x:v>
      </x:c>
      <x:c r="X344" s="28" t="str">
        <x:v>тарт, крем, мороженое, выпечка, сырная подача или начинка</x:v>
      </x:c>
      <x:c r="Y344" s="28" t="str">
        <x:v>десерты; еда</x:v>
      </x:c>
      <x:c r="Z344" s="28" t="str">
        <x:v>Средняя</x:v>
      </x:c>
      <x:c r="AA344" s="28" t="str">
        <x:v>The Art &amp; Science of Foodpairing.pdf</x:v>
      </x:c>
      <x:c r="AB344" s="28" t="str">
        <x:v>The Art &amp; Science of Foodpairing.pdf: 260–261</x:v>
      </x:c>
      <x:c r="AC344" s="28" t="str">
        <x:v>Ingredient pairings with peach and nectarine: Manchego cheese.</x:v>
      </x:c>
      <x:c r="AD344" s="28" t="n">
        <x:v>1</x:v>
      </x:c>
      <x:c r="AE344" s="28" t="n">
        <x:v>1</x:v>
      </x:c>
      <x:c r="AF344" s="28" t="n">
        <x:f>IF(Z344="Высокая",3,IF(Z344="Средняя",2,1))+AD344*2+MIN(AE344,3)</x:f>
        <x:v>5</x:v>
      </x:c>
    </x:row>
    <x:row r="345" ht="62" customHeight="1">
      <x:c r="A345" s="28" t="str">
        <x:v>STN-0344</x:v>
      </x:c>
      <x:c r="B345" s="28" t="str">
        <x:v>нектарин</x:v>
      </x:c>
      <x:c r="C345" s="28" t="str">
        <x:v>Универсальные</x:v>
      </x:c>
      <x:c r="D345" s="28" t="str">
        <x:v>нектарин</x:v>
      </x:c>
      <x:c r="E345" s="28" t="str">
        <x:v>nectarine</x:v>
      </x:c>
      <x:c r="F345" s="28" t="str">
        <x:v>Косточковые фрукты</x:v>
      </x:c>
      <x:c r="G345" s="28" t="str">
        <x:v>сычуаньский перец</x:v>
      </x:c>
      <x:c r="H345" s="28" t="str">
        <x:v>Sichuan pepper</x:v>
      </x:c>
      <x:c r="I345" s="28" t="str">
        <x:v>Специи и острые компоненты</x:v>
      </x:c>
      <x:c r="J345" s="28" t="str">
        <x:v>персиковый, фруктовый, цветочный, зелёный, сливочно-лактонный</x:v>
      </x:c>
      <x:c r="K345" s="28" t="str">
        <x:v>пряный, древесный, цветочный или жгучий</x:v>
      </x:c>
      <x:c r="L345" s="28" t="str">
        <x:v>γ- и δ-декалактон, γ- и δ-додекалактон, фруктовые эфиры, линалоол, бензальдегид, C6-альдегиды</x:v>
      </x:c>
      <x:c r="M345" s="28" t="str">
        <x:v>эвгенол, циннамальдегид, анетол, терпены, капсаициноиды, пиперин</x:v>
      </x:c>
      <x:c r="N345" s="28" t="str">
        <x:v>цветочный</x:v>
      </x:c>
      <x:c r="O345" s="28" t="str">
        <x:v>надёжный единичный общий маркер не подтверждён; механизм не сводится к одной молекуле</x:v>
      </x:c>
      <x:c r="P345" s="28" t="str">
        <x:v>комплементарность ароматических семейств, вкусовой контраст и матричный эффект</x:v>
      </x:c>
      <x:c r="Q345" s="28" t="str">
        <x:v>Сладость и кислота фрукта смягчают остроту и горечь специи, а пряный компонент удлиняет ароматическое послевкусие.</x:v>
      </x:c>
      <x:c r="R345" s="28" t="str">
        <x:v>слабый; кислотность усиливает свежесть; партнёр: выраженный: жжение, тепло или покалывание</x:v>
      </x:c>
      <x:c r="S345" s="28" t="str">
        <x:v>водно-пектиновая; гидрофобные лактоны лучше проявляются в жире и этаноле. Партнёр: гидрофобные молекулы хорошо переходят в жир и этанол.</x:v>
      </x:c>
      <x:c r="T345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U34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Сычуаньский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V345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W345" s="28" t="str">
        <x:v>мёд, цитрус или миндаль</x:v>
      </x:c>
      <x:c r="X345" s="28" t="str">
        <x:v>напиток, соус, десерт или горячее блюдо после пробной дегустации</x:v>
      </x:c>
      <x:c r="Y345" s="28" t="str">
        <x:v>напитки; еда; десерты; соусы/маринады</x:v>
      </x:c>
      <x:c r="Z345" s="28" t="str">
        <x:v>Средняя</x:v>
      </x:c>
      <x:c r="AA345" s="28" t="str">
        <x:v>The Art &amp; Science of Foodpairing.pdf</x:v>
      </x:c>
      <x:c r="AB345" s="28" t="str">
        <x:v>The Art &amp; Science of Foodpairing.pdf: 260–261</x:v>
      </x:c>
      <x:c r="AC345" s="28" t="str">
        <x:v>Ingredient pairings with peach and nectarine: Sichuan pepper.</x:v>
      </x:c>
      <x:c r="AD345" s="28" t="n">
        <x:v>1</x:v>
      </x:c>
      <x:c r="AE345" s="28" t="n">
        <x:v>1</x:v>
      </x:c>
      <x:c r="AF345" s="28" t="n">
        <x:f>IF(Z345="Высокая",3,IF(Z345="Средняя",2,1))+AD345*2+MIN(AE345,3)</x:f>
        <x:v>5</x:v>
      </x:c>
    </x:row>
    <x:row r="346" ht="62" customHeight="1">
      <x:c r="A346" s="28" t="str">
        <x:v>STN-0345</x:v>
      </x:c>
      <x:c r="B346" s="28" t="str">
        <x:v>нектарин</x:v>
      </x:c>
      <x:c r="C346" s="28" t="str">
        <x:v>Универсальные</x:v>
      </x:c>
      <x:c r="D346" s="28" t="str">
        <x:v>нектарин</x:v>
      </x:c>
      <x:c r="E346" s="28" t="str">
        <x:v>nectarine</x:v>
      </x:c>
      <x:c r="F346" s="28" t="str">
        <x:v>Косточковые фрукты</x:v>
      </x:c>
      <x:c r="G346" s="28" t="str">
        <x:v>таитянская ваниль</x:v>
      </x:c>
      <x:c r="H346" s="28" t="str">
        <x:v>Tahitian vanilla</x:v>
      </x:c>
      <x:c r="I346" s="28" t="str">
        <x:v>Прочее</x:v>
      </x:c>
      <x:c r="J346" s="28" t="str">
        <x:v>персиковый, фруктовый, цветочный, зелёный, сливочно-лактонный</x:v>
      </x:c>
      <x:c r="K346" s="28" t="str">
        <x:v>комплексный</x:v>
      </x:c>
      <x:c r="L346" s="28" t="str">
        <x:v>γ- и δ-декалактон, γ- и δ-додекалактон, фруктовые эфиры, линалоол, бензальдегид, C6-альдегиды</x:v>
      </x:c>
      <x:c r="M346" s="28" t="str">
        <x:v>не конкретизированы</x:v>
      </x:c>
      <x:c r="N346" s="28" t="str">
        <x:v>прямое семейное перекрытие не является главным механизмом</x:v>
      </x:c>
      <x:c r="O346" s="28" t="str">
        <x:v>надёжный единичный общий маркер не подтверждён; механизм не сводится к одной молекуле</x:v>
      </x:c>
      <x:c r="P346" s="28" t="str">
        <x:v>комплементарность ароматических семейств, вкусовой контраст и матричный эффект</x:v>
      </x:c>
      <x:c r="Q346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</x:v>
      </x:c>
      <x:c r="R346" s="28" t="str">
        <x:v>слабый; кислотность усиливает свежесть; партнёр: обычно отсутствует; зависит от конкретного продукта</x:v>
      </x:c>
      <x:c r="S346" s="28" t="str">
        <x:v>водно-пектиновая; гидрофобные лактоны лучше проявляются в жире и этаноле. Партнёр: механизм зависит от конкретного продукта.</x:v>
      </x:c>
      <x:c r="T34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34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Таитянская ваниль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34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46" s="28" t="str">
        <x:v>мёд, цитрус или нейтральная жировая основа</x:v>
      </x:c>
      <x:c r="X346" s="28" t="str">
        <x:v>напиток, соус, десерт или горячее блюдо после пробной дегустации</x:v>
      </x:c>
      <x:c r="Y346" s="28" t="str">
        <x:v>напитки; еда; десерты; соусы/маринады</x:v>
      </x:c>
      <x:c r="Z346" s="28" t="str">
        <x:v>Средняя</x:v>
      </x:c>
      <x:c r="AA346" s="28" t="str">
        <x:v>The Art &amp; Science of Foodpairing.pdf</x:v>
      </x:c>
      <x:c r="AB346" s="28" t="str">
        <x:v>The Art &amp; Science of Foodpairing.pdf: 260–261</x:v>
      </x:c>
      <x:c r="AC346" s="28" t="str">
        <x:v>Ingredient pairings with peach and nectarine: Tahitian vanilla.</x:v>
      </x:c>
      <x:c r="AD346" s="28" t="n">
        <x:v>1</x:v>
      </x:c>
      <x:c r="AE346" s="28" t="n">
        <x:v>1</x:v>
      </x:c>
      <x:c r="AF346" s="28" t="n">
        <x:f>IF(Z346="Высокая",3,IF(Z346="Средняя",2,1))+AD346*2+MIN(AE346,3)</x:f>
        <x:v>5</x:v>
      </x:c>
    </x:row>
    <x:row r="347" ht="62" customHeight="1">
      <x:c r="A347" s="28" t="str">
        <x:v>STN-0346</x:v>
      </x:c>
      <x:c r="B347" s="28" t="str">
        <x:v>нектарин</x:v>
      </x:c>
      <x:c r="C347" s="28" t="str">
        <x:v>Универсальные</x:v>
      </x:c>
      <x:c r="D347" s="28" t="str">
        <x:v>нектарин</x:v>
      </x:c>
      <x:c r="E347" s="28" t="str">
        <x:v>nectarine</x:v>
      </x:c>
      <x:c r="F347" s="28" t="str">
        <x:v>Косточковые фрукты</x:v>
      </x:c>
      <x:c r="G347" s="28" t="str">
        <x:v>темный шоколад</x:v>
      </x:c>
      <x:c r="H347" s="28" t="str">
        <x:v>тёмный шоколад | dark chocolate</x:v>
      </x:c>
      <x:c r="I347" s="28" t="str">
        <x:v>Чай, кофе и какао</x:v>
      </x:c>
      <x:c r="J347" s="28" t="str">
        <x:v>персиковый, фруктовый, цветочный, зелёный, сливочно-лактонный</x:v>
      </x:c>
      <x:c r="K347" s="28" t="str">
        <x:v>какао, жареный, ореховый и фруктовый</x:v>
      </x:c>
      <x:c r="L347" s="28" t="str">
        <x:v>γ- и δ-декалактон, γ- и δ-додекалактон, фруктовые эфиры, линалоол, бензальдегид, C6-альдегиды</x:v>
      </x:c>
      <x:c r="M347" s="28" t="str">
        <x:v>пиразины, альдегиды Стреккера, фураны</x:v>
      </x:c>
      <x:c r="N347" s="28" t="str">
        <x:v>фруктовый</x:v>
      </x:c>
      <x:c r="O347" s="28" t="str">
        <x:v>надёжный единичный общий маркер не подтверждён; механизм не сводится к одной молекуле</x:v>
      </x:c>
      <x:c r="P347" s="28" t="str">
        <x:v>комплементарность ароматических семейств, вкусовой контраст и матричный эффект</x:v>
      </x:c>
      <x:c r="Q347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горечь, терпкость и жареная сладость. Баланс корректируется сахаром, кислотой, солью и горечью.</x:v>
      </x:c>
      <x:c r="R347" s="28" t="str">
        <x:v>слабый; кислотность усиливает свежесть; партнёр: кофеин и терпкость создают сухость, но прямой тройничный эффект умерен</x:v>
      </x:c>
      <x:c r="S347" s="28" t="str">
        <x:v>водно-пектиновая; гидрофобные лактоны лучше проявляются в жире и этаноле. Партнёр: водные настои извлекают полифенолы; жир и сахар смягчают горечь.</x:v>
      </x:c>
      <x:c r="T34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U34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Темный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горечь, терпкость и жареная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водные настои извлекают полифенолы; жир и сахар смягчают горечь.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V34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47" s="28" t="str">
        <x:v>мёд, цитрус или нейтральная жировая основа</x:v>
      </x:c>
      <x:c r="X347" s="28" t="str">
        <x:v>напиток, соус, десерт или горячее блюдо после пробной дегустации</x:v>
      </x:c>
      <x:c r="Y347" s="28" t="str">
        <x:v>напитки; еда; десерты; соусы/маринады</x:v>
      </x:c>
      <x:c r="Z347" s="28" t="str">
        <x:v>Высокая</x:v>
      </x:c>
      <x:c r="AA347" s="28" t="str">
        <x:v>The Art &amp; Science of Foodpairing.pdf | Таблица сочетания(1).pdf</x:v>
      </x:c>
      <x:c r="AB347" s="28" t="str">
        <x:v>Таблица сочетания(1).pdf: 14 | The Art &amp; Science of Foodpairing.pdf: 260–261</x:v>
      </x:c>
      <x:c r="AC347" s="28" t="str">
        <x:v>Пара указана в строке «Нектарин» → колонка «Другое». Ingredient pairings with peach and nectarine: dark chocolate.</x:v>
      </x:c>
      <x:c r="AD347" s="28" t="n">
        <x:v>2</x:v>
      </x:c>
      <x:c r="AE347" s="28" t="n">
        <x:v>2</x:v>
      </x:c>
      <x:c r="AF347" s="28" t="n">
        <x:f>IF(Z347="Высокая",3,IF(Z347="Средняя",2,1))+AD347*2+MIN(AE347,3)</x:f>
        <x:v>9</x:v>
      </x:c>
    </x:row>
    <x:row r="348" ht="62" customHeight="1">
      <x:c r="A348" s="28" t="str">
        <x:v>STN-0347</x:v>
      </x:c>
      <x:c r="B348" s="28" t="str">
        <x:v>нектарин</x:v>
      </x:c>
      <x:c r="C348" s="28" t="str">
        <x:v>Десерты и выпечка</x:v>
      </x:c>
      <x:c r="D348" s="28" t="str">
        <x:v>нектарин</x:v>
      </x:c>
      <x:c r="E348" s="28" t="str">
        <x:v>nectarine</x:v>
      </x:c>
      <x:c r="F348" s="28" t="str">
        <x:v>Косточковые фрукты</x:v>
      </x:c>
      <x:c r="G348" s="28" t="str">
        <x:v>тертый сырой корень сельдерея</x:v>
      </x:c>
      <x:c r="H348" s="28" t="str">
        <x:v>grated raw celeriac</x:v>
      </x:c>
      <x:c r="I348" s="28" t="str">
        <x:v>Сыры и молочные продукты</x:v>
      </x:c>
      <x:c r="J348" s="28" t="str">
        <x:v>персиковый, фруктовый, цветочный, зелёный, сливочно-лактонный</x:v>
      </x:c>
      <x:c r="K348" s="28" t="str">
        <x:v>сливочный, молочный, ферментированный, иногда ореховый или пикантный</x:v>
      </x:c>
      <x:c r="L348" s="28" t="str">
        <x:v>γ- и δ-декалактон, γ- и δ-додекалактон, фруктовые эфиры, линалоол, бензальдегид, C6-альдегиды</x:v>
      </x:c>
      <x:c r="M348" s="28" t="str">
        <x:v>лактоны, диацетил, жирные кислоты, сернистые и аминокислотные продукты ферментации</x:v>
      </x:c>
      <x:c r="N348" s="28" t="str">
        <x:v>прямое семейное перекрытие не является главным механизмом</x:v>
      </x:c>
      <x:c r="O348" s="28" t="str">
        <x:v>надёжный единичный общий маркер не подтверждён; механизм не сводится к одной молекуле</x:v>
      </x:c>
      <x:c r="P348" s="28" t="str">
        <x:v>комплементарность ароматических семейств, вкусовой контраст и матричный эффект</x:v>
      </x:c>
      <x:c r="Q348" s="28" t="str">
        <x:v>Фруктовая кислота и сладость освежают жирную молочную матрицу; соль и умами сыра усиливают воспринимаемую фруктовость.</x:v>
      </x:c>
      <x:c r="R348" s="28" t="str">
        <x:v>слабый; кислотность усиливает свежесть; партнёр: нет выраженного</x:v>
      </x:c>
      <x:c r="S348" s="28" t="str">
        <x:v>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</x:v>
      </x:c>
      <x:c r="T348" s="28" t="str">
        <x:v>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U34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Тертый сырой корень сельдерея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 Обработка: 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V348" s="28" t="str">
        <x:v>не перегревать и не переслащивать; иначе исчезает свежая фруктовая детализация. Избыток кислоты может свернуть молочную основу; фрукт и сыр проверяют при рабочей температуре.</x:v>
      </x:c>
      <x:c r="W348" s="28" t="str">
        <x:v>миндаль, ваниль или мёд</x:v>
      </x:c>
      <x:c r="X348" s="28" t="str">
        <x:v>тарт, крем, мороженое, выпечка, сырная подача или начинка</x:v>
      </x:c>
      <x:c r="Y348" s="28" t="str">
        <x:v>десерты; еда</x:v>
      </x:c>
      <x:c r="Z348" s="28" t="str">
        <x:v>Средняя</x:v>
      </x:c>
      <x:c r="AA348" s="28" t="str">
        <x:v>The Art &amp; Science of Foodpairing.pdf</x:v>
      </x:c>
      <x:c r="AB348" s="28" t="str">
        <x:v>The Art &amp; Science of Foodpairing.pdf: 260–261</x:v>
      </x:c>
      <x:c r="AC348" s="28" t="str">
        <x:v>Ingredient pairings with peach and nectarine: grated raw celeriac.</x:v>
      </x:c>
      <x:c r="AD348" s="28" t="n">
        <x:v>1</x:v>
      </x:c>
      <x:c r="AE348" s="28" t="n">
        <x:v>1</x:v>
      </x:c>
      <x:c r="AF348" s="28" t="n">
        <x:f>IF(Z348="Высокая",3,IF(Z348="Средняя",2,1))+AD348*2+MIN(AE348,3)</x:f>
        <x:v>5</x:v>
      </x:c>
    </x:row>
    <x:row r="349" ht="62" customHeight="1">
      <x:c r="A349" s="28" t="str">
        <x:v>STN-0348</x:v>
      </x:c>
      <x:c r="B349" s="28" t="str">
        <x:v>нектарин</x:v>
      </x:c>
      <x:c r="C349" s="28" t="str">
        <x:v>Еда и соусы</x:v>
      </x:c>
      <x:c r="D349" s="28" t="str">
        <x:v>нектарин</x:v>
      </x:c>
      <x:c r="E349" s="28" t="str">
        <x:v>nectarine</x:v>
      </x:c>
      <x:c r="F349" s="28" t="str">
        <x:v>Косточковые фрукты</x:v>
      </x:c>
      <x:c r="G349" s="28" t="str">
        <x:v>томаты черри</x:v>
      </x:c>
      <x:c r="H349" s="28" t="str">
        <x:v>cherry tomato</x:v>
      </x:c>
      <x:c r="I349" s="28" t="str">
        <x:v>Овощи и корнеплоды</x:v>
      </x:c>
      <x:c r="J349" s="28" t="str">
        <x:v>персиковый, фруктовый, цветочный, зелёный, сливочно-лактонный</x:v>
      </x:c>
      <x:c r="K349" s="28" t="str">
        <x:v>зелёный, землистый, сладковатый или сернистый</x:v>
      </x:c>
      <x:c r="L349" s="28" t="str">
        <x:v>γ- и δ-декалактон, γ- и δ-додекалактон, фруктовые эфиры, линалоол, бензальдегид, C6-альдегиды</x:v>
      </x:c>
      <x:c r="M349" s="28" t="str">
        <x:v>C6-альдегиды, метоксипиразины, терпены, сернистые соединения</x:v>
      </x:c>
      <x:c r="N349" s="28" t="str">
        <x:v>зелёный</x:v>
      </x:c>
      <x:c r="O349" s="28" t="str">
        <x:v>c6-альдегиды</x:v>
      </x:c>
      <x:c r="P349" s="28" t="str">
        <x:v>прямое или классовое перекрытие характерных одорантов + вкусовой баланс</x:v>
      </x:c>
      <x:c r="Q349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</x:v>
      </x:c>
      <x:c r="R349" s="28" t="str">
        <x:v>слабый; кислотность усиливает свежесть; партнёр: зависит от продукта</x:v>
      </x:c>
      <x:c r="S349" s="28" t="str">
        <x:v>водно-пектиновая; гидрофобные лактоны лучше проявляются в жире и этаноле. Партнёр: водная и клетчаточная матрица; обжарка усиливает сладость и Майяр.</x:v>
      </x:c>
      <x:c r="T34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4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Томаты черри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4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49" s="28" t="str">
        <x:v>мёд, травы или уксус</x:v>
      </x:c>
      <x:c r="X349" s="28" t="str">
        <x:v>соус, глазировка, чатни, маринад, гарнир или основное блюдо</x:v>
      </x:c>
      <x:c r="Y349" s="28" t="str">
        <x:v>еда; соусы/маринады</x:v>
      </x:c>
      <x:c r="Z349" s="28" t="str">
        <x:v>Средняя</x:v>
      </x:c>
      <x:c r="AA349" s="28" t="str">
        <x:v>The Art &amp; Science of Foodpairing.pdf</x:v>
      </x:c>
      <x:c r="AB349" s="28" t="str">
        <x:v>The Art &amp; Science of Foodpairing.pdf: 260–261</x:v>
      </x:c>
      <x:c r="AC349" s="28" t="str">
        <x:v>Ingredient pairings with peach and nectarine: cherry tomato.</x:v>
      </x:c>
      <x:c r="AD349" s="28" t="n">
        <x:v>1</x:v>
      </x:c>
      <x:c r="AE349" s="28" t="n">
        <x:v>1</x:v>
      </x:c>
      <x:c r="AF349" s="28" t="n">
        <x:f>IF(Z349="Высокая",3,IF(Z349="Средняя",2,1))+AD349*2+MIN(AE349,3)</x:f>
        <x:v>5</x:v>
      </x:c>
    </x:row>
    <x:row r="350" ht="62" customHeight="1">
      <x:c r="A350" s="28" t="str">
        <x:v>STN-0349</x:v>
      </x:c>
      <x:c r="B350" s="28" t="str">
        <x:v>нектарин</x:v>
      </x:c>
      <x:c r="C350" s="28" t="str">
        <x:v>Еда и соусы</x:v>
      </x:c>
      <x:c r="D350" s="28" t="str">
        <x:v>нектарин</x:v>
      </x:c>
      <x:c r="E350" s="28" t="str">
        <x:v>nectarine</x:v>
      </x:c>
      <x:c r="F350" s="28" t="str">
        <x:v>Косточковые фрукты</x:v>
      </x:c>
      <x:c r="G350" s="28" t="str">
        <x:v>тушеная пикша</x:v>
      </x:c>
      <x:c r="H350" s="28" t="str">
        <x:v>braised haddock</x:v>
      </x:c>
      <x:c r="I350" s="28" t="str">
        <x:v>Рыба и морепродукты</x:v>
      </x:c>
      <x:c r="J350" s="28" t="str">
        <x:v>персиковый, фруктовый, цветочный, зелёный, сливочно-лактонный</x:v>
      </x:c>
      <x:c r="K350" s="28" t="str">
        <x:v>морской, солёный, умами, иногда йодистый и жареный</x:v>
      </x:c>
      <x:c r="L350" s="28" t="str">
        <x:v>γ- и δ-декалактон, γ- и δ-додекалактон, фруктовые эфиры, линалоол, бензальдегид, C6-альдегиды</x:v>
      </x:c>
      <x:c r="M350" s="28" t="str">
        <x:v>амины, бромфенолы, альдегиды жирных кислот, сернистые соединения</x:v>
      </x:c>
      <x:c r="N350" s="28" t="str">
        <x:v>прямое семейное перекрытие не является главным механизмом</x:v>
      </x:c>
      <x:c r="O350" s="28" t="str">
        <x:v>надёжный единичный общий маркер не подтверждён; механизм не сводится к одной молекуле</x:v>
      </x:c>
      <x:c r="P350" s="28" t="str">
        <x:v>комплементарность ароматических семейств, вкусовой контраст и матричный эффект</x:v>
      </x:c>
      <x:c r="Q350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350" s="28" t="str">
        <x:v>слабый; кислотность усиливает свежесть; партнёр: нет выраженного</x:v>
      </x:c>
      <x:c r="S350" s="28" t="str">
        <x:v>водно-пектиновая; гидрофобные лактоны лучше проявляются в жире и этаноле. Партнёр: водно-белковая матрица; жирная рыба лучше удерживает лактоны.</x:v>
      </x:c>
      <x:c r="T35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5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Тушеная пикша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50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W350" s="28" t="str">
        <x:v>цитрус, укроп или оливковое масло</x:v>
      </x:c>
      <x:c r="X350" s="28" t="str">
        <x:v>соус, глазировка, чатни, маринад, гарнир или основное блюдо</x:v>
      </x:c>
      <x:c r="Y350" s="28" t="str">
        <x:v>еда; соусы/маринады</x:v>
      </x:c>
      <x:c r="Z350" s="28" t="str">
        <x:v>Средняя</x:v>
      </x:c>
      <x:c r="AA350" s="28" t="str">
        <x:v>The Art &amp; Science of Foodpairing.pdf</x:v>
      </x:c>
      <x:c r="AB350" s="28" t="str">
        <x:v>The Art &amp; Science of Foodpairing.pdf: 260–261</x:v>
      </x:c>
      <x:c r="AC350" s="28" t="str">
        <x:v>Ingredient pairings with peach and nectarine: braised haddock.</x:v>
      </x:c>
      <x:c r="AD350" s="28" t="n">
        <x:v>1</x:v>
      </x:c>
      <x:c r="AE350" s="28" t="n">
        <x:v>1</x:v>
      </x:c>
      <x:c r="AF350" s="28" t="n">
        <x:f>IF(Z350="Высокая",3,IF(Z350="Средняя",2,1))+AD350*2+MIN(AE350,3)</x:f>
        <x:v>5</x:v>
      </x:c>
    </x:row>
    <x:row r="351" ht="62" customHeight="1">
      <x:c r="A351" s="28" t="str">
        <x:v>STN-0350</x:v>
      </x:c>
      <x:c r="B351" s="28" t="str">
        <x:v>нектарин</x:v>
      </x:c>
      <x:c r="C351" s="28" t="str">
        <x:v>Универсальные</x:v>
      </x:c>
      <x:c r="D351" s="28" t="str">
        <x:v>нектарин</x:v>
      </x:c>
      <x:c r="E351" s="28" t="str">
        <x:v>nectarine</x:v>
      </x:c>
      <x:c r="F351" s="28" t="str">
        <x:v>Косточковые фрукты</x:v>
      </x:c>
      <x:c r="G351" s="28" t="str">
        <x:v>укроп</x:v>
      </x:c>
      <x:c r="H351" s="28" t="str">
        <x:v>dill</x:v>
      </x:c>
      <x:c r="I351" s="28" t="str">
        <x:v>Травы и цветы</x:v>
      </x:c>
      <x:c r="J351" s="28" t="str">
        <x:v>персиковый, фруктовый, цветочный, зелёный, сливочно-лактонный</x:v>
      </x:c>
      <x:c r="K351" s="28" t="str">
        <x:v>зелёный, цветочный, травянистый и эфирно-масличный</x:v>
      </x:c>
      <x:c r="L351" s="28" t="str">
        <x:v>γ- и δ-декалактон, γ- и δ-додекалактон, фруктовые эфиры, линалоол, бензальдегид, C6-альдегиды</x:v>
      </x:c>
      <x:c r="M351" s="28" t="str">
        <x:v>линалоол, гераниол, эвгенол, 1,8-цинеол</x:v>
      </x:c>
      <x:c r="N351" s="28" t="str">
        <x:v>цветочный, зелёный</x:v>
      </x:c>
      <x:c r="O351" s="28" t="str">
        <x:v>линалоол</x:v>
      </x:c>
      <x:c r="P351" s="28" t="str">
        <x:v>прямое или классовое перекрытие характерных одорантов + вкусовой баланс</x:v>
      </x:c>
      <x:c r="Q351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351" s="28" t="str">
        <x:v>слабый; кислотность усиливает свежесть; партнёр: у мяты возможен холодящий эффект ментола; у некоторых трав — камфорность</x:v>
      </x:c>
      <x:c r="S351" s="28" t="str">
        <x:v>водно-пектиновая; гидрофобные лактоны лучше проявляются в жире и этаноле. Партнёр: эфирные масла гидрофобны и лучше раскрываются в жире или этаноле.</x:v>
      </x:c>
      <x:c r="T35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35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35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51" s="28" t="str">
        <x:v>мёд, цитрус или нейтральная жировая основа</x:v>
      </x:c>
      <x:c r="X351" s="28" t="str">
        <x:v>напиток, соус, десерт или горячее блюдо после пробной дегустации</x:v>
      </x:c>
      <x:c r="Y351" s="28" t="str">
        <x:v>напитки; еда; десерты; соусы/маринады</x:v>
      </x:c>
      <x:c r="Z351" s="28" t="str">
        <x:v>Средняя</x:v>
      </x:c>
      <x:c r="AA351" s="28" t="str">
        <x:v>The Art &amp; Science of Foodpairing.pdf</x:v>
      </x:c>
      <x:c r="AB351" s="28" t="str">
        <x:v>The Art &amp; Science of Foodpairing.pdf: 260–261</x:v>
      </x:c>
      <x:c r="AC351" s="28" t="str">
        <x:v>Ingredient pairings with peach and nectarine: dill.</x:v>
      </x:c>
      <x:c r="AD351" s="28" t="n">
        <x:v>1</x:v>
      </x:c>
      <x:c r="AE351" s="28" t="n">
        <x:v>1</x:v>
      </x:c>
      <x:c r="AF351" s="28" t="n">
        <x:f>IF(Z351="Высокая",3,IF(Z351="Средняя",2,1))+AD351*2+MIN(AE351,3)</x:f>
        <x:v>5</x:v>
      </x:c>
    </x:row>
    <x:row r="352" ht="62" customHeight="1">
      <x:c r="A352" s="28" t="str">
        <x:v>STN-0351</x:v>
      </x:c>
      <x:c r="B352" s="28" t="str">
        <x:v>нектарин</x:v>
      </x:c>
      <x:c r="C352" s="28" t="str">
        <x:v>Еда и соусы</x:v>
      </x:c>
      <x:c r="D352" s="28" t="str">
        <x:v>нектарин</x:v>
      </x:c>
      <x:c r="E352" s="28" t="str">
        <x:v>nectarine</x:v>
      </x:c>
      <x:c r="F352" s="28" t="str">
        <x:v>Косточковые фрукты</x:v>
      </x:c>
      <x:c r="G352" s="28" t="str">
        <x:v>устрица</x:v>
      </x:c>
      <x:c r="H352" s="28" t="str">
        <x:v>Oyster</x:v>
      </x:c>
      <x:c r="I352" s="28" t="str">
        <x:v>Рыба и морепродукты</x:v>
      </x:c>
      <x:c r="J352" s="28" t="str">
        <x:v>персиковый, фруктовый, цветочный, зелёный, сливочно-лактонный</x:v>
      </x:c>
      <x:c r="K352" s="28" t="str">
        <x:v>морской, минеральный, жирный, йодистый и иногда огуречный</x:v>
      </x:c>
      <x:c r="L352" s="28" t="str">
        <x:v>γ- и δ-декалактон, γ- и δ-додекалактон, фруктовые эфиры, линалоол, бензальдегид, C6-альдегиды</x:v>
      </x:c>
      <x:c r="M352" s="28" t="str">
        <x:v>альдегиды полиненасыщенных жиров, триметиламин, бромфенолы</x:v>
      </x:c>
      <x:c r="N352" s="28" t="str">
        <x:v>прямое семейное перекрытие не является главным механизмом</x:v>
      </x:c>
      <x:c r="O352" s="28" t="str">
        <x:v>надёжный единичный общий маркер не подтверждён; механизм не сводится к одной молекуле</x:v>
      </x:c>
      <x:c r="P352" s="28" t="str">
        <x:v>комплементарность ароматических семейств, вкусовой контраст и матричный эффект</x:v>
      </x:c>
      <x:c r="Q352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352" s="28" t="str">
        <x:v>слабый; кислотность усиливает свежесть; партнёр: обычно слабый</x:v>
      </x:c>
      <x:c r="S352" s="28" t="str">
        <x:v>водно-пектиновая; гидрофобные лактоны лучше проявляются в жире и этаноле. Партнёр: белок чувствителен к кислоте и протеазам; жирная рыба лучше удерживает аромат.</x:v>
      </x:c>
      <x:c r="T35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кислота освежает, но длительный контакт меняет текстуру; перегрев усиливает рыбные ноты.</x:v>
      </x:c>
      <x:c r="U35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Устрица относится к группе «Рыба и морепродукты» 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белок чувствителен к кислоте и протеазам; жирная рыба лучше удерживает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кислота освежает, но длительный контакт меняет текстуру; перегрев усиливает рыбные ноты.</x:v>
      </x:c>
      <x:c r="V352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W352" s="28" t="str">
        <x:v>цитрус, укроп или оливковое масло</x:v>
      </x:c>
      <x:c r="X352" s="28" t="str">
        <x:v>соус, глазировка, чатни, маринад, гарнир или основное блюдо</x:v>
      </x:c>
      <x:c r="Y352" s="28" t="str">
        <x:v>еда; соусы/маринады</x:v>
      </x:c>
      <x:c r="Z352" s="28" t="str">
        <x:v>Средняя</x:v>
      </x:c>
      <x:c r="AA352" s="28" t="str">
        <x:v>The Art &amp; Science of Foodpairing.pdf</x:v>
      </x:c>
      <x:c r="AB352" s="28" t="str">
        <x:v>The Art &amp; Science of Foodpairing.pdf: 368 | The Art &amp; Science of Foodpairing.pdf: 371</x:v>
      </x:c>
      <x:c r="AC352" s="28" t="str">
        <x:v>Ингредиент «nectarine» указан на странице профиля/сетки сочетаний «Oyster».</x:v>
      </x:c>
      <x:c r="AD352" s="28" t="n">
        <x:v>1</x:v>
      </x:c>
      <x:c r="AE352" s="28" t="n">
        <x:v>2</x:v>
      </x:c>
      <x:c r="AF352" s="28" t="n">
        <x:f>IF(Z352="Высокая",3,IF(Z352="Средняя",2,1))+AD352*2+MIN(AE352,3)</x:f>
        <x:v>6</x:v>
      </x:c>
    </x:row>
    <x:row r="353" ht="62" customHeight="1">
      <x:c r="A353" s="28" t="str">
        <x:v>STN-0352</x:v>
      </x:c>
      <x:c r="B353" s="28" t="str">
        <x:v>нектарин</x:v>
      </x:c>
      <x:c r="C353" s="28" t="str">
        <x:v>Еда и соусы</x:v>
      </x:c>
      <x:c r="D353" s="28" t="str">
        <x:v>нектарин</x:v>
      </x:c>
      <x:c r="E353" s="28" t="str">
        <x:v>nectarine</x:v>
      </x:c>
      <x:c r="F353" s="28" t="str">
        <x:v>Косточковые фрукты</x:v>
      </x:c>
      <x:c r="G353" s="28" t="str">
        <x:v>филе скумбрии</x:v>
      </x:c>
      <x:c r="H353" s="28" t="str">
        <x:v>mackerel fillet</x:v>
      </x:c>
      <x:c r="I353" s="28" t="str">
        <x:v>Рыба и морепродукты</x:v>
      </x:c>
      <x:c r="J353" s="28" t="str">
        <x:v>персиковый, фруктовый, цветочный, зелёный, сливочно-лактонный</x:v>
      </x:c>
      <x:c r="K353" s="28" t="str">
        <x:v>морской, йодистый, зелёный, жирный</x:v>
      </x:c>
      <x:c r="L353" s="28" t="str">
        <x:v>γ- и δ-декалактон, γ- и δ-додекалактон, фруктовые эфиры, линалоол, бензальдегид, C6-альдегиды</x:v>
      </x:c>
      <x:c r="M353" s="28" t="str">
        <x:v>альдегиды окисления липидов, бромфенолы, диметилсульфид, умами-соединения</x:v>
      </x:c>
      <x:c r="N353" s="28" t="str">
        <x:v>зелёный</x:v>
      </x:c>
      <x:c r="O353" s="28" t="str">
        <x:v>надёжный единичный общий маркер не подтверждён; механизм не сводится к одной молекуле</x:v>
      </x:c>
      <x:c r="P353" s="28" t="str">
        <x:v>комплементарность ароматических семейств, вкусовой контраст и матричный эффект</x:v>
      </x:c>
      <x:c r="Q353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353" s="28" t="str">
        <x:v>слабый; кислотность усиливает свежесть; партнёр: нет выраженного</x:v>
      </x:c>
      <x:c r="S353" s="28" t="str">
        <x:v>водно-пектиновая; гидрофобные лактоны лучше проявляются в жире и этаноле. Партнёр: кислота может денатурировать поверхностные белки; жир рыбы удерживает терпены.</x:v>
      </x:c>
      <x:c r="T35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U35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Филе скумбрии относится к группе «Рыба и морепродукты» и даёт профиль «морской, йодистый, зелёный, жирный»; типичные соединения или классы: альдегиды окисления липидов, бромфенолы, диметилсульфид, умами-соединения. По доступным материалам нельзя уверенно свести совместимость к одной общей молекуле. Общие ароматические направления: зелёный.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кислота может денатурировать поверхностные белки; жир рыбы удерживает терпены.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V353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W353" s="28" t="str">
        <x:v>цитрус, укроп или оливковое масло</x:v>
      </x:c>
      <x:c r="X353" s="28" t="str">
        <x:v>соус, глазировка, чатни, маринад, гарнир или основное блюдо</x:v>
      </x:c>
      <x:c r="Y353" s="28" t="str">
        <x:v>еда; соусы/маринады</x:v>
      </x:c>
      <x:c r="Z353" s="28" t="str">
        <x:v>Средняя</x:v>
      </x:c>
      <x:c r="AA353" s="28" t="str">
        <x:v>The Art &amp; Science of Foodpairing.pdf</x:v>
      </x:c>
      <x:c r="AB353" s="28" t="str">
        <x:v>The Art &amp; Science of Foodpairing.pdf: 260–261</x:v>
      </x:c>
      <x:c r="AC353" s="28" t="str">
        <x:v>Ingredient pairings with peach and nectarine: mackerel fillet.</x:v>
      </x:c>
      <x:c r="AD353" s="28" t="n">
        <x:v>1</x:v>
      </x:c>
      <x:c r="AE353" s="28" t="n">
        <x:v>1</x:v>
      </x:c>
      <x:c r="AF353" s="28" t="n">
        <x:f>IF(Z353="Высокая",3,IF(Z353="Средняя",2,1))+AD353*2+MIN(AE353,3)</x:f>
        <x:v>5</x:v>
      </x:c>
    </x:row>
    <x:row r="354" ht="62" customHeight="1">
      <x:c r="A354" s="28" t="str">
        <x:v>STN-0353</x:v>
      </x:c>
      <x:c r="B354" s="28" t="str">
        <x:v>нектарин</x:v>
      </x:c>
      <x:c r="C354" s="28" t="str">
        <x:v>Еда и соусы</x:v>
      </x:c>
      <x:c r="D354" s="28" t="str">
        <x:v>нектарин</x:v>
      </x:c>
      <x:c r="E354" s="28" t="str">
        <x:v>nectarine</x:v>
      </x:c>
      <x:c r="F354" s="28" t="str">
        <x:v>Косточковые фрукты</x:v>
      </x:c>
      <x:c r="G354" s="28" t="str">
        <x:v>филе трески</x:v>
      </x:c>
      <x:c r="H354" s="28" t="str">
        <x:v>cod fillet</x:v>
      </x:c>
      <x:c r="I354" s="28" t="str">
        <x:v>Рыба и морепродукты</x:v>
      </x:c>
      <x:c r="J354" s="28" t="str">
        <x:v>персиковый, фруктовый, цветочный, зелёный, сливочно-лактонный</x:v>
      </x:c>
      <x:c r="K354" s="28" t="str">
        <x:v>морской, солёный, умами, иногда йодистый и жареный</x:v>
      </x:c>
      <x:c r="L354" s="28" t="str">
        <x:v>γ- и δ-декалактон, γ- и δ-додекалактон, фруктовые эфиры, линалоол, бензальдегид, C6-альдегиды</x:v>
      </x:c>
      <x:c r="M354" s="28" t="str">
        <x:v>амины, бромфенолы, альдегиды жирных кислот, сернистые соединения</x:v>
      </x:c>
      <x:c r="N354" s="28" t="str">
        <x:v>прямое семейное перекрытие не является главным механизмом</x:v>
      </x:c>
      <x:c r="O354" s="28" t="str">
        <x:v>надёжный единичный общий маркер не подтверждён; механизм не сводится к одной молекуле</x:v>
      </x:c>
      <x:c r="P354" s="28" t="str">
        <x:v>комплементарность ароматических семейств, вкусовой контраст и матричный эффект</x:v>
      </x:c>
      <x:c r="Q354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354" s="28" t="str">
        <x:v>слабый; кислотность усиливает свежесть; партнёр: нет выраженного</x:v>
      </x:c>
      <x:c r="S354" s="28" t="str">
        <x:v>водно-пектиновая; гидрофобные лактоны лучше проявляются в жире и этаноле. Партнёр: водно-белковая матрица; жирная рыба лучше удерживает лактоны.</x:v>
      </x:c>
      <x:c r="T35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5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Филе трески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54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W354" s="28" t="str">
        <x:v>цитрус, укроп или оливковое масло</x:v>
      </x:c>
      <x:c r="X354" s="28" t="str">
        <x:v>соус, глазировка, чатни, маринад, гарнир или основное блюдо</x:v>
      </x:c>
      <x:c r="Y354" s="28" t="str">
        <x:v>еда; соусы/маринады</x:v>
      </x:c>
      <x:c r="Z354" s="28" t="str">
        <x:v>Средняя</x:v>
      </x:c>
      <x:c r="AA354" s="28" t="str">
        <x:v>The Art &amp; Science of Foodpairing.pdf</x:v>
      </x:c>
      <x:c r="AB354" s="28" t="str">
        <x:v>The Art &amp; Science of Foodpairing.pdf: 260–261</x:v>
      </x:c>
      <x:c r="AC354" s="28" t="str">
        <x:v>Ingredient pairings with peach and nectarine: cod fillet.</x:v>
      </x:c>
      <x:c r="AD354" s="28" t="n">
        <x:v>1</x:v>
      </x:c>
      <x:c r="AE354" s="28" t="n">
        <x:v>1</x:v>
      </x:c>
      <x:c r="AF354" s="28" t="n">
        <x:f>IF(Z354="Высокая",3,IF(Z354="Средняя",2,1))+AD354*2+MIN(AE354,3)</x:f>
        <x:v>5</x:v>
      </x:c>
    </x:row>
    <x:row r="355" ht="62" customHeight="1">
      <x:c r="A355" s="28" t="str">
        <x:v>STN-0354</x:v>
      </x:c>
      <x:c r="B355" s="28" t="str">
        <x:v>нектарин</x:v>
      </x:c>
      <x:c r="C355" s="28" t="str">
        <x:v>Универсальные</x:v>
      </x:c>
      <x:c r="D355" s="28" t="str">
        <x:v>нектарин</x:v>
      </x:c>
      <x:c r="E355" s="28" t="str">
        <x:v>nectarine</x:v>
      </x:c>
      <x:c r="F355" s="28" t="str">
        <x:v>Косточковые фрукты</x:v>
      </x:c>
      <x:c r="G355" s="28" t="str">
        <x:v>финик</x:v>
      </x:c>
      <x:c r="H355" s="28" t="str">
        <x:v>Финик</x:v>
      </x:c>
      <x:c r="I355" s="28" t="str">
        <x:v>Сухофрукты и тропические плоды</x:v>
      </x:c>
      <x:c r="J355" s="28" t="str">
        <x:v>персиковый, фруктовый, цветочный, зелёный, сливочно-лактонный</x:v>
      </x:c>
      <x:c r="K355" s="28" t="str">
        <x:v>медовый, карамельный, сухофруктовый, ореховый и пряный</x:v>
      </x:c>
      <x:c r="L355" s="28" t="str">
        <x:v>γ- и δ-декалактон, γ- и δ-додекалактон, фруктовые эфиры, линалоол, бензальдегид, C6-альдегиды</x:v>
      </x:c>
      <x:c r="M355" s="28" t="str">
        <x:v>фураны, альдегиды Стреккера, фенольные соединения и продукты карамелизации</x:v>
      </x:c>
      <x:c r="N355" s="28" t="str">
        <x:v>фруктовый</x:v>
      </x:c>
      <x:c r="O355" s="28" t="str">
        <x:v>надёжный единичный общий маркер не подтверждён; механизм не сводится к одной молекуле</x:v>
      </x:c>
      <x:c r="P355" s="28" t="str">
        <x:v>комплементарность ароматических семейств, вкусовой контраст и матричный эффект</x:v>
      </x:c>
      <x:c r="Q355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очень высокая сладость, низкая кислотность. Баланс корректируется сахаром, кислотой, солью и горечью.</x:v>
      </x:c>
      <x:c r="R355" s="28" t="str">
        <x:v>слабый; кислотность усиливает свежесть; партнёр: кислотное покалывание зависит от плода; специальные эффекты указаны в паспорте</x:v>
      </x:c>
      <x:c r="S355" s="28" t="str">
        <x:v>водно-пектиновая; гидрофобные лактоны лучше проявляются в жире и этаноле. Партнёр: плотная сахаристая и вязкая; хорошо связывает жир и специи.</x:v>
      </x:c>
      <x:c r="T35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U35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Финик относится к группе «Сухофрукты и тропические плоды» и даёт профиль «медовый, карамельный, сухофруктовый, ореховый и пряный»; типичные соединения или классы: фураны, альдегиды Стреккера, фенольные соединения и продукты карамелизации.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очень высокая сладость, низкая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плотная сахаристая и вязкая; хорошо связывает жир и специи.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V35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55" s="28" t="str">
        <x:v>мёд, цитрус или нейтральная жировая основа</x:v>
      </x:c>
      <x:c r="X355" s="28" t="str">
        <x:v>напиток, соус, десерт или горячее блюдо после пробной дегустации</x:v>
      </x:c>
      <x:c r="Y355" s="28" t="str">
        <x:v>напитки; еда; десерты; соусы/маринады</x:v>
      </x:c>
      <x:c r="Z355" s="28" t="str">
        <x:v>Гипотеза / практическая</x:v>
      </x:c>
      <x:c r="AA355" s="28" t="str">
        <x:v>Таблица сочетания(1).pdf</x:v>
      </x:c>
      <x:c r="AB355" s="28" t="str">
        <x:v>Таблица сочетания(1).pdf: Таблица сочетаний: 7 | Таблица сочетания(1).pdf: 7</x:v>
      </x:c>
      <x:c r="AC355" s="28" t="str">
        <x:v>Таблица сочетаний: В строке «Финик» ингредиент «нектарин» указан как рекомендуемое сочетание в колонке «Фрукты». Пара указана в строке «Финик»: «нектарин» находится в колонке «Фрукты».</x:v>
      </x:c>
      <x:c r="AD355" s="28" t="n">
        <x:v>1</x:v>
      </x:c>
      <x:c r="AE355" s="28" t="n">
        <x:v>2</x:v>
      </x:c>
      <x:c r="AF355" s="28" t="n">
        <x:f>IF(Z355="Высокая",3,IF(Z355="Средняя",2,1))+AD355*2+MIN(AE355,3)</x:f>
        <x:v>5</x:v>
      </x:c>
    </x:row>
    <x:row r="356" ht="62" customHeight="1">
      <x:c r="A356" s="28" t="str">
        <x:v>STN-0355</x:v>
      </x:c>
      <x:c r="B356" s="28" t="str">
        <x:v>нектарин</x:v>
      </x:c>
      <x:c r="C356" s="28" t="str">
        <x:v>Десерты и выпечка</x:v>
      </x:c>
      <x:c r="D356" s="28" t="str">
        <x:v>нектарин</x:v>
      </x:c>
      <x:c r="E356" s="28" t="str">
        <x:v>nectarine</x:v>
      </x:c>
      <x:c r="F356" s="28" t="str">
        <x:v>Косточковые фрукты</x:v>
      </x:c>
      <x:c r="G356" s="28" t="str">
        <x:v>фисташка</x:v>
      </x:c>
      <x:c r="H356" s="28" t="str">
        <x:v>фисташка | pistachio nut</x:v>
      </x:c>
      <x:c r="I356" s="28" t="str">
        <x:v>Орехи и семена</x:v>
      </x:c>
      <x:c r="J356" s="28" t="str">
        <x:v>персиковый, фруктовый, цветочный, зелёный, сливочно-лактонный</x:v>
      </x:c>
      <x:c r="K356" s="28" t="str">
        <x:v>ореховый, жареный, маслянистый и иногда миндальный</x:v>
      </x:c>
      <x:c r="L356" s="28" t="str">
        <x:v>γ- и δ-декалактон, γ- и δ-додекалактон, фруктовые эфиры, линалоол, бензальдегид, C6-альдегиды</x:v>
      </x:c>
      <x:c r="M356" s="28" t="str">
        <x:v>пиразины, бензальдегид, филбертон, жирные альдегиды</x:v>
      </x:c>
      <x:c r="N356" s="28" t="str">
        <x:v>прямое семейное перекрытие не является главным механизмом</x:v>
      </x:c>
      <x:c r="O356" s="28" t="str">
        <x:v>бензальдегид</x:v>
      </x:c>
      <x:c r="P356" s="28" t="str">
        <x:v>прямое или классовое перекрытие характерных одорантов + вкусовой баланс</x:v>
      </x:c>
      <x:c r="Q356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356" s="28" t="str">
        <x:v>слабый; кислотность усиливает свежесть; партнёр: обычно отсутствует</x:v>
      </x:c>
      <x:c r="S356" s="28" t="str">
        <x:v>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</x:v>
      </x:c>
      <x:c r="T35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35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Фисташка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356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W356" s="28" t="str">
        <x:v>ваниль, шоколад или корица</x:v>
      </x:c>
      <x:c r="X356" s="28" t="str">
        <x:v>тарт, крем, мороженое, выпечка, сырная подача или начинка</x:v>
      </x:c>
      <x:c r="Y356" s="28" t="str">
        <x:v>десерты; еда</x:v>
      </x:c>
      <x:c r="Z356" s="28" t="str">
        <x:v>Высокая</x:v>
      </x:c>
      <x:c r="AA356" s="28" t="str">
        <x:v>The Art &amp; Science of Foodpairing.pdf | Таблица сочетания(1).pdf</x:v>
      </x:c>
      <x:c r="AB356" s="28" t="str">
        <x:v>Таблица сочетания(1).pdf: 14 | The Art &amp; Science of Foodpairing.pdf: 260–261</x:v>
      </x:c>
      <x:c r="AC356" s="28" t="str">
        <x:v>Пара указана в строке «Нектарин» → колонка «Другое». Ingredient pairings with peach and nectarine: pistachio nut.</x:v>
      </x:c>
      <x:c r="AD356" s="28" t="n">
        <x:v>2</x:v>
      </x:c>
      <x:c r="AE356" s="28" t="n">
        <x:v>2</x:v>
      </x:c>
      <x:c r="AF356" s="28" t="n">
        <x:f>IF(Z356="Высокая",3,IF(Z356="Средняя",2,1))+AD356*2+MIN(AE356,3)</x:f>
        <x:v>9</x:v>
      </x:c>
    </x:row>
    <x:row r="357" ht="62" customHeight="1">
      <x:c r="A357" s="28" t="str">
        <x:v>STN-0356</x:v>
      </x:c>
      <x:c r="B357" s="28" t="str">
        <x:v>нектарин</x:v>
      </x:c>
      <x:c r="C357" s="28" t="str">
        <x:v>Десерты и выпечка</x:v>
      </x:c>
      <x:c r="D357" s="28" t="str">
        <x:v>нектарин</x:v>
      </x:c>
      <x:c r="E357" s="28" t="str">
        <x:v>nectarine</x:v>
      </x:c>
      <x:c r="F357" s="28" t="str">
        <x:v>Косточковые фрукты</x:v>
      </x:c>
      <x:c r="G357" s="28" t="str">
        <x:v>фундук</x:v>
      </x:c>
      <x:c r="H357" s="28" t="str">
        <x:v>фундук | Hazelnut</x:v>
      </x:c>
      <x:c r="I357" s="28" t="str">
        <x:v>Орехи и семена</x:v>
      </x:c>
      <x:c r="J357" s="28" t="str">
        <x:v>персиковый, фруктовый, цветочный, зелёный, сливочно-лактонный</x:v>
      </x:c>
      <x:c r="K357" s="28" t="str">
        <x:v>жареный ореховый и маслянистый</x:v>
      </x:c>
      <x:c r="L357" s="28" t="str">
        <x:v>γ- и δ-декалактон, γ- и δ-додекалактон, фруктовые эфиры, линалоол, бензальдегид, C6-альдегиды</x:v>
      </x:c>
      <x:c r="M357" s="28" t="str">
        <x:v>филбертон, пиразины</x:v>
      </x:c>
      <x:c r="N357" s="28" t="str">
        <x:v>прямое семейное перекрытие не является главным механизмом</x:v>
      </x:c>
      <x:c r="O357" s="28" t="str">
        <x:v>надёжный единичный общий маркер не подтверждён; механизм не сводится к одной молекуле</x:v>
      </x:c>
      <x:c r="P357" s="28" t="str">
        <x:v>комплементарность ароматических семейств, вкусовой контраст и матричный эффект</x:v>
      </x:c>
      <x:c r="Q357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357" s="28" t="str">
        <x:v>слабый; кислотность усиливает свежесть; партнёр: обычно отсутствует</x:v>
      </x:c>
      <x:c r="S357" s="28" t="str">
        <x:v>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</x:v>
      </x:c>
      <x:c r="T35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35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Фундук относится к группе «Орехи и семена» и даёт профиль «жареный ореховый и маслянистый»; типичные соединения или классы: филбертон, пиразины. По доступным материалам нельзя уверенно свести совместимость к одной общей молекуле.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357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W357" s="28" t="str">
        <x:v>ваниль, шоколад или корица</x:v>
      </x:c>
      <x:c r="X357" s="28" t="str">
        <x:v>тарт, крем, мороженое, выпечка, сырная подача или начинка</x:v>
      </x:c>
      <x:c r="Y357" s="28" t="str">
        <x:v>десерты; еда</x:v>
      </x:c>
      <x:c r="Z357" s="28" t="str">
        <x:v>Высокая</x:v>
      </x:c>
      <x:c r="AA357" s="28" t="str">
        <x:v>The Art &amp; Science of Foodpairing.pdf | Таблица сочетания(1).pdf</x:v>
      </x:c>
      <x:c r="AB357" s="28" t="str">
        <x:v>Таблица сочетания(1).pdf: 14 | The Art &amp; Science of Foodpairing.pdf: 333</x:v>
      </x:c>
      <x:c r="AC357" s="28" t="str">
        <x:v>Пара указана в строке «Нектарин» → колонка «Другое». Ингредиент «nectarine» указан на странице профиля/сетки сочетаний «Hazelnut».</x:v>
      </x:c>
      <x:c r="AD357" s="28" t="n">
        <x:v>2</x:v>
      </x:c>
      <x:c r="AE357" s="28" t="n">
        <x:v>2</x:v>
      </x:c>
      <x:c r="AF357" s="28" t="n">
        <x:f>IF(Z357="Высокая",3,IF(Z357="Средняя",2,1))+AD357*2+MIN(AE357,3)</x:f>
        <x:v>9</x:v>
      </x:c>
    </x:row>
    <x:row r="358" ht="62" customHeight="1">
      <x:c r="A358" s="28" t="str">
        <x:v>STN-0357</x:v>
      </x:c>
      <x:c r="B358" s="28" t="str">
        <x:v>нектарин</x:v>
      </x:c>
      <x:c r="C358" s="28" t="str">
        <x:v>Универсальные</x:v>
      </x:c>
      <x:c r="D358" s="28" t="str">
        <x:v>нектарин</x:v>
      </x:c>
      <x:c r="E358" s="28" t="str">
        <x:v>nectarine</x:v>
      </x:c>
      <x:c r="F358" s="28" t="str">
        <x:v>Косточковые фрукты</x:v>
      </x:c>
      <x:c r="G358" s="28" t="str">
        <x:v>хвоя сосны</x:v>
      </x:c>
      <x:c r="H358" s="28" t="str">
        <x:v>pine needles</x:v>
      </x:c>
      <x:c r="I358" s="28" t="str">
        <x:v>Травы, листья и цветы</x:v>
      </x:c>
      <x:c r="J358" s="28" t="str">
        <x:v>персиковый, фруктовый, цветочный, зелёный, сливочно-лактонный</x:v>
      </x:c>
      <x:c r="K358" s="28" t="str">
        <x:v>зелёный, цветочный, цитрусовый или анисовый</x:v>
      </x:c>
      <x:c r="L358" s="28" t="str">
        <x:v>γ- и δ-декалактон, γ- и δ-додекалактон, фруктовые эфиры, линалоол, бензальдегид, C6-альдегиды</x:v>
      </x:c>
      <x:c r="M358" s="28" t="str">
        <x:v>терпены, линалоол, гераниол, эвгенол, анетол, C6-альдегиды</x:v>
      </x:c>
      <x:c r="N358" s="28" t="str">
        <x:v>цветочный, зелёный</x:v>
      </x:c>
      <x:c r="O358" s="28" t="str">
        <x:v>линалоол, c6-альдегиды</x:v>
      </x:c>
      <x:c r="P358" s="28" t="str">
        <x:v>прямое или классовое перекрытие характерных одорантов + вкусовой баланс</x:v>
      </x:c>
      <x:c r="Q358" s="28" t="str">
        <x:v>Цветочные и зелёные ноты расширяют верхнюю часть аромата; фруктовая сладость смягчает травяную горечь.</x:v>
      </x:c>
      <x:c r="R358" s="28" t="str">
        <x:v>слабый; кислотность усиливает свежесть; партнёр: часто охлаждение/покалывание у мяты и хвои</x:v>
      </x:c>
      <x:c r="S358" s="28" t="str">
        <x:v>водно-пектиновая; гидрофобные лактоны лучше проявляются в жире и этаноле. Партнёр: эфирные масла гидрофобны и лучше экстрагируются жиром или этанолом.</x:v>
      </x:c>
      <x:c r="T358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U35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Хвоя сосны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V35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58" s="28" t="str">
        <x:v>лимон, мёд или ваниль</x:v>
      </x:c>
      <x:c r="X358" s="28" t="str">
        <x:v>напиток, соус, десерт или горячее блюдо после пробной дегустации</x:v>
      </x:c>
      <x:c r="Y358" s="28" t="str">
        <x:v>напитки; еда; десерты; соусы/маринады</x:v>
      </x:c>
      <x:c r="Z358" s="28" t="str">
        <x:v>Средняя</x:v>
      </x:c>
      <x:c r="AA358" s="28" t="str">
        <x:v>The Art &amp; Science of Foodpairing.pdf</x:v>
      </x:c>
      <x:c r="AB358" s="28" t="str">
        <x:v>The Art &amp; Science of Foodpairing.pdf: 260–261</x:v>
      </x:c>
      <x:c r="AC358" s="28" t="str">
        <x:v>Ingredient pairings with peach and nectarine: pine needles.</x:v>
      </x:c>
      <x:c r="AD358" s="28" t="n">
        <x:v>1</x:v>
      </x:c>
      <x:c r="AE358" s="28" t="n">
        <x:v>1</x:v>
      </x:c>
      <x:c r="AF358" s="28" t="n">
        <x:f>IF(Z358="Высокая",3,IF(Z358="Средняя",2,1))+AD358*2+MIN(AE358,3)</x:f>
        <x:v>5</x:v>
      </x:c>
    </x:row>
    <x:row r="359" ht="62" customHeight="1">
      <x:c r="A359" s="28" t="str">
        <x:v>STN-0358</x:v>
      </x:c>
      <x:c r="B359" s="28" t="str">
        <x:v>нектарин</x:v>
      </x:c>
      <x:c r="C359" s="28" t="str">
        <x:v>Универсальные</x:v>
      </x:c>
      <x:c r="D359" s="28" t="str">
        <x:v>нектарин</x:v>
      </x:c>
      <x:c r="E359" s="28" t="str">
        <x:v>nectarine</x:v>
      </x:c>
      <x:c r="F359" s="28" t="str">
        <x:v>Косточковые фрукты</x:v>
      </x:c>
      <x:c r="G359" s="28" t="str">
        <x:v>хурма</x:v>
      </x:c>
      <x:c r="H359" s="28" t="str">
        <x:v>Хурма</x:v>
      </x:c>
      <x:c r="I359" s="28" t="str">
        <x:v>Субтропические фрукты</x:v>
      </x:c>
      <x:c r="J359" s="28" t="str">
        <x:v>персиковый, фруктовый, цветочный, зелёный, сливочно-лактонный</x:v>
      </x:c>
      <x:c r="K359" s="28" t="str">
        <x:v>медовый, абрикосовый, цветочный, пряный и слегка тыквенный</x:v>
      </x:c>
      <x:c r="L359" s="28" t="str">
        <x:v>γ- и δ-декалактон, γ- и δ-додекалактон, фруктовые эфиры, линалоол, бензальдегид, C6-альдегиды</x:v>
      </x:c>
      <x:c r="M359" s="28" t="str">
        <x:v>каротиноидные норизопреноиды, фруктовые эфиры, линалоол, C6-альдегиды</x:v>
      </x:c>
      <x:c r="N359" s="28" t="str">
        <x:v>цветочный</x:v>
      </x:c>
      <x:c r="O359" s="28" t="str">
        <x:v>линалоол, c6-альдегиды, фруктовые эфиры</x:v>
      </x:c>
      <x:c r="P359" s="28" t="str">
        <x:v>прямое или классовое перекрытие характерных одорантов + вкусовой баланс</x:v>
      </x:c>
      <x:c r="Q359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сладость; у вяжущих сортов много растворимых танинов. Баланс корректируется сахаром, кислотой, солью и горечью.</x:v>
      </x:c>
      <x:c r="R359" s="28" t="str">
        <x:v>слабый; кислотность усиливает свежесть; партнёр: кислотное покалывание зависит от плода; специальные эффекты указаны в паспорте</x:v>
      </x:c>
      <x:c r="S359" s="28" t="str">
        <x:v>водно-пектиновая; гидрофобные лактоны лучше проявляются в жире и этаноле. Партнёр: пектиновая, мягкая и вязкая; зрелость резко меняет терпкость.</x:v>
      </x:c>
      <x:c r="T35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хурма сильно вяжет; с большим количеством дубильных партнёров сочетание становится сухим.</x:v>
      </x:c>
      <x:c r="U35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Хурма относится к группе «Субтропические фрукты» и даёт профиль «медовый, абрикосовый, цветочный, пряный и слегка тыквенный»; типичные соединения или классы: каротиноидные норизопреноиды, фруктовые эфиры, линалоол, C6-альдегиды. В рабочих профилях пересекаются: линалоол, c6-альдегиды, фруктовые эфиры.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сладость; у вяжущих сортов много растворимых танинов.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пектиновая, мягкая и вязкая; зрелость резко меняет терпкость.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хурма сильно вяжет; с большим количеством дубильных партнёров сочетание становится сухим.</x:v>
      </x:c>
      <x:c r="V35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59" s="28" t="str">
        <x:v>мёд, цитрус или нейтральная жировая основа</x:v>
      </x:c>
      <x:c r="X359" s="28" t="str">
        <x:v>напиток, соус, десерт или горячее блюдо после пробной дегустации</x:v>
      </x:c>
      <x:c r="Y359" s="28" t="str">
        <x:v>напитки; еда; десерты; соусы/маринады</x:v>
      </x:c>
      <x:c r="Z359" s="28" t="str">
        <x:v>Гипотеза / практическая</x:v>
      </x:c>
      <x:c r="AA359" s="28" t="str">
        <x:v>Таблица сочетания(1).pdf</x:v>
      </x:c>
      <x:c r="AB359" s="28" t="str">
        <x:v>Таблица сочетания(1).pdf: Таблица сочетаний: 16 | Таблица сочетания(1).pdf: 16</x:v>
      </x:c>
      <x:c r="AC359" s="28" t="str">
        <x:v>Таблица сочетаний: В строке «Хурма» ингредиент «нектарин» указан как рекомендуемое сочетание в колонке «Фрукты». Пара указана в строке «Хурма»: «нектарин» находится в колонке «Фрукты».</x:v>
      </x:c>
      <x:c r="AD359" s="28" t="n">
        <x:v>1</x:v>
      </x:c>
      <x:c r="AE359" s="28" t="n">
        <x:v>2</x:v>
      </x:c>
      <x:c r="AF359" s="28" t="n">
        <x:f>IF(Z359="Высокая",3,IF(Z359="Средняя",2,1))+AD359*2+MIN(AE359,3)</x:f>
        <x:v>5</x:v>
      </x:c>
    </x:row>
    <x:row r="360" ht="62" customHeight="1">
      <x:c r="A360" s="28" t="str">
        <x:v>STN-0359</x:v>
      </x:c>
      <x:c r="B360" s="28" t="str">
        <x:v>нектарин</x:v>
      </x:c>
      <x:c r="C360" s="28" t="str">
        <x:v>Универсальные</x:v>
      </x:c>
      <x:c r="D360" s="28" t="str">
        <x:v>нектарин</x:v>
      </x:c>
      <x:c r="E360" s="28" t="str">
        <x:v>nectarine</x:v>
      </x:c>
      <x:c r="F360" s="28" t="str">
        <x:v>Косточковые фрукты</x:v>
      </x:c>
      <x:c r="G360" s="28" t="str">
        <x:v>цветы бузины</x:v>
      </x:c>
      <x:c r="H360" s="28" t="str">
        <x:v>elderflower blossom</x:v>
      </x:c>
      <x:c r="I360" s="28" t="str">
        <x:v>Травы и цветы</x:v>
      </x:c>
      <x:c r="J360" s="28" t="str">
        <x:v>персиковый, фруктовый, цветочный, зелёный, сливочно-лактонный</x:v>
      </x:c>
      <x:c r="K360" s="28" t="str">
        <x:v>зелёный, цветочный, травянистый и эфирно-масличный</x:v>
      </x:c>
      <x:c r="L360" s="28" t="str">
        <x:v>γ- и δ-декалактон, γ- и δ-додекалактон, фруктовые эфиры, линалоол, бензальдегид, C6-альдегиды</x:v>
      </x:c>
      <x:c r="M360" s="28" t="str">
        <x:v>линалоол, гераниол, эвгенол, 1,8-цинеол</x:v>
      </x:c>
      <x:c r="N360" s="28" t="str">
        <x:v>цветочный, зелёный</x:v>
      </x:c>
      <x:c r="O360" s="28" t="str">
        <x:v>линалоол</x:v>
      </x:c>
      <x:c r="P360" s="28" t="str">
        <x:v>прямое или классовое перекрытие характерных одорантов + вкусовой баланс</x:v>
      </x:c>
      <x:c r="Q360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360" s="28" t="str">
        <x:v>слабый; кислотность усиливает свежесть; партнёр: у мяты возможен холодящий эффект ментола; у некоторых трав — камфорность</x:v>
      </x:c>
      <x:c r="S360" s="28" t="str">
        <x:v>водно-пектиновая; гидрофобные лактоны лучше проявляются в жире и этаноле. Партнёр: эфирные масла гидрофобны и лучше раскрываются в жире или этаноле.</x:v>
      </x:c>
      <x:c r="T36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36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Цветы бузины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36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60" s="28" t="str">
        <x:v>мёд, цитрус или нейтральная жировая основа</x:v>
      </x:c>
      <x:c r="X360" s="28" t="str">
        <x:v>напиток, соус, десерт или горячее блюдо после пробной дегустации</x:v>
      </x:c>
      <x:c r="Y360" s="28" t="str">
        <x:v>напитки; еда; десерты; соусы/маринады</x:v>
      </x:c>
      <x:c r="Z360" s="28" t="str">
        <x:v>Средняя</x:v>
      </x:c>
      <x:c r="AA360" s="28" t="str">
        <x:v>The Art &amp; Science of Foodpairing.pdf</x:v>
      </x:c>
      <x:c r="AB360" s="28" t="str">
        <x:v>The Art &amp; Science of Foodpairing.pdf: 260–261</x:v>
      </x:c>
      <x:c r="AC360" s="28" t="str">
        <x:v>Ingredient pairings with peach and nectarine: elderflower blossom.</x:v>
      </x:c>
      <x:c r="AD360" s="28" t="n">
        <x:v>1</x:v>
      </x:c>
      <x:c r="AE360" s="28" t="n">
        <x:v>1</x:v>
      </x:c>
      <x:c r="AF360" s="28" t="n">
        <x:f>IF(Z360="Высокая",3,IF(Z360="Средняя",2,1))+AD360*2+MIN(AE360,3)</x:f>
        <x:v>5</x:v>
      </x:c>
    </x:row>
    <x:row r="361" ht="62" customHeight="1">
      <x:c r="A361" s="28" t="str">
        <x:v>STN-0360</x:v>
      </x:c>
      <x:c r="B361" s="28" t="str">
        <x:v>нектарин</x:v>
      </x:c>
      <x:c r="C361" s="28" t="str">
        <x:v>Еда и соусы</x:v>
      </x:c>
      <x:c r="D361" s="28" t="str">
        <x:v>нектарин</x:v>
      </x:c>
      <x:c r="E361" s="28" t="str">
        <x:v>nectarine</x:v>
      </x:c>
      <x:c r="F361" s="28" t="str">
        <x:v>Косточковые фрукты</x:v>
      </x:c>
      <x:c r="G361" s="28" t="str">
        <x:v>цикорий</x:v>
      </x:c>
      <x:c r="H361" s="28" t="str">
        <x:v>chicory (Belgian endive)</x:v>
      </x:c>
      <x:c r="I361" s="28" t="str">
        <x:v>Овощи и корнеплоды</x:v>
      </x:c>
      <x:c r="J361" s="28" t="str">
        <x:v>персиковый, фруктовый, цветочный, зелёный, сливочно-лактонный</x:v>
      </x:c>
      <x:c r="K361" s="28" t="str">
        <x:v>зелёный, землистый, сладковатый или сернистый</x:v>
      </x:c>
      <x:c r="L361" s="28" t="str">
        <x:v>γ- и δ-декалактон, γ- и δ-додекалактон, фруктовые эфиры, линалоол, бензальдегид, C6-альдегиды</x:v>
      </x:c>
      <x:c r="M361" s="28" t="str">
        <x:v>C6-альдегиды, метоксипиразины, терпены, сернистые соединения</x:v>
      </x:c>
      <x:c r="N361" s="28" t="str">
        <x:v>зелёный</x:v>
      </x:c>
      <x:c r="O361" s="28" t="str">
        <x:v>c6-альдегиды</x:v>
      </x:c>
      <x:c r="P361" s="28" t="str">
        <x:v>прямое или классовое перекрытие характерных одорантов + вкусовой баланс</x:v>
      </x:c>
      <x:c r="Q361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</x:v>
      </x:c>
      <x:c r="R361" s="28" t="str">
        <x:v>слабый; кислотность усиливает свежесть; партнёр: зависит от продукта</x:v>
      </x:c>
      <x:c r="S361" s="28" t="str">
        <x:v>водно-пектиновая; гидрофобные лактоны лучше проявляются в жире и этаноле. Партнёр: водная и клетчаточная матрица; обжарка усиливает сладость и Майяр.</x:v>
      </x:c>
      <x:c r="T36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U36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Цикорий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V36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61" s="28" t="str">
        <x:v>мёд, травы или уксус</x:v>
      </x:c>
      <x:c r="X361" s="28" t="str">
        <x:v>соус, глазировка, чатни, маринад, гарнир или основное блюдо</x:v>
      </x:c>
      <x:c r="Y361" s="28" t="str">
        <x:v>еда; соусы/маринады</x:v>
      </x:c>
      <x:c r="Z361" s="28" t="str">
        <x:v>Средняя</x:v>
      </x:c>
      <x:c r="AA361" s="28" t="str">
        <x:v>The Art &amp; Science of Foodpairing.pdf</x:v>
      </x:c>
      <x:c r="AB361" s="28" t="str">
        <x:v>The Art &amp; Science of Foodpairing.pdf: 260–261</x:v>
      </x:c>
      <x:c r="AC361" s="28" t="str">
        <x:v>Ingredient pairings with peach and nectarine: chicory (Belgian endive).</x:v>
      </x:c>
      <x:c r="AD361" s="28" t="n">
        <x:v>1</x:v>
      </x:c>
      <x:c r="AE361" s="28" t="n">
        <x:v>1</x:v>
      </x:c>
      <x:c r="AF361" s="28" t="n">
        <x:f>IF(Z361="Высокая",3,IF(Z361="Средняя",2,1))+AD361*2+MIN(AE361,3)</x:f>
        <x:v>5</x:v>
      </x:c>
    </x:row>
    <x:row r="362" ht="62" customHeight="1">
      <x:c r="A362" s="28" t="str">
        <x:v>STN-0361</x:v>
      </x:c>
      <x:c r="B362" s="28" t="str">
        <x:v>нектарин</x:v>
      </x:c>
      <x:c r="C362" s="28" t="str">
        <x:v>Универсальные</x:v>
      </x:c>
      <x:c r="D362" s="28" t="str">
        <x:v>нектарин</x:v>
      </x:c>
      <x:c r="E362" s="28" t="str">
        <x:v>nectarine</x:v>
      </x:c>
      <x:c r="F362" s="28" t="str">
        <x:v>Косточковые фрукты</x:v>
      </x:c>
      <x:c r="G362" s="28" t="str">
        <x:v>черешня</x:v>
      </x:c>
      <x:c r="H362" s="28" t="str">
        <x:v>sweet cherry</x:v>
      </x:c>
      <x:c r="I362" s="28" t="str">
        <x:v>Ягоды и производные</x:v>
      </x:c>
      <x:c r="J362" s="28" t="str">
        <x:v>персиковый, фруктовый, цветочный, зелёный, сливочно-лактонный</x:v>
      </x:c>
      <x:c r="K362" s="28" t="str">
        <x:v>миндальный, сладко-фруктовый, цветочный</x:v>
      </x:c>
      <x:c r="L362" s="28" t="str">
        <x:v>γ- и δ-декалактон, γ- и δ-додекалактон, фруктовые эфиры, линалоол, бензальдегид, C6-альдегиды</x:v>
      </x:c>
      <x:c r="M362" s="28" t="str">
        <x:v>бензальдегид, бета-дамасценон, эфиры</x:v>
      </x:c>
      <x:c r="N362" s="28" t="str">
        <x:v>цветочный, фруктовый</x:v>
      </x:c>
      <x:c r="O362" s="28" t="str">
        <x:v>бензальдегид, эфиры</x:v>
      </x:c>
      <x:c r="P362" s="28" t="str">
        <x:v>прямое или классовое перекрытие характерных одорантов + вкусовой баланс</x:v>
      </x:c>
      <x:c r="Q362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сладкий, умеренно кислый. Баланс корректируется сахаром, кислотой, солью и горечью.</x:v>
      </x:c>
      <x:c r="R362" s="28" t="str">
        <x:v>слабый; кислотность усиливает свежесть; партнёр: обычно отсутствует; зависит от конкретного продукта</x:v>
      </x:c>
      <x:c r="S362" s="28" t="str">
        <x:v>водно-пектиновая; гидрофобные лактоны лучше проявляются в жире и этаноле. Партнёр: нежнее кислой вишни; легко становится приторной.</x:v>
      </x:c>
      <x:c r="T36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U36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Черешня относится к группе «Ягоды и производные» и даёт профиль «миндальный, сладко-фруктовый, цветочный»; типичные соединения или классы: бензальдегид, бета-дамасценон, эфиры. В рабочих профилях пересекаются: бензальдегид, эфиры. Общие ароматические направления: цветочный,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сладкий, умеренно кислый.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нежнее кислой вишни; легко становится приторной.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V36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62" s="28" t="str">
        <x:v>мёд, цитрус или нейтральная жировая основа</x:v>
      </x:c>
      <x:c r="X362" s="28" t="str">
        <x:v>напиток, соус, десерт или горячее блюдо после пробной дегустации</x:v>
      </x:c>
      <x:c r="Y362" s="28" t="str">
        <x:v>напитки; еда; десерты; соусы/маринады</x:v>
      </x:c>
      <x:c r="Z362" s="28" t="str">
        <x:v>Средняя</x:v>
      </x:c>
      <x:c r="AA362" s="28" t="str">
        <x:v>The Art &amp; Science of Foodpairing.pdf</x:v>
      </x:c>
      <x:c r="AB362" s="28" t="str">
        <x:v>The Art &amp; Science of Foodpairing.pdf: 260–261</x:v>
      </x:c>
      <x:c r="AC362" s="28" t="str">
        <x:v>Ingredient pairings with peach and nectarine: sweet cherry.</x:v>
      </x:c>
      <x:c r="AD362" s="28" t="n">
        <x:v>1</x:v>
      </x:c>
      <x:c r="AE362" s="28" t="n">
        <x:v>1</x:v>
      </x:c>
      <x:c r="AF362" s="28" t="n">
        <x:f>IF(Z362="Высокая",3,IF(Z362="Средняя",2,1))+AD362*2+MIN(AE362,3)</x:f>
        <x:v>5</x:v>
      </x:c>
    </x:row>
    <x:row r="363" ht="62" customHeight="1">
      <x:c r="A363" s="28" t="str">
        <x:v>STN-0362</x:v>
      </x:c>
      <x:c r="B363" s="28" t="str">
        <x:v>нектарин</x:v>
      </x:c>
      <x:c r="C363" s="28" t="str">
        <x:v>Универсальные</x:v>
      </x:c>
      <x:c r="D363" s="28" t="str">
        <x:v>нектарин</x:v>
      </x:c>
      <x:c r="E363" s="28" t="str">
        <x:v>nectarine</x:v>
      </x:c>
      <x:c r="F363" s="28" t="str">
        <x:v>Косточковые фрукты</x:v>
      </x:c>
      <x:c r="G363" s="28" t="str">
        <x:v>чернослив</x:v>
      </x:c>
      <x:c r="H363" s="28" t="str">
        <x:v>Agen prunes</x:v>
      </x:c>
      <x:c r="I363" s="28" t="str">
        <x:v>Сушёные косточковые фрукты</x:v>
      </x:c>
      <x:c r="J363" s="28" t="str">
        <x:v>персиковый, фруктовый, цветочный, зелёный, сливочно-лактонный</x:v>
      </x:c>
      <x:c r="K363" s="28" t="str">
        <x:v>тёмно-фруктовый, карамельный, винный, слегка дымный и миндальный</x:v>
      </x:c>
      <x:c r="L363" s="28" t="str">
        <x:v>γ- и δ-декалактон, γ- и δ-додекалактон, фруктовые эфиры, линалоол, бензальдегид, C6-альдегиды</x:v>
      </x:c>
      <x:c r="M363" s="28" t="str">
        <x:v>фурфурол, 5-метилфурфурол, мальтол, лактоны, бензальдегид, продукты термического распада сахаров</x:v>
      </x:c>
      <x:c r="N363" s="28" t="str">
        <x:v>фруктовый</x:v>
      </x:c>
      <x:c r="O363" s="28" t="str">
        <x:v>бензальдегид</x:v>
      </x:c>
      <x:c r="P363" s="28" t="str">
        <x:v>прямое или классовое перекрытие характерных одорантов + вкусовой баланс</x:v>
      </x:c>
      <x:c r="Q363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</x:v>
      </x:c>
      <x:c r="R363" s="28" t="str">
        <x:v>слабый; кислотность усиливает свежесть; партнёр: слабый; возможна лёгкая терпкость</x:v>
      </x:c>
      <x:c r="S363" s="28" t="str">
        <x:v>водно-пектиновая; гидрофобные лактоны лучше проявляются в жире и этаноле. Партнёр: маловодная, богатая сахарами, пектином и сорбитолом; хорошо удерживает специи и алкоголь.</x:v>
      </x:c>
      <x:c r="T36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U36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Чернослив относится к группе «Сушёные косточковые фрукты» и даёт профиль «тёмно-фруктовый, карамельный, винный, слегка дымный и миндальный»; типичные соединения или классы: фурфурол, 5-метилфурфурол, мальтол, лактоны, бензальдегид, продукты термического распада сахаров. В рабочих профилях пересекаются: бензальдегид. Общие ароматические направления: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маловодная, богатая сахарами, пектином и сорбитолом; хорошо удерживает специи и алкоголь.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V36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63" s="28" t="str">
        <x:v>мёд, цитрус или нейтральная жировая основа</x:v>
      </x:c>
      <x:c r="X363" s="28" t="str">
        <x:v>напиток, соус, десерт или горячее блюдо после пробной дегустации</x:v>
      </x:c>
      <x:c r="Y363" s="28" t="str">
        <x:v>напитки; еда; десерты; соусы/маринады</x:v>
      </x:c>
      <x:c r="Z363" s="28" t="str">
        <x:v>Средняя</x:v>
      </x:c>
      <x:c r="AA363" s="28" t="str">
        <x:v>The Art &amp; Science of Foodpairing.pdf</x:v>
      </x:c>
      <x:c r="AB363" s="28" t="str">
        <x:v>The Art &amp; Science of Foodpairing.pdf: 260–261</x:v>
      </x:c>
      <x:c r="AC363" s="28" t="str">
        <x:v>Ingredient pairings with peach and nectarine: Agen prunes.</x:v>
      </x:c>
      <x:c r="AD363" s="28" t="n">
        <x:v>1</x:v>
      </x:c>
      <x:c r="AE363" s="28" t="n">
        <x:v>1</x:v>
      </x:c>
      <x:c r="AF363" s="28" t="n">
        <x:f>IF(Z363="Высокая",3,IF(Z363="Средняя",2,1))+AD363*2+MIN(AE363,3)</x:f>
        <x:v>5</x:v>
      </x:c>
    </x:row>
    <x:row r="364" ht="62" customHeight="1">
      <x:c r="A364" s="28" t="str">
        <x:v>STN-0363</x:v>
      </x:c>
      <x:c r="B364" s="28" t="str">
        <x:v>нектарин</x:v>
      </x:c>
      <x:c r="C364" s="28" t="str">
        <x:v>Универсальные</x:v>
      </x:c>
      <x:c r="D364" s="28" t="str">
        <x:v>нектарин</x:v>
      </x:c>
      <x:c r="E364" s="28" t="str">
        <x:v>nectarine</x:v>
      </x:c>
      <x:c r="F364" s="28" t="str">
        <x:v>Косточковые фрукты</x:v>
      </x:c>
      <x:c r="G364" s="28" t="str">
        <x:v>шнитт-лук</x:v>
      </x:c>
      <x:c r="H364" s="28" t="str">
        <x:v>chives</x:v>
      </x:c>
      <x:c r="I364" s="28" t="str">
        <x:v>Травы, листья и цветы</x:v>
      </x:c>
      <x:c r="J364" s="28" t="str">
        <x:v>персиковый, фруктовый, цветочный, зелёный, сливочно-лактонный</x:v>
      </x:c>
      <x:c r="K364" s="28" t="str">
        <x:v>зелёный, цветочный, цитрусовый или анисовый</x:v>
      </x:c>
      <x:c r="L364" s="28" t="str">
        <x:v>γ- и δ-декалактон, γ- и δ-додекалактон, фруктовые эфиры, линалоол, бензальдегид, C6-альдегиды</x:v>
      </x:c>
      <x:c r="M364" s="28" t="str">
        <x:v>терпены, линалоол, гераниол, эвгенол, анетол, C6-альдегиды</x:v>
      </x:c>
      <x:c r="N364" s="28" t="str">
        <x:v>цветочный, зелёный</x:v>
      </x:c>
      <x:c r="O364" s="28" t="str">
        <x:v>линалоол, c6-альдегиды</x:v>
      </x:c>
      <x:c r="P364" s="28" t="str">
        <x:v>прямое или классовое перекрытие характерных одорантов + вкусовой баланс</x:v>
      </x:c>
      <x:c r="Q364" s="28" t="str">
        <x:v>Цветочные и зелёные ноты расширяют верхнюю часть аромата; фруктовая сладость смягчает травяную горечь.</x:v>
      </x:c>
      <x:c r="R364" s="28" t="str">
        <x:v>слабый; кислотность усиливает свежесть; партнёр: часто охлаждение/покалывание у мяты и хвои</x:v>
      </x:c>
      <x:c r="S364" s="28" t="str">
        <x:v>водно-пектиновая; гидрофобные лактоны лучше проявляются в жире и этаноле. Партнёр: эфирные масла гидрофобны и лучше экстрагируются жиром или этанолом.</x:v>
      </x:c>
      <x:c r="T364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U36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Шнитт-лук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V36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64" s="28" t="str">
        <x:v>лимон, мёд или ваниль</x:v>
      </x:c>
      <x:c r="X364" s="28" t="str">
        <x:v>напиток, соус, десерт или горячее блюдо после пробной дегустации</x:v>
      </x:c>
      <x:c r="Y364" s="28" t="str">
        <x:v>напитки; еда; десерты; соусы/маринады</x:v>
      </x:c>
      <x:c r="Z364" s="28" t="str">
        <x:v>Средняя</x:v>
      </x:c>
      <x:c r="AA364" s="28" t="str">
        <x:v>The Art &amp; Science of Foodpairing.pdf</x:v>
      </x:c>
      <x:c r="AB364" s="28" t="str">
        <x:v>The Art &amp; Science of Foodpairing.pdf: 260–261</x:v>
      </x:c>
      <x:c r="AC364" s="28" t="str">
        <x:v>Ingredient pairings with peach and nectarine: chives.</x:v>
      </x:c>
      <x:c r="AD364" s="28" t="n">
        <x:v>1</x:v>
      </x:c>
      <x:c r="AE364" s="28" t="n">
        <x:v>1</x:v>
      </x:c>
      <x:c r="AF364" s="28" t="n">
        <x:f>IF(Z364="Высокая",3,IF(Z364="Средняя",2,1))+AD364*2+MIN(AE364,3)</x:f>
        <x:v>5</x:v>
      </x:c>
    </x:row>
    <x:row r="365" ht="62" customHeight="1">
      <x:c r="A365" s="28" t="str">
        <x:v>STN-0364</x:v>
      </x:c>
      <x:c r="B365" s="28" t="str">
        <x:v>нектарин</x:v>
      </x:c>
      <x:c r="C365" s="28" t="str">
        <x:v>Универсальные</x:v>
      </x:c>
      <x:c r="D365" s="28" t="str">
        <x:v>нектарин</x:v>
      </x:c>
      <x:c r="E365" s="28" t="str">
        <x:v>nectarine</x:v>
      </x:c>
      <x:c r="F365" s="28" t="str">
        <x:v>Косточковые фрукты</x:v>
      </x:c>
      <x:c r="G365" s="28" t="str">
        <x:v>эстрагон</x:v>
      </x:c>
      <x:c r="H365" s="28" t="str">
        <x:v>tarragon</x:v>
      </x:c>
      <x:c r="I365" s="28" t="str">
        <x:v>Травы и цветы</x:v>
      </x:c>
      <x:c r="J365" s="28" t="str">
        <x:v>персиковый, фруктовый, цветочный, зелёный, сливочно-лактонный</x:v>
      </x:c>
      <x:c r="K365" s="28" t="str">
        <x:v>зелёный, травянистый, цветочный</x:v>
      </x:c>
      <x:c r="L365" s="28" t="str">
        <x:v>γ- и δ-декалактон, γ- и δ-додекалактон, фруктовые эфиры, линалоол, бензальдегид, C6-альдегиды</x:v>
      </x:c>
      <x:c r="M365" s="28" t="str">
        <x:v>гераниол, линалоол, терпены, эвгенол</x:v>
      </x:c>
      <x:c r="N365" s="28" t="str">
        <x:v>цветочный, зелёный</x:v>
      </x:c>
      <x:c r="O365" s="28" t="str">
        <x:v>линалоол</x:v>
      </x:c>
      <x:c r="P365" s="28" t="str">
        <x:v>прямое или классовое перекрытие характерных одорантов + вкусовой баланс</x:v>
      </x:c>
      <x:c r="Q365" s="28" t="str">
        <x:v>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горьковатый, свежий. Баланс корректируется сахаром, кислотой, солью и горечью.</x:v>
      </x:c>
      <x:c r="R365" s="28" t="str">
        <x:v>слабый; кислотность усиливает свежесть; партнёр: обычно отсутствует; зависит от конкретного продукта</x:v>
      </x:c>
      <x:c r="S365" s="28" t="str">
        <x:v>водно-пектиновая; гидрофобные лактоны лучше проявляются в жире и этаноле. Партнёр: летучие масла чувствительны к нагреву.</x:v>
      </x:c>
      <x:c r="T36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36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Эстрагон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горьковатый, свежий.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летучие масла чувствительны к нагреву.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36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W365" s="28" t="str">
        <x:v>мёд, цитрус или нейтральная жировая основа</x:v>
      </x:c>
      <x:c r="X365" s="28" t="str">
        <x:v>напиток, соус, десерт или горячее блюдо после пробной дегустации</x:v>
      </x:c>
      <x:c r="Y365" s="28" t="str">
        <x:v>напитки; еда; десерты; соусы/маринады</x:v>
      </x:c>
      <x:c r="Z365" s="28" t="str">
        <x:v>Средняя</x:v>
      </x:c>
      <x:c r="AA365" s="28" t="str">
        <x:v>The Art &amp; Science of Foodpairing.pdf</x:v>
      </x:c>
      <x:c r="AB365" s="28" t="str">
        <x:v>The Art &amp; Science of Foodpairing.pdf: 260–261</x:v>
      </x:c>
      <x:c r="AC365" s="28" t="str">
        <x:v>Ingredient pairings with peach and nectarine: tarragon.</x:v>
      </x:c>
      <x:c r="AD365" s="28" t="n">
        <x:v>1</x:v>
      </x:c>
      <x:c r="AE365" s="28" t="n">
        <x:v>1</x:v>
      </x:c>
      <x:c r="AF365" s="28" t="n">
        <x:f>IF(Z365="Высокая",3,IF(Z365="Средняя",2,1))+AD365*2+MIN(AE365,3)</x:f>
        <x:v>5</x:v>
      </x:c>
    </x:row>
    <x:row r="366" ht="62" customHeight="1">
      <x:c r="A366" s="28" t="str">
        <x:v>STN-0365</x:v>
      </x:c>
      <x:c r="B366" s="28" t="str">
        <x:v>слива</x:v>
      </x:c>
      <x:c r="C366" s="28" t="str">
        <x:v>Универсальные</x:v>
      </x:c>
      <x:c r="D366" s="28" t="str">
        <x:v>слива</x:v>
      </x:c>
      <x:c r="E366" s="28" t="str">
        <x:v>plum</x:v>
      </x:c>
      <x:c r="F366" s="28" t="str">
        <x:v>Косточковые фрукты</x:v>
      </x:c>
      <x:c r="G366" s="28" t="str">
        <x:v>авокадо</x:v>
      </x:c>
      <x:c r="H366" s="28" t="str">
        <x:v>Авокадо</x:v>
      </x:c>
      <x:c r="I366" s="28" t="str">
        <x:v>Тропические фрукты и жирные матрицы</x:v>
      </x:c>
      <x:c r="J366" s="28" t="str">
        <x:v>винно-фруктовый, цветочный, зелёный, пряный, миндальный; от свежего до тёмно-джемового</x:v>
      </x:c>
      <x:c r="K366" s="28" t="str">
        <x:v>зелёный, травянистый, ореховый, маслянистый и слегка грибной</x:v>
      </x:c>
      <x:c r="L366" s="28" t="str">
        <x:v>фруктовые эфиры, γ- и δ-лактоны, бензальдегид, линалоол, C6-альдегиды, дамасконы</x:v>
      </x:c>
      <x:c r="M366" s="28" t="str">
        <x:v>гексаналь, (E)-2-гексеналь, 1-гексен-3-он, спирты и продукты окисления липидов</x:v>
      </x:c>
      <x:c r="N366" s="28" t="str">
        <x:v>зелёный</x:v>
      </x:c>
      <x:c r="O366" s="28" t="str">
        <x:v>надёжный единичный общий маркер не подтверждён; механизм не сводится к одной молекуле</x:v>
      </x:c>
      <x:c r="P366" s="28" t="str">
        <x:v>комплементарность ароматических семейств, вкусовой контраст и матричный эффект</x:v>
      </x:c>
      <x:c r="Q366" s="28" t="str">
        <x:v>Базовый фрукт даёт: сладость и заметная яблочно-лимонная кислотность; кожица часто терпкая. Партнёр добавляет: мягкий, жирный, почти несладкий; лёгкая растительная горечь. Баланс корректируется сахаром, кислотой, солью и горечью.</x:v>
      </x:c>
      <x:c r="R366" s="28" t="str">
        <x:v>слабый; кислота и полифенолы создают освежающе-вяжущий эффект; партнёр: кислотное покалывание зависит от плода; специальные эффекты указаны в паспорте</x:v>
      </x:c>
      <x:c r="S366" s="28" t="str">
        <x:v>сочная пектиновая мякоть; кожица богата полифенолами; аромат хорошо работает в воде, сахаре и этаноле. Партнёр: высокожировая эмульсия; хорошо растворяет гидрофобные ароматические молекулы.</x:v>
      </x:c>
      <x:c r="T36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U36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Общие ароматические направления: зелёный. Базовый фрукт даёт: сладость и заметная яблочно-лимонная кислотность; кожица часто терпкая. Партнёр добавляет: мягкий, жирный, почти несладкий; лёгкая растительная горечь.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высокожировая эмульсия; хорошо растворяет гидрофобные ароматические молекулы.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V366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66" s="28" t="str">
        <x:v>мёд, цитрус или нейтральная жировая основа</x:v>
      </x:c>
      <x:c r="X366" s="28" t="str">
        <x:v>напиток, соус, десерт или горячее блюдо после пробной дегустации</x:v>
      </x:c>
      <x:c r="Y366" s="28" t="str">
        <x:v>напитки; еда; десерты; соусы/маринады</x:v>
      </x:c>
      <x:c r="Z366" s="28" t="str">
        <x:v>Гипотеза / практическая</x:v>
      </x:c>
      <x:c r="AA366" s="28" t="str">
        <x:v>Таблица сочетания(1).pdf</x:v>
      </x:c>
      <x:c r="AB366" s="28" t="str">
        <x:v>Таблица сочетания(1).pdf: Таблица сочетаний: 2 | Таблица сочетания(1).pdf: 2</x:v>
      </x:c>
      <x:c r="AC366" s="28" t="str">
        <x:v>Таблица сочетаний: В строке «Авокадо» ингредиент «слива» указан как рекомендуемое сочетание в колонке «Фрукты». Пара указана в строке «Авокадо»: «слива» находится в колонке «Фрукты».</x:v>
      </x:c>
      <x:c r="AD366" s="28" t="n">
        <x:v>1</x:v>
      </x:c>
      <x:c r="AE366" s="28" t="n">
        <x:v>2</x:v>
      </x:c>
      <x:c r="AF366" s="28" t="n">
        <x:f>IF(Z366="Высокая",3,IF(Z366="Средняя",2,1))+AD366*2+MIN(AE366,3)</x:f>
        <x:v>5</x:v>
      </x:c>
    </x:row>
    <x:row r="367" ht="62" customHeight="1">
      <x:c r="A367" s="28" t="str">
        <x:v>STN-0366</x:v>
      </x:c>
      <x:c r="B367" s="28" t="str">
        <x:v>слива</x:v>
      </x:c>
      <x:c r="C367" s="28" t="str">
        <x:v>Универсальные</x:v>
      </x:c>
      <x:c r="D367" s="28" t="str">
        <x:v>слива</x:v>
      </x:c>
      <x:c r="E367" s="28" t="str">
        <x:v>plum</x:v>
      </x:c>
      <x:c r="F367" s="28" t="str">
        <x:v>Косточковые фрукты</x:v>
      </x:c>
      <x:c r="G367" s="28" t="str">
        <x:v>анис</x:v>
      </x:c>
      <x:c r="H367" s="28" t="str">
        <x:v>анис</x:v>
      </x:c>
      <x:c r="I367" s="28" t="str">
        <x:v>Специи и острые компоненты</x:v>
      </x:c>
      <x:c r="J367" s="28" t="str">
        <x:v>винно-фруктовый, цветочный, зелёный, пряный, миндальный; от свежего до тёмно-джемового</x:v>
      </x:c>
      <x:c r="K367" s="28" t="str">
        <x:v>сладкий лакричный и пряный</x:v>
      </x:c>
      <x:c r="L367" s="28" t="str">
        <x:v>фруктовые эфиры, γ- и δ-лактоны, бензальдегид, линалоол, C6-альдегиды, дамасконы</x:v>
      </x:c>
      <x:c r="M367" s="28" t="str">
        <x:v>анетол</x:v>
      </x:c>
      <x:c r="N367" s="28" t="str">
        <x:v>пряный</x:v>
      </x:c>
      <x:c r="O367" s="28" t="str">
        <x:v>надёжный единичный общий маркер не подтверждён; механизм не сводится к одной молекуле</x:v>
      </x:c>
      <x:c r="P367" s="28" t="str">
        <x:v>комплементарность ароматических семейств, вкусовой контраст и матричный эффект</x:v>
      </x:c>
      <x:c r="Q367" s="28" t="str">
        <x:v>Сладость и кислота фрукта смягчают остроту и горечь специи, а пряный компонент удлиняет ароматическое послевкусие.</x:v>
      </x:c>
      <x:c r="R367" s="28" t="str">
        <x:v>слабый; кислота и полифенолы создают освежающе-вяжущий эффект; партнёр: капсаицин, пиперин, гингеролы и камфорные терпены создают жжение, тепло или охлаждение</x:v>
      </x:c>
      <x:c r="S367" s="28" t="str">
        <x:v>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</x:v>
      </x:c>
      <x:c r="T367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36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Анис относится к группе «Специи и острые компоненты» и даёт профиль «сладкий лакричный и пряный»; типичные соединения или классы: анетол.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367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W367" s="28" t="str">
        <x:v>мёд, цитрус или миндаль</x:v>
      </x:c>
      <x:c r="X367" s="28" t="str">
        <x:v>напиток, соус, десерт или горячее блюдо после пробной дегустации</x:v>
      </x:c>
      <x:c r="Y367" s="28" t="str">
        <x:v>напитки; еда; десерты; соусы/маринады</x:v>
      </x:c>
      <x:c r="Z367" s="28" t="str">
        <x:v>Гипотеза / практическая</x:v>
      </x:c>
      <x:c r="AA367" s="28" t="str">
        <x:v>Таблица сочетания(1).pdf</x:v>
      </x:c>
      <x:c r="AB367" s="28" t="str">
        <x:v>Таблица сочетания(1).pdf: 17</x:v>
      </x:c>
      <x:c r="AC367" s="28" t="str">
        <x:v>Пара указана в строке «Слива» → колонка «Травы и специи».</x:v>
      </x:c>
      <x:c r="AD367" s="28" t="n">
        <x:v>1</x:v>
      </x:c>
      <x:c r="AE367" s="28" t="n">
        <x:v>1</x:v>
      </x:c>
      <x:c r="AF367" s="28" t="n">
        <x:f>IF(Z367="Высокая",3,IF(Z367="Средняя",2,1))+AD367*2+MIN(AE367,3)</x:f>
        <x:v>4</x:v>
      </x:c>
    </x:row>
    <x:row r="368" ht="62" customHeight="1">
      <x:c r="A368" s="28" t="str">
        <x:v>STN-0367</x:v>
      </x:c>
      <x:c r="B368" s="28" t="str">
        <x:v>слива</x:v>
      </x:c>
      <x:c r="C368" s="28" t="str">
        <x:v>Десерты и выпечка</x:v>
      </x:c>
      <x:c r="D368" s="28" t="str">
        <x:v>слива</x:v>
      </x:c>
      <x:c r="E368" s="28" t="str">
        <x:v>plum</x:v>
      </x:c>
      <x:c r="F368" s="28" t="str">
        <x:v>Косточковые фрукты</x:v>
      </x:c>
      <x:c r="G368" s="28" t="str">
        <x:v>апельсин</x:v>
      </x:c>
      <x:c r="H368" s="28" t="str">
        <x:v>Orange</x:v>
      </x:c>
      <x:c r="I368" s="28" t="str">
        <x:v>Цитрусовые</x:v>
      </x:c>
      <x:c r="J368" s="28" t="str">
        <x:v>винно-фруктовый, цветочный, зелёный, пряный, миндальный; от свежего до тёмно-джемового</x:v>
      </x:c>
      <x:c r="K368" s="28" t="str">
        <x:v>сладкий цитрусовый и цветочный</x:v>
      </x:c>
      <x:c r="L368" s="28" t="str">
        <x:v>фруктовые эфиры, γ- и δ-лактоны, бензальдегид, линалоол, C6-альдегиды, дамасконы</x:v>
      </x:c>
      <x:c r="M368" s="28" t="str">
        <x:v>лимонен, линалоол, деканаль</x:v>
      </x:c>
      <x:c r="N368" s="28" t="str">
        <x:v>цветочный</x:v>
      </x:c>
      <x:c r="O368" s="28" t="str">
        <x:v>линалоол</x:v>
      </x:c>
      <x:c r="P368" s="28" t="str">
        <x:v>прямое или классовое перекрытие характерных одорантов + вкусовой баланс</x:v>
      </x:c>
      <x:c r="Q368" s="28" t="str">
        <x:v>Близкие фруктовые эфиры создают непрерывность, а различия в кислотности, терпкости и сладости формируют контраст.</x:v>
      </x:c>
      <x:c r="R368" s="28" t="str">
        <x:v>слабый; кислота и полифенолы создают освежающе-вяжущий эффект; партнёр: кислота даёт покалывание и ощущение свежести</x:v>
      </x:c>
      <x:c r="S368" s="28" t="str">
        <x:v>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</x:v>
      </x:c>
      <x:c r="T368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36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368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68" s="28" t="str">
        <x:v>ваниль, мёд или розмарин</x:v>
      </x:c>
      <x:c r="X368" s="28" t="str">
        <x:v>сорбет, салат, джем, кордиал, лимонад, коктейль или фруктовый соус</x:v>
      </x:c>
      <x:c r="Y368" s="28" t="str">
        <x:v>напитки; десерты; соусы/маринады</x:v>
      </x:c>
      <x:c r="Z368" s="28" t="str">
        <x:v>Средняя</x:v>
      </x:c>
      <x:c r="AA368" s="28" t="str">
        <x:v>The Art &amp; Science of Foodpairing.pdf</x:v>
      </x:c>
      <x:c r="AB368" s="28" t="str">
        <x:v>The Art &amp; Science of Foodpairing.pdf: 237</x:v>
      </x:c>
      <x:c r="AC368" s="28" t="str">
        <x:v>Ингредиент «hog plum» указан на странице профиля/сетки сочетаний «Orange».</x:v>
      </x:c>
      <x:c r="AD368" s="28" t="n">
        <x:v>1</x:v>
      </x:c>
      <x:c r="AE368" s="28" t="n">
        <x:v>1</x:v>
      </x:c>
      <x:c r="AF368" s="28" t="n">
        <x:f>IF(Z368="Высокая",3,IF(Z368="Средняя",2,1))+AD368*2+MIN(AE368,3)</x:f>
        <x:v>5</x:v>
      </x:c>
    </x:row>
    <x:row r="369" ht="62" customHeight="1">
      <x:c r="A369" s="28" t="str">
        <x:v>STN-0368</x:v>
      </x:c>
      <x:c r="B369" s="28" t="str">
        <x:v>слива</x:v>
      </x:c>
      <x:c r="C369" s="28" t="str">
        <x:v>Универсальные</x:v>
      </x:c>
      <x:c r="D369" s="28" t="str">
        <x:v>слива</x:v>
      </x:c>
      <x:c r="E369" s="28" t="str">
        <x:v>plum</x:v>
      </x:c>
      <x:c r="F369" s="28" t="str">
        <x:v>Косточковые фрукты</x:v>
      </x:c>
      <x:c r="G369" s="28" t="str">
        <x:v>бадьян</x:v>
      </x:c>
      <x:c r="H369" s="28" t="str">
        <x:v>Бадьян</x:v>
      </x:c>
      <x:c r="I369" s="28" t="str">
        <x:v>Специи и острые компоненты</x:v>
      </x:c>
      <x:c r="J369" s="28" t="str">
        <x:v>винно-фруктовый, цветочный, зелёный, пряный, миндальный; от свежего до тёмно-джемового</x:v>
      </x:c>
      <x:c r="K369" s="28" t="str">
        <x:v>пряный, древесный, тёплый, цитрусовый или анисовый</x:v>
      </x:c>
      <x:c r="L369" s="28" t="str">
        <x:v>фруктовые эфиры, γ- и δ-лактоны, бензальдегид, линалоол, C6-альдегиды, дамасконы</x:v>
      </x:c>
      <x:c r="M369" s="28" t="str">
        <x:v>эвгенол, коричный альдегид, анетол, терпинилацетат</x:v>
      </x:c>
      <x:c r="N369" s="28" t="str">
        <x:v>пряный</x:v>
      </x:c>
      <x:c r="O369" s="28" t="str">
        <x:v>надёжный единичный общий маркер не подтверждён; механизм не сводится к одной молекуле</x:v>
      </x:c>
      <x:c r="P369" s="28" t="str">
        <x:v>комплементарность ароматических семейств, вкусовой контраст и матричный эффект</x:v>
      </x:c>
      <x:c r="Q369" s="28" t="str">
        <x:v>Сладость и кислота фрукта смягчают остроту и горечь специи, а пряный компонент удлиняет ароматическое послевкусие.</x:v>
      </x:c>
      <x:c r="R369" s="28" t="str">
        <x:v>слабый; кислота и полифенолы создают освежающе-вяжущий эффект; партнёр: капсаицин, пиперин, гингеролы и камфорные терпены создают жжение, тепло или охлаждение</x:v>
      </x:c>
      <x:c r="S369" s="28" t="str">
        <x:v>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</x:v>
      </x:c>
      <x:c r="T369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36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Бадьян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369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W369" s="28" t="str">
        <x:v>мёд, цитрус или миндаль</x:v>
      </x:c>
      <x:c r="X369" s="28" t="str">
        <x:v>напиток, соус, десерт или горячее блюдо после пробной дегустации</x:v>
      </x:c>
      <x:c r="Y369" s="28" t="str">
        <x:v>напитки; еда; десерты; соусы/маринады</x:v>
      </x:c>
      <x:c r="Z369" s="28" t="str">
        <x:v>Гипотеза / практическая</x:v>
      </x:c>
      <x:c r="AA369" s="28" t="str">
        <x:v>Таблица сочетания(1).pdf</x:v>
      </x:c>
      <x:c r="AB369" s="28" t="str">
        <x:v>Таблица сочетания(1).pdf: 20</x:v>
      </x:c>
      <x:c r="AC369" s="28" t="str">
        <x:v>Пара указана в строке «Бадьян»: «слива» находится в колонке «Фрукты».</x:v>
      </x:c>
      <x:c r="AD369" s="28" t="n">
        <x:v>1</x:v>
      </x:c>
      <x:c r="AE369" s="28" t="n">
        <x:v>1</x:v>
      </x:c>
      <x:c r="AF369" s="28" t="n">
        <x:f>IF(Z369="Высокая",3,IF(Z369="Средняя",2,1))+AD369*2+MIN(AE369,3)</x:f>
        <x:v>4</x:v>
      </x:c>
    </x:row>
    <x:row r="370" ht="62" customHeight="1">
      <x:c r="A370" s="28" t="str">
        <x:v>STN-0369</x:v>
      </x:c>
      <x:c r="B370" s="28" t="str">
        <x:v>слива</x:v>
      </x:c>
      <x:c r="C370" s="28" t="str">
        <x:v>Универсальные</x:v>
      </x:c>
      <x:c r="D370" s="28" t="str">
        <x:v>слива</x:v>
      </x:c>
      <x:c r="E370" s="28" t="str">
        <x:v>plum</x:v>
      </x:c>
      <x:c r="F370" s="28" t="str">
        <x:v>Косточковые фрукты</x:v>
      </x:c>
      <x:c r="G370" s="28" t="str">
        <x:v>базилик</x:v>
      </x:c>
      <x:c r="H370" s="28" t="str">
        <x:v>базилик</x:v>
      </x:c>
      <x:c r="I370" s="28" t="str">
        <x:v>Травы и цветы</x:v>
      </x:c>
      <x:c r="J370" s="28" t="str">
        <x:v>винно-фруктовый, цветочный, зелёный, пряный, миндальный; от свежего до тёмно-джемового</x:v>
      </x:c>
      <x:c r="K370" s="28" t="str">
        <x:v>зелёный, цветочный и пряный</x:v>
      </x:c>
      <x:c r="L370" s="28" t="str">
        <x:v>фруктовые эфиры, γ- и δ-лактоны, бензальдегид, линалоол, C6-альдегиды, дамасконы</x:v>
      </x:c>
      <x:c r="M370" s="28" t="str">
        <x:v>линалоол, эвгенол, метилхавикол</x:v>
      </x:c>
      <x:c r="N370" s="28" t="str">
        <x:v>цветочный, зелёный, пряный</x:v>
      </x:c>
      <x:c r="O370" s="28" t="str">
        <x:v>линалоол</x:v>
      </x:c>
      <x:c r="P370" s="28" t="str">
        <x:v>прямое или классовое перекрытие характерных одорантов + вкусовой баланс</x:v>
      </x:c>
      <x:c r="Q370" s="28" t="str">
        <x:v>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370" s="28" t="str">
        <x:v>слабый; кислота и полифенолы создают освежающе-вяжущий эффект; партнёр: у мяты возможен холодящий эффект ментола; у некоторых трав — камфорность</x:v>
      </x:c>
      <x:c r="S370" s="28" t="str">
        <x:v>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</x:v>
      </x:c>
      <x:c r="T370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37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В рабочих профилях пересекаются: линалоол. Общие ароматические направления: цветочный, зелёный, пряный. 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370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70" s="28" t="str">
        <x:v>мёд, цитрус или нейтральная жировая основа</x:v>
      </x:c>
      <x:c r="X370" s="28" t="str">
        <x:v>напиток, соус, десерт или горячее блюдо после пробной дегустации</x:v>
      </x:c>
      <x:c r="Y370" s="28" t="str">
        <x:v>напитки; еда; десерты; соусы/маринады</x:v>
      </x:c>
      <x:c r="Z370" s="28" t="str">
        <x:v>Гипотеза / практическая</x:v>
      </x:c>
      <x:c r="AA370" s="28" t="str">
        <x:v>Таблица сочетания(1).pdf</x:v>
      </x:c>
      <x:c r="AB370" s="28" t="str">
        <x:v>Таблица сочетания(1).pdf: 17</x:v>
      </x:c>
      <x:c r="AC370" s="28" t="str">
        <x:v>Пара указана в строке «Слива» → колонка «Травы и специи».</x:v>
      </x:c>
      <x:c r="AD370" s="28" t="n">
        <x:v>1</x:v>
      </x:c>
      <x:c r="AE370" s="28" t="n">
        <x:v>1</x:v>
      </x:c>
      <x:c r="AF370" s="28" t="n">
        <x:f>IF(Z370="Высокая",3,IF(Z370="Средняя",2,1))+AD370*2+MIN(AE370,3)</x:f>
        <x:v>4</x:v>
      </x:c>
    </x:row>
    <x:row r="371" ht="62" customHeight="1">
      <x:c r="A371" s="28" t="str">
        <x:v>STN-0370</x:v>
      </x:c>
      <x:c r="B371" s="28" t="str">
        <x:v>слива</x:v>
      </x:c>
      <x:c r="C371" s="28" t="str">
        <x:v>Универсальные</x:v>
      </x:c>
      <x:c r="D371" s="28" t="str">
        <x:v>слива</x:v>
      </x:c>
      <x:c r="E371" s="28" t="str">
        <x:v>plum</x:v>
      </x:c>
      <x:c r="F371" s="28" t="str">
        <x:v>Косточковые фрукты</x:v>
      </x:c>
      <x:c r="G371" s="28" t="str">
        <x:v>ваниль</x:v>
      </x:c>
      <x:c r="H371" s="28" t="str">
        <x:v>ваниль</x:v>
      </x:c>
      <x:c r="I371" s="28" t="str">
        <x:v>Специи и острые компоненты</x:v>
      </x:c>
      <x:c r="J371" s="28" t="str">
        <x:v>винно-фруктовый, цветочный, зелёный, пряный, миндальный; от свежего до тёмно-джемового</x:v>
      </x:c>
      <x:c r="K371" s="28" t="str">
        <x:v>сладкий, сливочный и древесный</x:v>
      </x:c>
      <x:c r="L371" s="28" t="str">
        <x:v>фруктовые эфиры, γ- и δ-лактоны, бензальдегид, линалоол, C6-альдегиды, дамасконы</x:v>
      </x:c>
      <x:c r="M371" s="28" t="str">
        <x:v>ванилин, п-гидроксибензальдегид</x:v>
      </x:c>
      <x:c r="N371" s="28" t="str">
        <x:v>прямое семейное перекрытие не является главным механизмом</x:v>
      </x:c>
      <x:c r="O371" s="28" t="str">
        <x:v>бензальдегид</x:v>
      </x:c>
      <x:c r="P371" s="28" t="str">
        <x:v>прямое или классовое перекрытие характерных одорантов + вкусовой баланс</x:v>
      </x:c>
      <x:c r="Q371" s="28" t="str">
        <x:v>Сладость и кислота фрукта смягчают остроту и горечь специи, а пряный компонент удлиняет ароматическое послевкусие.</x:v>
      </x:c>
      <x:c r="R371" s="28" t="str">
        <x:v>слабый; кислота и полифенолы создают освежающе-вяжущий эффект; партнёр: капсаицин, пиперин, гингеролы и камфорные терпены создают жжение, тепло или охлаждение</x:v>
      </x:c>
      <x:c r="S371" s="28" t="str">
        <x:v>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</x:v>
      </x:c>
      <x:c r="T371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37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Ваниль относится к группе «Специи и острые компоненты» и даёт профиль «сладкий, сливочный и древесный»; типичные соединения или классы: ванилин, п-гидроксибензальдегид. В рабочих профилях пересекаются: бензальдегид.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371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W371" s="28" t="str">
        <x:v>мёд, цитрус или миндаль</x:v>
      </x:c>
      <x:c r="X371" s="28" t="str">
        <x:v>напиток, соус, десерт или горячее блюдо после пробной дегустации</x:v>
      </x:c>
      <x:c r="Y371" s="28" t="str">
        <x:v>напитки; еда; десерты; соусы/маринады</x:v>
      </x:c>
      <x:c r="Z371" s="28" t="str">
        <x:v>Гипотеза / практическая</x:v>
      </x:c>
      <x:c r="AA371" s="28" t="str">
        <x:v>Таблица сочетания(1).pdf</x:v>
      </x:c>
      <x:c r="AB371" s="28" t="str">
        <x:v>Таблица сочетания(1).pdf: 17</x:v>
      </x:c>
      <x:c r="AC371" s="28" t="str">
        <x:v>Пара указана в строке «Слива» → колонка «Другое».</x:v>
      </x:c>
      <x:c r="AD371" s="28" t="n">
        <x:v>1</x:v>
      </x:c>
      <x:c r="AE371" s="28" t="n">
        <x:v>1</x:v>
      </x:c>
      <x:c r="AF371" s="28" t="n">
        <x:f>IF(Z371="Высокая",3,IF(Z371="Средняя",2,1))+AD371*2+MIN(AE371,3)</x:f>
        <x:v>4</x:v>
      </x:c>
    </x:row>
    <x:row r="372" ht="62" customHeight="1">
      <x:c r="A372" s="28" t="str">
        <x:v>STN-0371</x:v>
      </x:c>
      <x:c r="B372" s="28" t="str">
        <x:v>слива</x:v>
      </x:c>
      <x:c r="C372" s="28" t="str">
        <x:v>Универсальные</x:v>
      </x:c>
      <x:c r="D372" s="28" t="str">
        <x:v>слива</x:v>
      </x:c>
      <x:c r="E372" s="28" t="str">
        <x:v>plum</x:v>
      </x:c>
      <x:c r="F372" s="28" t="str">
        <x:v>Косточковые фрукты</x:v>
      </x:c>
      <x:c r="G372" s="28" t="str">
        <x:v>вишня</x:v>
      </x:c>
      <x:c r="H372" s="28" t="str">
        <x:v>Вишня | вишня</x:v>
      </x:c>
      <x:c r="I372" s="28" t="str">
        <x:v>Косточковые фрукты</x:v>
      </x:c>
      <x:c r="J372" s="28" t="str">
        <x:v>винно-фруктовый, цветочный, зелёный, пряный, миндальный; от свежего до тёмно-джемового</x:v>
      </x:c>
      <x:c r="K372" s="28" t="str">
        <x:v>цветочный, фруктовый, миндальный и сливочно-лактонный</x:v>
      </x:c>
      <x:c r="L372" s="28" t="str">
        <x:v>фруктовые эфиры, γ- и δ-лактоны, бензальдегид, линалоол, C6-альдегиды, дамасконы</x:v>
      </x:c>
      <x:c r="M372" s="28" t="str">
        <x:v>лактоны, бензальдегид, эфиры, линалоол</x:v>
      </x:c>
      <x:c r="N372" s="28" t="str">
        <x:v>цветочный, фруктовый, миндальный</x:v>
      </x:c>
      <x:c r="O372" s="28" t="str">
        <x:v>бензальдегид, линалоол, эфиры</x:v>
      </x:c>
      <x:c r="P372" s="28" t="str">
        <x:v>прямое или классовое перекрытие характерных одорантов + вкусовой баланс</x:v>
      </x:c>
      <x:c r="Q372" s="28" t="str">
        <x:v>Базовый фрукт даёт: сладость и заметная яблочно-лимонная кислотность; кожица часто терпкая. Партнёр добавляет: сладость и умеренная кислотность. Баланс корректируется сахаром, кислотой, солью и горечью.</x:v>
      </x:c>
      <x:c r="R372" s="28" t="str">
        <x:v>слабый; кислота и полифенолы создают освежающе-вяжущий эффект; партнёр: слабый</x:v>
      </x:c>
      <x:c r="S372" s="28" t="str">
        <x:v>сочная пектиновая мякоть; кожица богата полифенолами; аромат хорошо работает в воде, сахаре и этаноле. Партнёр: пектиновая; кожица и косточка могут давать терпкость и миндальные ноты.</x:v>
      </x:c>
      <x:c r="T37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U37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линалоол, эфиры. Общие ароматические направления: цветочный, фруктовый, миндальный. Базовый фрукт даёт: сладость и заметная яблочно-лимонная кислотность; кожица часто терпкая. Партнёр добавляет: сладость и умеренная кислотность.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пектиновая; кожица и косточка могут давать терпкость и миндальные ноты.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V372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72" s="28" t="str">
        <x:v>мёд, цитрус или нейтральная жировая основа</x:v>
      </x:c>
      <x:c r="X372" s="28" t="str">
        <x:v>напиток, соус, десерт или горячее блюдо после пробной дегустации</x:v>
      </x:c>
      <x:c r="Y372" s="28" t="str">
        <x:v>напитки; еда; десерты; соусы/маринады</x:v>
      </x:c>
      <x:c r="Z372" s="28" t="str">
        <x:v>Гипотеза / практическая</x:v>
      </x:c>
      <x:c r="AA372" s="28" t="str">
        <x:v>Таблица сочетания(1).pdf</x:v>
      </x:c>
      <x:c r="AB372" s="28" t="str">
        <x:v>Таблица сочетания(1).pdf: Таблица сочетаний: 4, 17 | Таблица сочетания(1).pdf: 4 | Таблица сочетания(1).pdf: 17</x:v>
      </x:c>
      <x:c r="AC372" s="28" t="str">
        <x:v>Вишня: слива | Слива: вишня Пара указана в строке «Вишня»: «слива» находится в колонке «Фрукты». Пара указана в строке «Слива» → колонка «Фрукты».</x:v>
      </x:c>
      <x:c r="AD372" s="28" t="n">
        <x:v>1</x:v>
      </x:c>
      <x:c r="AE372" s="28" t="n">
        <x:v>3</x:v>
      </x:c>
      <x:c r="AF372" s="28" t="n">
        <x:f>IF(Z372="Высокая",3,IF(Z372="Средняя",2,1))+AD372*2+MIN(AE372,3)</x:f>
        <x:v>6</x:v>
      </x:c>
    </x:row>
    <x:row r="373" ht="62" customHeight="1">
      <x:c r="A373" s="28" t="str">
        <x:v>STN-0372</x:v>
      </x:c>
      <x:c r="B373" s="28" t="str">
        <x:v>слива</x:v>
      </x:c>
      <x:c r="C373" s="28" t="str">
        <x:v>Десерты и выпечка</x:v>
      </x:c>
      <x:c r="D373" s="28" t="str">
        <x:v>слива</x:v>
      </x:c>
      <x:c r="E373" s="28" t="str">
        <x:v>plum</x:v>
      </x:c>
      <x:c r="F373" s="28" t="str">
        <x:v>Косточковые фрукты</x:v>
      </x:c>
      <x:c r="G373" s="28" t="str">
        <x:v>грейпфрут</x:v>
      </x:c>
      <x:c r="H373" s="28" t="str">
        <x:v>Grapefruit</x:v>
      </x:c>
      <x:c r="I373" s="28" t="str">
        <x:v>Цитрусовые</x:v>
      </x:c>
      <x:c r="J373" s="28" t="str">
        <x:v>винно-фруктовый, цветочный, зелёный, пряный, миндальный; от свежего до тёмно-джемового</x:v>
      </x:c>
      <x:c r="K373" s="28" t="str">
        <x:v>цитрусовый, свежий, зелёный и цветочный</x:v>
      </x:c>
      <x:c r="L373" s="28" t="str">
        <x:v>фруктовые эфиры, γ- и δ-лактоны, бензальдегид, линалоол, C6-альдегиды, дамасконы</x:v>
      </x:c>
      <x:c r="M373" s="28" t="str">
        <x:v>лимонен, цитраль, линалоол, γ-терпинен</x:v>
      </x:c>
      <x:c r="N373" s="28" t="str">
        <x:v>цветочный, зелёный</x:v>
      </x:c>
      <x:c r="O373" s="28" t="str">
        <x:v>линалоол</x:v>
      </x:c>
      <x:c r="P373" s="28" t="str">
        <x:v>прямое или классовое перекрытие характерных одорантов + вкусовой баланс</x:v>
      </x:c>
      <x:c r="Q373" s="28" t="str">
        <x:v>Близкие фруктовые эфиры создают непрерывность, а различия в кислотности, терпкости и сладости формируют контраст.</x:v>
      </x:c>
      <x:c r="R373" s="28" t="str">
        <x:v>слабый; кислота и полифенолы создают освежающе-вяжущий эффект; партнёр: кислота даёт покалывание и ощущение свежести</x:v>
      </x:c>
      <x:c r="S373" s="28" t="str">
        <x:v>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</x:v>
      </x:c>
      <x:c r="T373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37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Грейпфрут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373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73" s="28" t="str">
        <x:v>ваниль, мёд или розмарин</x:v>
      </x:c>
      <x:c r="X373" s="28" t="str">
        <x:v>сорбет, салат, джем, кордиал, лимонад, коктейль или фруктовый соус</x:v>
      </x:c>
      <x:c r="Y373" s="28" t="str">
        <x:v>напитки; десерты; соусы/маринады</x:v>
      </x:c>
      <x:c r="Z373" s="28" t="str">
        <x:v>Средняя</x:v>
      </x:c>
      <x:c r="AA373" s="28" t="str">
        <x:v>The Art &amp; Science of Foodpairing.pdf</x:v>
      </x:c>
      <x:c r="AB373" s="28" t="str">
        <x:v>The Art &amp; Science of Foodpairing.pdf: 359</x:v>
      </x:c>
      <x:c r="AC373" s="28" t="str">
        <x:v>Ингредиент «hog plum» указан на странице профиля/сетки сочетаний «Grapefruit».</x:v>
      </x:c>
      <x:c r="AD373" s="28" t="n">
        <x:v>1</x:v>
      </x:c>
      <x:c r="AE373" s="28" t="n">
        <x:v>1</x:v>
      </x:c>
      <x:c r="AF373" s="28" t="n">
        <x:f>IF(Z373="Высокая",3,IF(Z373="Средняя",2,1))+AD373*2+MIN(AE373,3)</x:f>
        <x:v>5</x:v>
      </x:c>
    </x:row>
    <x:row r="374" ht="62" customHeight="1">
      <x:c r="A374" s="28" t="str">
        <x:v>STN-0373</x:v>
      </x:c>
      <x:c r="B374" s="28" t="str">
        <x:v>слива</x:v>
      </x:c>
      <x:c r="C374" s="28" t="str">
        <x:v>Десерты и выпечка</x:v>
      </x:c>
      <x:c r="D374" s="28" t="str">
        <x:v>слива</x:v>
      </x:c>
      <x:c r="E374" s="28" t="str">
        <x:v>plum</x:v>
      </x:c>
      <x:c r="F374" s="28" t="str">
        <x:v>Косточковые фрукты</x:v>
      </x:c>
      <x:c r="G374" s="28" t="str">
        <x:v>грецкий орех</x:v>
      </x:c>
      <x:c r="H374" s="28" t="str">
        <x:v>грецкий орех</x:v>
      </x:c>
      <x:c r="I374" s="28" t="str">
        <x:v>Орехи и семена</x:v>
      </x:c>
      <x:c r="J374" s="28" t="str">
        <x:v>винно-фруктовый, цветочный, зелёный, пряный, миндальный; от свежего до тёмно-джемового</x:v>
      </x:c>
      <x:c r="K374" s="28" t="str">
        <x:v>ореховый, жареный, маслянистый и иногда миндальный</x:v>
      </x:c>
      <x:c r="L374" s="28" t="str">
        <x:v>фруктовые эфиры, γ- и δ-лактоны, бензальдегид, линалоол, C6-альдегиды, дамасконы</x:v>
      </x:c>
      <x:c r="M374" s="28" t="str">
        <x:v>пиразины, бензальдегид, филбертон, жирные альдегиды</x:v>
      </x:c>
      <x:c r="N374" s="28" t="str">
        <x:v>миндальный</x:v>
      </x:c>
      <x:c r="O374" s="28" t="str">
        <x:v>бензальдегид</x:v>
      </x:c>
      <x:c r="P374" s="28" t="str">
        <x:v>прямое или классовое перекрытие характерных одорантов + вкусовой баланс</x:v>
      </x:c>
      <x:c r="Q374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374" s="28" t="str">
        <x:v>слабый; кислота и полифенолы создают освежающе-вяжущий эффект; партнёр: обычно отсутствует</x:v>
      </x:c>
      <x:c r="S374" s="28" t="str">
        <x:v>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</x:v>
      </x:c>
      <x:c r="T374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37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Грецкий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374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W374" s="28" t="str">
        <x:v>ваниль, шоколад или корица</x:v>
      </x:c>
      <x:c r="X374" s="28" t="str">
        <x:v>тарт, крем, мороженое, выпечка, сырная подача или начинка</x:v>
      </x:c>
      <x:c r="Y374" s="28" t="str">
        <x:v>десерты; еда</x:v>
      </x:c>
      <x:c r="Z374" s="28" t="str">
        <x:v>Гипотеза / практическая</x:v>
      </x:c>
      <x:c r="AA374" s="28" t="str">
        <x:v>Таблица сочетания(1).pdf</x:v>
      </x:c>
      <x:c r="AB374" s="28" t="str">
        <x:v>Таблица сочетания(1).pdf: 17</x:v>
      </x:c>
      <x:c r="AC374" s="28" t="str">
        <x:v>Пара указана в строке «Слива» → колонка «Другое».</x:v>
      </x:c>
      <x:c r="AD374" s="28" t="n">
        <x:v>1</x:v>
      </x:c>
      <x:c r="AE374" s="28" t="n">
        <x:v>1</x:v>
      </x:c>
      <x:c r="AF374" s="28" t="n">
        <x:f>IF(Z374="Высокая",3,IF(Z374="Средняя",2,1))+AD374*2+MIN(AE374,3)</x:f>
        <x:v>4</x:v>
      </x:c>
    </x:row>
    <x:row r="375" ht="62" customHeight="1">
      <x:c r="A375" s="28" t="str">
        <x:v>STN-0374</x:v>
      </x:c>
      <x:c r="B375" s="28" t="str">
        <x:v>слива</x:v>
      </x:c>
      <x:c r="C375" s="28" t="str">
        <x:v>Универсальные</x:v>
      </x:c>
      <x:c r="D375" s="28" t="str">
        <x:v>слива</x:v>
      </x:c>
      <x:c r="E375" s="28" t="str">
        <x:v>plum</x:v>
      </x:c>
      <x:c r="F375" s="28" t="str">
        <x:v>Косточковые фрукты</x:v>
      </x:c>
      <x:c r="G375" s="28" t="str">
        <x:v>имбирь</x:v>
      </x:c>
      <x:c r="H375" s="28" t="str">
        <x:v>Имбирь | имбирь</x:v>
      </x:c>
      <x:c r="I375" s="28" t="str">
        <x:v>Специи и острые компоненты</x:v>
      </x:c>
      <x:c r="J375" s="28" t="str">
        <x:v>винно-фруктовый, цветочный, зелёный, пряный, миндальный; от свежего до тёмно-джемового</x:v>
      </x:c>
      <x:c r="K375" s="28" t="str">
        <x:v>цитрусово-пряный, древесный и свежий</x:v>
      </x:c>
      <x:c r="L375" s="28" t="str">
        <x:v>фруктовые эфиры, γ- и δ-лактоны, бензальдегид, линалоол, C6-альдегиды, дамасконы</x:v>
      </x:c>
      <x:c r="M375" s="28" t="str">
        <x:v>зингиберен, цитраль, гингеролы, шогаолы</x:v>
      </x:c>
      <x:c r="N375" s="28" t="str">
        <x:v>пряный</x:v>
      </x:c>
      <x:c r="O375" s="28" t="str">
        <x:v>надёжный единичный общий маркер не подтверждён; механизм не сводится к одной молекуле</x:v>
      </x:c>
      <x:c r="P375" s="28" t="str">
        <x:v>комплементарность ароматических семейств, вкусовой контраст и матричный эффект</x:v>
      </x:c>
      <x:c r="Q375" s="28" t="str">
        <x:v>Сладость и кислота фрукта смягчают остроту и горечь специи, а пряный компонент удлиняет ароматическое послевкусие.</x:v>
      </x:c>
      <x:c r="R375" s="28" t="str">
        <x:v>слабый; кислота и полифенолы создают освежающе-вяжущий эффект; партнёр: гингеролы и шогаолы создают тепло и жжение</x:v>
      </x:c>
      <x:c r="S375" s="28" t="str">
        <x:v>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</x:v>
      </x:c>
      <x:c r="T375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37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375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W375" s="28" t="str">
        <x:v>мёд, цитрус или миндаль</x:v>
      </x:c>
      <x:c r="X375" s="28" t="str">
        <x:v>напиток, соус, десерт или горячее блюдо после пробной дегустации</x:v>
      </x:c>
      <x:c r="Y375" s="28" t="str">
        <x:v>напитки; еда; десерты; соусы/маринады</x:v>
      </x:c>
      <x:c r="Z375" s="28" t="str">
        <x:v>Гипотеза / практическая</x:v>
      </x:c>
      <x:c r="AA375" s="28" t="str">
        <x:v>Таблица сочетания(1).pdf</x:v>
      </x:c>
      <x:c r="AB375" s="28" t="str">
        <x:v>Таблица сочетания(1).pdf: 8 | Таблица сочетания(1).pdf: 17</x:v>
      </x:c>
      <x:c r="AC375" s="28" t="str">
        <x:v>Пара указана в строке «Имбирь»: «слива» находится в колонке «Фрукты». Пара указана в строке «Слива» → колонка «Травы и специи».</x:v>
      </x:c>
      <x:c r="AD375" s="28" t="n">
        <x:v>1</x:v>
      </x:c>
      <x:c r="AE375" s="28" t="n">
        <x:v>2</x:v>
      </x:c>
      <x:c r="AF375" s="28" t="n">
        <x:f>IF(Z375="Высокая",3,IF(Z375="Средняя",2,1))+AD375*2+MIN(AE375,3)</x:f>
        <x:v>5</x:v>
      </x:c>
    </x:row>
    <x:row r="376" ht="62" customHeight="1">
      <x:c r="A376" s="28" t="str">
        <x:v>STN-0375</x:v>
      </x:c>
      <x:c r="B376" s="28" t="str">
        <x:v>слива</x:v>
      </x:c>
      <x:c r="C376" s="28" t="str">
        <x:v>Универсальные</x:v>
      </x:c>
      <x:c r="D376" s="28" t="str">
        <x:v>слива</x:v>
      </x:c>
      <x:c r="E376" s="28" t="str">
        <x:v>plum</x:v>
      </x:c>
      <x:c r="F376" s="28" t="str">
        <x:v>Косточковые фрукты</x:v>
      </x:c>
      <x:c r="G376" s="28" t="str">
        <x:v>инжир</x:v>
      </x:c>
      <x:c r="H376" s="28" t="str">
        <x:v>инжир</x:v>
      </x:c>
      <x:c r="I376" s="28" t="str">
        <x:v>Субтропические фрукты</x:v>
      </x:c>
      <x:c r="J376" s="28" t="str">
        <x:v>винно-фруктовый, цветочный, зелёный, пряный, миндальный; от свежего до тёмно-джемового</x:v>
      </x:c>
      <x:c r="K376" s="28" t="str">
        <x:v>медовый, зелёный, ягодный, цветочный, кокосово-лактонный</x:v>
      </x:c>
      <x:c r="L376" s="28" t="str">
        <x:v>фруктовые эфиры, γ- и δ-лактоны, бензальдегид, линалоол, C6-альдегиды, дамасконы</x:v>
      </x:c>
      <x:c r="M376" s="28" t="str">
        <x:v>бензальдегид, линалоол, фуранеол, лактоны и зелёные альдегиды</x:v>
      </x:c>
      <x:c r="N376" s="28" t="str">
        <x:v>цветочный, зелёный</x:v>
      </x:c>
      <x:c r="O376" s="28" t="str">
        <x:v>бензальдегид, линалоол</x:v>
      </x:c>
      <x:c r="P376" s="28" t="str">
        <x:v>прямое или классовое перекрытие характерных одорантов + вкусовой баланс</x:v>
      </x:c>
      <x:c r="Q376" s="28" t="str">
        <x:v>Базовый фрукт даёт: сладость и заметная яблочно-лимонная кислотность; кожица часто терпкая. Партнёр добавляет: высокая сладость, низкая кислотность; семена дают хруст. Баланс корректируется сахаром, кислотой, солью и горечью.</x:v>
      </x:c>
      <x:c r="R376" s="28" t="str">
        <x:v>слабый; кислота и полифенолы создают освежающе-вяжущий эффект; партнёр: кислотное покалывание зависит от плода; специальные эффекты указаны в паспорте</x:v>
      </x:c>
      <x:c r="S376" s="28" t="str">
        <x:v>сочная пектиновая мякоть; кожица богата полифенолами; аромат хорошо работает в воде, сахаре и этаноле. Партнёр: пектиновая и сахаристая; сушёный инжир концентрирует сахар, фенолы и карамельные ноты.</x:v>
      </x:c>
      <x:c r="T37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U37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бензальдегид, линалоол. Общие ароматические направления: цветочный, зелёный. Базовый фрукт даёт: сладость и заметная яблочно-лимонная кислотность; кожица часто терпкая. Партнёр добавляет: высокая сладость, низкая кислотность; семена дают хруст.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пектиновая и сахаристая; сушёный инжир концентрирует сахар, фенолы и карамельные ноты.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V376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76" s="28" t="str">
        <x:v>мёд, цитрус или нейтральная жировая основа</x:v>
      </x:c>
      <x:c r="X376" s="28" t="str">
        <x:v>напиток, соус, десерт или горячее блюдо после пробной дегустации</x:v>
      </x:c>
      <x:c r="Y376" s="28" t="str">
        <x:v>напитки; еда; десерты; соусы/маринады</x:v>
      </x:c>
      <x:c r="Z376" s="28" t="str">
        <x:v>Гипотеза / практическая</x:v>
      </x:c>
      <x:c r="AA376" s="28" t="str">
        <x:v>Таблица сочетания(1).pdf</x:v>
      </x:c>
      <x:c r="AB376" s="28" t="str">
        <x:v>Таблица сочетания(1).pdf: Таблица сочетаний: 17 | Таблица сочетания(1).pdf: 17</x:v>
      </x:c>
      <x:c r="AC376" s="28" t="str">
        <x:v>Таблица сочетаний: В строке «Слива» ингредиент «инжир» указан как рекомендуемое сочетание в колонке «Фрукты». Пара указана в строке «Слива» → колонка «Фрукты».</x:v>
      </x:c>
      <x:c r="AD376" s="28" t="n">
        <x:v>1</x:v>
      </x:c>
      <x:c r="AE376" s="28" t="n">
        <x:v>2</x:v>
      </x:c>
      <x:c r="AF376" s="28" t="n">
        <x:f>IF(Z376="Высокая",3,IF(Z376="Средняя",2,1))+AD376*2+MIN(AE376,3)</x:f>
        <x:v>5</x:v>
      </x:c>
    </x:row>
    <x:row r="377" ht="62" customHeight="1">
      <x:c r="A377" s="28" t="str">
        <x:v>STN-0376</x:v>
      </x:c>
      <x:c r="B377" s="28" t="str">
        <x:v>слива</x:v>
      </x:c>
      <x:c r="C377" s="28" t="str">
        <x:v>Еда и соусы</x:v>
      </x:c>
      <x:c r="D377" s="28" t="str">
        <x:v>слива</x:v>
      </x:c>
      <x:c r="E377" s="28" t="str">
        <x:v>plum</x:v>
      </x:c>
      <x:c r="F377" s="28" t="str">
        <x:v>Косточковые фрукты</x:v>
      </x:c>
      <x:c r="G377" s="28" t="str">
        <x:v>испанский чоризо</x:v>
      </x:c>
      <x:c r="H377" s="28" t="str">
        <x:v>Spanish chorizo</x:v>
      </x:c>
      <x:c r="I377" s="28" t="str">
        <x:v>Мясо и птица</x:v>
      </x:c>
      <x:c r="J377" s="28" t="str">
        <x:v>винно-фруктовый, цветочный, зелёный, пряный, миндальный; от свежего до тёмно-джемового</x:v>
      </x:c>
      <x:c r="K377" s="28" t="str">
        <x:v>жареный, мясной, жирный, иногда копчёный и пряный</x:v>
      </x:c>
      <x:c r="L377" s="28" t="str">
        <x:v>фруктовые эфиры, γ- и δ-лактоны, бензальдегид, линалоол, C6-альдегиды, дамасконы</x:v>
      </x:c>
      <x:c r="M377" s="28" t="str">
        <x:v>пиразины, фураны, сернистые соединения, продукты Майяра, жирные альдегиды</x:v>
      </x:c>
      <x:c r="N377" s="28" t="str">
        <x:v>пряный</x:v>
      </x:c>
      <x:c r="O377" s="28" t="str">
        <x:v>надёжный единичный общий маркер не подтверждён; механизм не сводится к одной молекуле</x:v>
      </x:c>
      <x:c r="P377" s="28" t="str">
        <x:v>комплементарность ароматических семейств, вкусовой контраст и матричный эффект</x:v>
      </x:c>
      <x:c r="Q377" s="28" t="str">
        <x:v>Кисло-сладкий фруктовый компонент контрастирует с жиром, солью и умами; сахар поддерживает карамелизацию, а кислота облегчает послевкусие.</x:v>
      </x:c>
      <x:c r="R377" s="28" t="str">
        <x:v>слабый; кислота и полифенолы создают освежающе-вяжущий эффект; партнёр: тепловой/пряный зависит от обработки</x:v>
      </x:c>
      <x:c r="S377" s="28" t="str">
        <x:v>сочная пектиновая мякоть; кожица богата полифенолами; аромат хорошо работает в воде, сахаре и этаноле. Партнёр: жир удерживает фруктовые лактоны; белок смягчает кислотность.</x:v>
      </x:c>
      <x:c r="T377" s="28" t="str">
        <x:v>нагрев усиливает джем, сухофрукты, специи и карамель; ферментация создаёт винные и эфирные ноты. Обжарка создаёт пиразины и фураны; фруктовый компонент лучше добавлять как глазировку или соус ближе к завершению.</x:v>
      </x:c>
      <x:c r="U37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Испанский чоризо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Общие ароматические направления: пряный.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богата полифенолами; аромат хорошо работает в воде, сахаре и этаноле. Партнёр: жир удерживает фруктовые лактоны; белок смягчает кислотность. Обработка: нагрев усиливает джем, сухофрукты, специи и карамель; ферментация создаёт винные и эфирные ноты. Обжарка создаёт пиразины и фураны; фруктовый компонент лучше добавлять как глазировку или соус ближе к завершению.</x:v>
      </x:c>
      <x:c r="V377" s="28" t="str">
        <x:v>избыток кожицы даёт грубую терпкость; косточки требуют осторожности. Избыток сахара делает соус липким и скрывает умами; кислоту и соль корректируют после уваривания.</x:v>
      </x:c>
      <x:c r="W377" s="28" t="str">
        <x:v>розмарин, горчица или хересный уксус</x:v>
      </x:c>
      <x:c r="X377" s="28" t="str">
        <x:v>соус, глазировка, чатни, маринад, гарнир или основное блюдо</x:v>
      </x:c>
      <x:c r="Y377" s="28" t="str">
        <x:v>еда; соусы/маринады</x:v>
      </x:c>
      <x:c r="Z377" s="28" t="str">
        <x:v>Средняя</x:v>
      </x:c>
      <x:c r="AA377" s="28" t="str">
        <x:v>The Art &amp; Science of Foodpairing.pdf</x:v>
      </x:c>
      <x:c r="AB377" s="28" t="str">
        <x:v>The Art &amp; Science of Foodpairing.pdf: 288</x:v>
      </x:c>
      <x:c r="AC377" s="28" t="str">
        <x:v>Ингредиент «hog plum» указан на странице профиля/сетки сочетаний «Spanish chorizo».</x:v>
      </x:c>
      <x:c r="AD377" s="28" t="n">
        <x:v>1</x:v>
      </x:c>
      <x:c r="AE377" s="28" t="n">
        <x:v>1</x:v>
      </x:c>
      <x:c r="AF377" s="28" t="n">
        <x:f>IF(Z377="Высокая",3,IF(Z377="Средняя",2,1))+AD377*2+MIN(AE377,3)</x:f>
        <x:v>5</x:v>
      </x:c>
    </x:row>
    <x:row r="378" ht="62" customHeight="1">
      <x:c r="A378" s="28" t="str">
        <x:v>STN-0377</x:v>
      </x:c>
      <x:c r="B378" s="28" t="str">
        <x:v>слива</x:v>
      </x:c>
      <x:c r="C378" s="28" t="str">
        <x:v>Универсальные</x:v>
      </x:c>
      <x:c r="D378" s="28" t="str">
        <x:v>слива</x:v>
      </x:c>
      <x:c r="E378" s="28" t="str">
        <x:v>plum</x:v>
      </x:c>
      <x:c r="F378" s="28" t="str">
        <x:v>Косточковые фрукты</x:v>
      </x:c>
      <x:c r="G378" s="28" t="str">
        <x:v>кардамон</x:v>
      </x:c>
      <x:c r="H378" s="28" t="str">
        <x:v>кардамон</x:v>
      </x:c>
      <x:c r="I378" s="28" t="str">
        <x:v>Специи и острые компоненты</x:v>
      </x:c>
      <x:c r="J378" s="28" t="str">
        <x:v>винно-фруктовый, цветочный, зелёный, пряный, миндальный; от свежего до тёмно-джемового</x:v>
      </x:c>
      <x:c r="K378" s="28" t="str">
        <x:v>цитрусовый, камфорный и цветочный</x:v>
      </x:c>
      <x:c r="L378" s="28" t="str">
        <x:v>фруктовые эфиры, γ- и δ-лактоны, бензальдегид, линалоол, C6-альдегиды, дамасконы</x:v>
      </x:c>
      <x:c r="M378" s="28" t="str">
        <x:v>1,8-цинеол, α-терпинилацетат, линалоол</x:v>
      </x:c>
      <x:c r="N378" s="28" t="str">
        <x:v>цветочный</x:v>
      </x:c>
      <x:c r="O378" s="28" t="str">
        <x:v>линалоол</x:v>
      </x:c>
      <x:c r="P378" s="28" t="str">
        <x:v>прямое или классовое перекрытие характерных одорантов + вкусовой баланс</x:v>
      </x:c>
      <x:c r="Q378" s="28" t="str">
        <x:v>Сладость и кислота фрукта смягчают остроту и горечь специи, а пряный компонент удлиняет ароматическое послевкусие.</x:v>
      </x:c>
      <x:c r="R378" s="28" t="str">
        <x:v>слабый; кислота и полифенолы создают освежающе-вяжущий эффект; партнёр: капсаицин, пиперин, гингеролы и камфорные терпены создают жжение, тепло или охлаждение</x:v>
      </x:c>
      <x:c r="S378" s="28" t="str">
        <x:v>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</x:v>
      </x:c>
      <x:c r="T378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37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Кардамон относится к группе «Специи и острые компоненты» и даёт профиль «цитрусовый, камфорный и цветочный»; типичные соединения или классы: 1,8-цинеол, α-терпинилацетат, линалоол. В рабочих профилях пересекаются: линалоол.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378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W378" s="28" t="str">
        <x:v>мёд, цитрус или миндаль</x:v>
      </x:c>
      <x:c r="X378" s="28" t="str">
        <x:v>напиток, соус, десерт или горячее блюдо после пробной дегустации</x:v>
      </x:c>
      <x:c r="Y378" s="28" t="str">
        <x:v>напитки; еда; десерты; соусы/маринады</x:v>
      </x:c>
      <x:c r="Z378" s="28" t="str">
        <x:v>Гипотеза / практическая</x:v>
      </x:c>
      <x:c r="AA378" s="28" t="str">
        <x:v>Таблица сочетания(1).pdf</x:v>
      </x:c>
      <x:c r="AB378" s="28" t="str">
        <x:v>Таблица сочетания(1).pdf: 17</x:v>
      </x:c>
      <x:c r="AC378" s="28" t="str">
        <x:v>Пара указана в строке «Слива» → колонка «Травы и специи».</x:v>
      </x:c>
      <x:c r="AD378" s="28" t="n">
        <x:v>1</x:v>
      </x:c>
      <x:c r="AE378" s="28" t="n">
        <x:v>1</x:v>
      </x:c>
      <x:c r="AF378" s="28" t="n">
        <x:f>IF(Z378="Высокая",3,IF(Z378="Средняя",2,1))+AD378*2+MIN(AE378,3)</x:f>
        <x:v>4</x:v>
      </x:c>
    </x:row>
    <x:row r="379" ht="62" customHeight="1">
      <x:c r="A379" s="28" t="str">
        <x:v>STN-0378</x:v>
      </x:c>
      <x:c r="B379" s="28" t="str">
        <x:v>слива</x:v>
      </x:c>
      <x:c r="C379" s="28" t="str">
        <x:v>Универсальные</x:v>
      </x:c>
      <x:c r="D379" s="28" t="str">
        <x:v>слива</x:v>
      </x:c>
      <x:c r="E379" s="28" t="str">
        <x:v>plum</x:v>
      </x:c>
      <x:c r="F379" s="28" t="str">
        <x:v>Косточковые фрукты</x:v>
      </x:c>
      <x:c r="G379" s="28" t="str">
        <x:v>каштан</x:v>
      </x:c>
      <x:c r="H379" s="28" t="str">
        <x:v>каштан</x:v>
      </x:c>
      <x:c r="I379" s="28" t="str">
        <x:v>Прочее</x:v>
      </x:c>
      <x:c r="J379" s="28" t="str">
        <x:v>винно-фруктовый, цветочный, зелёный, пряный, миндальный; от свежего до тёмно-джемового</x:v>
      </x:c>
      <x:c r="K379" s="28" t="str">
        <x:v>ароматический профиль зависит от конкретного ингредиента</x:v>
      </x:c>
      <x:c r="L379" s="28" t="str">
        <x:v>фруктовые эфиры, γ- и δ-лактоны, бензальдегид, линалоол, C6-альдегиды, дамасконы</x:v>
      </x:c>
      <x:c r="M379" s="28" t="str">
        <x:v>летучие соединения конкретного продукта</x:v>
      </x:c>
      <x:c r="N379" s="28" t="str">
        <x:v>прямое семейное перекрытие не является главным механизмом</x:v>
      </x:c>
      <x:c r="O379" s="28" t="str">
        <x:v>надёжный единичный общий маркер не подтверждён; механизм не сводится к одной молекуле</x:v>
      </x:c>
      <x:c r="P379" s="28" t="str">
        <x:v>комплементарность ароматических семейств, вкусовой контраст и матричный эффект</x:v>
      </x:c>
      <x:c r="Q379" s="28" t="str">
        <x:v>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</x:v>
      </x:c>
      <x:c r="R379" s="28" t="str">
        <x:v>слабый; кислота и полифенолы создают освежающе-вяжущий эффект; партнёр: возможен в зависимости от состава</x:v>
      </x:c>
      <x:c r="S379" s="28" t="str">
        <x:v>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</x:v>
      </x:c>
      <x:c r="T379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U37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Каштан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V379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79" s="28" t="str">
        <x:v>мёд, цитрус или нейтральная жировая основа</x:v>
      </x:c>
      <x:c r="X379" s="28" t="str">
        <x:v>напиток, соус, десерт или горячее блюдо после пробной дегустации</x:v>
      </x:c>
      <x:c r="Y379" s="28" t="str">
        <x:v>напитки; еда; десерты; соусы/маринады</x:v>
      </x:c>
      <x:c r="Z379" s="28" t="str">
        <x:v>Гипотеза / практическая</x:v>
      </x:c>
      <x:c r="AA379" s="28" t="str">
        <x:v>Таблица сочетания(1).pdf</x:v>
      </x:c>
      <x:c r="AB379" s="28" t="str">
        <x:v>Таблица сочетания(1).pdf: 17</x:v>
      </x:c>
      <x:c r="AC379" s="28" t="str">
        <x:v>Пара указана в строке «Слива» → колонка «Другое».</x:v>
      </x:c>
      <x:c r="AD379" s="28" t="n">
        <x:v>1</x:v>
      </x:c>
      <x:c r="AE379" s="28" t="n">
        <x:v>1</x:v>
      </x:c>
      <x:c r="AF379" s="28" t="n">
        <x:f>IF(Z379="Высокая",3,IF(Z379="Средняя",2,1))+AD379*2+MIN(AE379,3)</x:f>
        <x:v>4</x:v>
      </x:c>
    </x:row>
    <x:row r="380" ht="62" customHeight="1">
      <x:c r="A380" s="28" t="str">
        <x:v>STN-0379</x:v>
      </x:c>
      <x:c r="B380" s="28" t="str">
        <x:v>слива</x:v>
      </x:c>
      <x:c r="C380" s="28" t="str">
        <x:v>Десерты и выпечка</x:v>
      </x:c>
      <x:c r="D380" s="28" t="str">
        <x:v>слива</x:v>
      </x:c>
      <x:c r="E380" s="28" t="str">
        <x:v>plum</x:v>
      </x:c>
      <x:c r="F380" s="28" t="str">
        <x:v>Косточковые фрукты</x:v>
      </x:c>
      <x:c r="G380" s="28" t="str">
        <x:v>кедровый орех</x:v>
      </x:c>
      <x:c r="H380" s="28" t="str">
        <x:v>Кедровый орех</x:v>
      </x:c>
      <x:c r="I380" s="28" t="str">
        <x:v>Орехи и семена</x:v>
      </x:c>
      <x:c r="J380" s="28" t="str">
        <x:v>винно-фруктовый, цветочный, зелёный, пряный, миндальный; от свежего до тёмно-джемового</x:v>
      </x:c>
      <x:c r="K380" s="28" t="str">
        <x:v>ореховый, жареный, маслянистый и иногда миндальный</x:v>
      </x:c>
      <x:c r="L380" s="28" t="str">
        <x:v>фруктовые эфиры, γ- и δ-лактоны, бензальдегид, линалоол, C6-альдегиды, дамасконы</x:v>
      </x:c>
      <x:c r="M380" s="28" t="str">
        <x:v>пиразины, бензальдегид, филбертон, жирные альдегиды</x:v>
      </x:c>
      <x:c r="N380" s="28" t="str">
        <x:v>миндальный</x:v>
      </x:c>
      <x:c r="O380" s="28" t="str">
        <x:v>бензальдегид</x:v>
      </x:c>
      <x:c r="P380" s="28" t="str">
        <x:v>прямое или классовое перекрытие характерных одорантов + вкусовой баланс</x:v>
      </x:c>
      <x:c r="Q380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380" s="28" t="str">
        <x:v>слабый; кислота и полифенолы создают освежающе-вяжущий эффект; партнёр: обычно отсутствует</x:v>
      </x:c>
      <x:c r="S380" s="28" t="str">
        <x:v>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</x:v>
      </x:c>
      <x:c r="T380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38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Кедровый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380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W380" s="28" t="str">
        <x:v>ваниль, шоколад или корица</x:v>
      </x:c>
      <x:c r="X380" s="28" t="str">
        <x:v>тарт, крем, мороженое, выпечка, сырная подача или начинка</x:v>
      </x:c>
      <x:c r="Y380" s="28" t="str">
        <x:v>десерты; еда</x:v>
      </x:c>
      <x:c r="Z380" s="28" t="str">
        <x:v>Гипотеза / практическая</x:v>
      </x:c>
      <x:c r="AA380" s="28" t="str">
        <x:v>Таблица сочетания(1).pdf</x:v>
      </x:c>
      <x:c r="AB380" s="28" t="str">
        <x:v>Таблица сочетания(1).pdf: 16</x:v>
      </x:c>
      <x:c r="AC380" s="28" t="str">
        <x:v>Пара указана в строке «Кедровый орех»: «слива» находится в колонке «Фрукты».</x:v>
      </x:c>
      <x:c r="AD380" s="28" t="n">
        <x:v>1</x:v>
      </x:c>
      <x:c r="AE380" s="28" t="n">
        <x:v>1</x:v>
      </x:c>
      <x:c r="AF380" s="28" t="n">
        <x:f>IF(Z380="Высокая",3,IF(Z380="Средняя",2,1))+AD380*2+MIN(AE380,3)</x:f>
        <x:v>4</x:v>
      </x:c>
    </x:row>
    <x:row r="381" ht="62" customHeight="1">
      <x:c r="A381" s="28" t="str">
        <x:v>STN-0380</x:v>
      </x:c>
      <x:c r="B381" s="28" t="str">
        <x:v>слива</x:v>
      </x:c>
      <x:c r="C381" s="28" t="str">
        <x:v>Десерты и выпечка</x:v>
      </x:c>
      <x:c r="D381" s="28" t="str">
        <x:v>слива</x:v>
      </x:c>
      <x:c r="E381" s="28" t="str">
        <x:v>plum</x:v>
      </x:c>
      <x:c r="F381" s="28" t="str">
        <x:v>Косточковые фрукты</x:v>
      </x:c>
      <x:c r="G381" s="28" t="str">
        <x:v>клубника</x:v>
      </x:c>
      <x:c r="H381" s="28" t="str">
        <x:v>клубника</x:v>
      </x:c>
      <x:c r="I381" s="28" t="str">
        <x:v>Ягоды</x:v>
      </x:c>
      <x:c r="J381" s="28" t="str">
        <x:v>винно-фруктовый, цветочный, зелёный, пряный, миндальный; от свежего до тёмно-джемового</x:v>
      </x:c>
      <x:c r="K381" s="28" t="str">
        <x:v>красно-фруктовый, цветочный, зелёный и иногда сернистый</x:v>
      </x:c>
      <x:c r="L381" s="28" t="str">
        <x:v>фруктовые эфиры, γ- и δ-лактоны, бензальдегид, линалоол, C6-альдегиды, дамасконы</x:v>
      </x:c>
      <x:c r="M381" s="28" t="str">
        <x:v>фуранеол, эфиры, иононы, зелёные альдегиды</x:v>
      </x:c>
      <x:c r="N381" s="28" t="str">
        <x:v>цветочный, фруктовый, зелёный</x:v>
      </x:c>
      <x:c r="O381" s="28" t="str">
        <x:v>эфиры</x:v>
      </x:c>
      <x:c r="P381" s="28" t="str">
        <x:v>прямое или классовое перекрытие характерных одорантов + вкусовой баланс</x:v>
      </x:c>
      <x:c r="Q381" s="28" t="str">
        <x:v>Близкие фруктовые эфиры создают непрерывность, а различия в кислотности, терпкости и сладости формируют контраст.</x:v>
      </x:c>
      <x:c r="R381" s="28" t="str">
        <x:v>слабый; кислота и полифенолы создают освежающе-вяжущий эффект; партнёр: обычно слабый; кислота усиливает свежесть</x:v>
      </x:c>
      <x:c r="S381" s="28" t="str">
        <x:v>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</x:v>
      </x:c>
      <x:c r="T381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38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381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81" s="28" t="str">
        <x:v>ваниль, мята или миндаль</x:v>
      </x:c>
      <x:c r="X381" s="28" t="str">
        <x:v>сорбет, салат, джем, кордиал, лимонад, коктейль или фруктовый соус</x:v>
      </x:c>
      <x:c r="Y381" s="28" t="str">
        <x:v>напитки; десерты; соусы/маринады</x:v>
      </x:c>
      <x:c r="Z381" s="28" t="str">
        <x:v>Гипотеза / практическая</x:v>
      </x:c>
      <x:c r="AA381" s="28" t="str">
        <x:v>Таблица сочетания(1).pdf</x:v>
      </x:c>
      <x:c r="AB381" s="28" t="str">
        <x:v>Таблица сочетания(1).pdf: Таблица сочетаний: 17 | Таблица сочетания(1).pdf: 17</x:v>
      </x:c>
      <x:c r="AC381" s="28" t="str">
        <x:v>Слива: клубника Пара указана в строке «Слива» → колонка «Фрукты».</x:v>
      </x:c>
      <x:c r="AD381" s="28" t="n">
        <x:v>1</x:v>
      </x:c>
      <x:c r="AE381" s="28" t="n">
        <x:v>2</x:v>
      </x:c>
      <x:c r="AF381" s="28" t="n">
        <x:f>IF(Z381="Высокая",3,IF(Z381="Средняя",2,1))+AD381*2+MIN(AE381,3)</x:f>
        <x:v>5</x:v>
      </x:c>
    </x:row>
    <x:row r="382" ht="62" customHeight="1">
      <x:c r="A382" s="28" t="str">
        <x:v>STN-0381</x:v>
      </x:c>
      <x:c r="B382" s="28" t="str">
        <x:v>слива</x:v>
      </x:c>
      <x:c r="C382" s="28" t="str">
        <x:v>Десерты и выпечка</x:v>
      </x:c>
      <x:c r="D382" s="28" t="str">
        <x:v>слива</x:v>
      </x:c>
      <x:c r="E382" s="28" t="str">
        <x:v>plum</x:v>
      </x:c>
      <x:c r="F382" s="28" t="str">
        <x:v>Косточковые фрукты</x:v>
      </x:c>
      <x:c r="G382" s="28" t="str">
        <x:v>клюква</x:v>
      </x:c>
      <x:c r="H382" s="28" t="str">
        <x:v>клюква</x:v>
      </x:c>
      <x:c r="I382" s="28" t="str">
        <x:v>Ягоды</x:v>
      </x:c>
      <x:c r="J382" s="28" t="str">
        <x:v>винно-фруктовый, цветочный, зелёный, пряный, миндальный; от свежего до тёмно-джемового</x:v>
      </x:c>
      <x:c r="K382" s="28" t="str">
        <x:v>красно-фруктовый, цветочный, зелёный и иногда сернистый</x:v>
      </x:c>
      <x:c r="L382" s="28" t="str">
        <x:v>фруктовые эфиры, γ- и δ-лактоны, бензальдегид, линалоол, C6-альдегиды, дамасконы</x:v>
      </x:c>
      <x:c r="M382" s="28" t="str">
        <x:v>фуранеол, эфиры, иононы, зелёные альдегиды</x:v>
      </x:c>
      <x:c r="N382" s="28" t="str">
        <x:v>цветочный, фруктовый, зелёный</x:v>
      </x:c>
      <x:c r="O382" s="28" t="str">
        <x:v>эфиры</x:v>
      </x:c>
      <x:c r="P382" s="28" t="str">
        <x:v>прямое или классовое перекрытие характерных одорантов + вкусовой баланс</x:v>
      </x:c>
      <x:c r="Q382" s="28" t="str">
        <x:v>Близкие фруктовые эфиры создают непрерывность, а различия в кислотности, терпкости и сладости формируют контраст.</x:v>
      </x:c>
      <x:c r="R382" s="28" t="str">
        <x:v>слабый; кислота и полифенолы создают освежающе-вяжущий эффект; партнёр: обычно слабый; кислота усиливает свежесть</x:v>
      </x:c>
      <x:c r="S382" s="28" t="str">
        <x:v>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</x:v>
      </x:c>
      <x:c r="T38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38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Клюква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382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82" s="28" t="str">
        <x:v>ваниль, мята или миндаль</x:v>
      </x:c>
      <x:c r="X382" s="28" t="str">
        <x:v>сорбет, салат, джем, кордиал, лимонад, коктейль или фруктовый соус</x:v>
      </x:c>
      <x:c r="Y382" s="28" t="str">
        <x:v>напитки; десерты; соусы/маринады</x:v>
      </x:c>
      <x:c r="Z382" s="28" t="str">
        <x:v>Гипотеза / практическая</x:v>
      </x:c>
      <x:c r="AA382" s="28" t="str">
        <x:v>Таблица сочетания(1).pdf</x:v>
      </x:c>
      <x:c r="AB382" s="28" t="str">
        <x:v>Таблица сочетания(1).pdf: Таблица сочетаний: 17 | Таблица сочетания(1).pdf: 17</x:v>
      </x:c>
      <x:c r="AC382" s="28" t="str">
        <x:v>Слива: клюква Пара указана в строке «Слива» → колонка «Фрукты».</x:v>
      </x:c>
      <x:c r="AD382" s="28" t="n">
        <x:v>1</x:v>
      </x:c>
      <x:c r="AE382" s="28" t="n">
        <x:v>2</x:v>
      </x:c>
      <x:c r="AF382" s="28" t="n">
        <x:f>IF(Z382="Высокая",3,IF(Z382="Средняя",2,1))+AD382*2+MIN(AE382,3)</x:f>
        <x:v>5</x:v>
      </x:c>
    </x:row>
    <x:row r="383" ht="62" customHeight="1">
      <x:c r="A383" s="28" t="str">
        <x:v>STN-0382</x:v>
      </x:c>
      <x:c r="B383" s="28" t="str">
        <x:v>слива</x:v>
      </x:c>
      <x:c r="C383" s="28" t="str">
        <x:v>Десерты и выпечка</x:v>
      </x:c>
      <x:c r="D383" s="28" t="str">
        <x:v>слива</x:v>
      </x:c>
      <x:c r="E383" s="28" t="str">
        <x:v>plum</x:v>
      </x:c>
      <x:c r="F383" s="28" t="str">
        <x:v>Косточковые фрукты</x:v>
      </x:c>
      <x:c r="G383" s="28" t="str">
        <x:v>козий сыр</x:v>
      </x:c>
      <x:c r="H383" s="28" t="str">
        <x:v>Goats' cheese</x:v>
      </x:c>
      <x:c r="I383" s="28" t="str">
        <x:v>Сыры и молочные продукты</x:v>
      </x:c>
      <x:c r="J383" s="28" t="str">
        <x:v>винно-фруктовый, цветочный, зелёный, пряный, миндальный; от свежего до тёмно-джемового</x:v>
      </x:c>
      <x:c r="K383" s="28" t="str">
        <x:v>молочный, травянистый и пикантный</x:v>
      </x:c>
      <x:c r="L383" s="28" t="str">
        <x:v>фруктовые эфиры, γ- и δ-лактоны, бензальдегид, линалоол, C6-альдегиды, дамасконы</x:v>
      </x:c>
      <x:c r="M383" s="28" t="str">
        <x:v>капроновая и каприловая кислоты, метилкетоны</x:v>
      </x:c>
      <x:c r="N383" s="28" t="str">
        <x:v>прямое семейное перекрытие не является главным механизмом</x:v>
      </x:c>
      <x:c r="O383" s="28" t="str">
        <x:v>надёжный единичный общий маркер не подтверждён; механизм не сводится к одной молекуле</x:v>
      </x:c>
      <x:c r="P383" s="28" t="str">
        <x:v>комплементарность ароматических семейств, вкусовой контраст и матричный эффект</x:v>
      </x:c>
      <x:c r="Q383" s="28" t="str">
        <x:v>Фруктовая кислота и сладость освежают жирную молочную матрицу; соль и умами сыра усиливают воспринимаемую фруктовость.</x:v>
      </x:c>
      <x:c r="R383" s="28" t="str">
        <x:v>слабый; кислота и полифенолы создают освежающе-вяжущий эффект; партнёр: у выдержанных сыров возможна острота аммиака и кислот</x:v>
      </x:c>
      <x:c r="S383" s="28" t="str">
        <x:v>сочная пектиновая мякоть; кожица богата полифенолами; аромат хорошо работает в воде, сахаре и этаноле. Жир и белок партнёра удерживают гидрофобные лактоны, но высокая фруктовая кислота может нарушить молочную эмульсию.</x:v>
      </x:c>
      <x:c r="T383" s="28" t="str">
        <x:v>нагрев усиливает джем, сухофрукты, специи и карамель; ферментация создаёт винные и эфирные ноты.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U38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Козий сыр относится к группе «Сыры и молочные продукты» и даёт профиль «молочный, травянистый и пикантный»; типичные соединения или классы: капроновая и каприловая кислоты, метилкетоны.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богата полифенолами; аромат хорошо работает в воде, сахаре и этаноле. Жир и белок партнёра удерживают гидрофобные лактоны, но высокая фруктовая кислота может нарушить молочную эмульсию. Обработка: нагрев усиливает джем, сухофрукты, специи и карамель; ферментация создаёт винные и эфирные ноты.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V383" s="28" t="str">
        <x:v>избыток кожицы даёт грубую терпкость; косточки требуют осторожности. Избыток кислоты может свернуть молочную основу; фрукт и сыр проверяют при рабочей температуре.</x:v>
      </x:c>
      <x:c r="W383" s="28" t="str">
        <x:v>миндаль, ваниль или мёд</x:v>
      </x:c>
      <x:c r="X383" s="28" t="str">
        <x:v>тарт, крем, мороженое, выпечка, сырная подача или начинка</x:v>
      </x:c>
      <x:c r="Y383" s="28" t="str">
        <x:v>десерты; еда</x:v>
      </x:c>
      <x:c r="Z383" s="28" t="str">
        <x:v>Средняя</x:v>
      </x:c>
      <x:c r="AA383" s="28" t="str">
        <x:v>The Art &amp; Science of Foodpairing.pdf</x:v>
      </x:c>
      <x:c r="AB383" s="28" t="str">
        <x:v>The Art &amp; Science of Foodpairing.pdf: 201</x:v>
      </x:c>
      <x:c r="AC383" s="28" t="str">
        <x:v>Ингредиент «plum» указан на странице профиля/сетки сочетаний «Goats' cheese».</x:v>
      </x:c>
      <x:c r="AD383" s="28" t="n">
        <x:v>1</x:v>
      </x:c>
      <x:c r="AE383" s="28" t="n">
        <x:v>1</x:v>
      </x:c>
      <x:c r="AF383" s="28" t="n">
        <x:f>IF(Z383="Высокая",3,IF(Z383="Средняя",2,1))+AD383*2+MIN(AE383,3)</x:f>
        <x:v>5</x:v>
      </x:c>
    </x:row>
    <x:row r="384" ht="62" customHeight="1">
      <x:c r="A384" s="28" t="str">
        <x:v>STN-0383</x:v>
      </x:c>
      <x:c r="B384" s="28" t="str">
        <x:v>слива</x:v>
      </x:c>
      <x:c r="C384" s="28" t="str">
        <x:v>Универсальные</x:v>
      </x:c>
      <x:c r="D384" s="28" t="str">
        <x:v>слива</x:v>
      </x:c>
      <x:c r="E384" s="28" t="str">
        <x:v>plum</x:v>
      </x:c>
      <x:c r="F384" s="28" t="str">
        <x:v>Косточковые фрукты</x:v>
      </x:c>
      <x:c r="G384" s="28" t="str">
        <x:v>корица</x:v>
      </x:c>
      <x:c r="H384" s="28" t="str">
        <x:v>корица</x:v>
      </x:c>
      <x:c r="I384" s="28" t="str">
        <x:v>Специи и острые компоненты</x:v>
      </x:c>
      <x:c r="J384" s="28" t="str">
        <x:v>винно-фруктовый, цветочный, зелёный, пряный, миндальный; от свежего до тёмно-джемового</x:v>
      </x:c>
      <x:c r="K384" s="28" t="str">
        <x:v>тёплый, древесный и сладко-пряный</x:v>
      </x:c>
      <x:c r="L384" s="28" t="str">
        <x:v>фруктовые эфиры, γ- и δ-лактоны, бензальдегид, линалоол, C6-альдегиды, дамасконы</x:v>
      </x:c>
      <x:c r="M384" s="28" t="str">
        <x:v>коричный альдегид, эвгенол</x:v>
      </x:c>
      <x:c r="N384" s="28" t="str">
        <x:v>пряный</x:v>
      </x:c>
      <x:c r="O384" s="28" t="str">
        <x:v>надёжный единичный общий маркер не подтверждён; механизм не сводится к одной молекуле</x:v>
      </x:c>
      <x:c r="P384" s="28" t="str">
        <x:v>комплементарность ароматических семейств, вкусовой контраст и матричный эффект</x:v>
      </x:c>
      <x:c r="Q384" s="28" t="str">
        <x:v>Сладость и кислота фрукта смягчают остроту и горечь специи, а пряный компонент удлиняет ароматическое послевкусие.</x:v>
      </x:c>
      <x:c r="R384" s="28" t="str">
        <x:v>слабый; кислота и полифенолы создают освежающе-вяжущий эффект; партнёр: капсаицин, пиперин, гингеролы и камфорные терпены создают жжение, тепло или охлаждение</x:v>
      </x:c>
      <x:c r="S384" s="28" t="str">
        <x:v>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</x:v>
      </x:c>
      <x:c r="T384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38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384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W384" s="28" t="str">
        <x:v>мёд, цитрус или миндаль</x:v>
      </x:c>
      <x:c r="X384" s="28" t="str">
        <x:v>напиток, соус, десерт или горячее блюдо после пробной дегустации</x:v>
      </x:c>
      <x:c r="Y384" s="28" t="str">
        <x:v>напитки; еда; десерты; соусы/маринады</x:v>
      </x:c>
      <x:c r="Z384" s="28" t="str">
        <x:v>Гипотеза / практическая</x:v>
      </x:c>
      <x:c r="AA384" s="28" t="str">
        <x:v>Таблица сочетания(1).pdf</x:v>
      </x:c>
      <x:c r="AB384" s="28" t="str">
        <x:v>Таблица сочетания(1).pdf: 17</x:v>
      </x:c>
      <x:c r="AC384" s="28" t="str">
        <x:v>Пара указана в строке «Слива» → колонка «Травы и специи».</x:v>
      </x:c>
      <x:c r="AD384" s="28" t="n">
        <x:v>1</x:v>
      </x:c>
      <x:c r="AE384" s="28" t="n">
        <x:v>1</x:v>
      </x:c>
      <x:c r="AF384" s="28" t="n">
        <x:f>IF(Z384="Высокая",3,IF(Z384="Средняя",2,1))+AD384*2+MIN(AE384,3)</x:f>
        <x:v>4</x:v>
      </x:c>
    </x:row>
    <x:row r="385" ht="62" customHeight="1">
      <x:c r="A385" s="28" t="str">
        <x:v>STN-0384</x:v>
      </x:c>
      <x:c r="B385" s="28" t="str">
        <x:v>слива</x:v>
      </x:c>
      <x:c r="C385" s="28" t="str">
        <x:v>Десерты и выпечка</x:v>
      </x:c>
      <x:c r="D385" s="28" t="str">
        <x:v>слива</x:v>
      </x:c>
      <x:c r="E385" s="28" t="str">
        <x:v>plum</x:v>
      </x:c>
      <x:c r="F385" s="28" t="str">
        <x:v>Косточковые фрукты</x:v>
      </x:c>
      <x:c r="G385" s="28" t="str">
        <x:v>кумкват</x:v>
      </x:c>
      <x:c r="H385" s="28" t="str">
        <x:v>Кумкват | кумкват</x:v>
      </x:c>
      <x:c r="I385" s="28" t="str">
        <x:v>Цитрусовые</x:v>
      </x:c>
      <x:c r="J385" s="28" t="str">
        <x:v>винно-фруктовый, цветочный, зелёный, пряный, миндальный; от свежего до тёмно-джемового</x:v>
      </x:c>
      <x:c r="K385" s="28" t="str">
        <x:v>цитрусовый, свежий, зелёный и цветочный</x:v>
      </x:c>
      <x:c r="L385" s="28" t="str">
        <x:v>фруктовые эфиры, γ- и δ-лактоны, бензальдегид, линалоол, C6-альдегиды, дамасконы</x:v>
      </x:c>
      <x:c r="M385" s="28" t="str">
        <x:v>лимонен, цитраль, линалоол, γ-терпинен</x:v>
      </x:c>
      <x:c r="N385" s="28" t="str">
        <x:v>цветочный, зелёный</x:v>
      </x:c>
      <x:c r="O385" s="28" t="str">
        <x:v>линалоол</x:v>
      </x:c>
      <x:c r="P385" s="28" t="str">
        <x:v>прямое или классовое перекрытие характерных одорантов + вкусовой баланс</x:v>
      </x:c>
      <x:c r="Q385" s="28" t="str">
        <x:v>Близкие фруктовые эфиры создают непрерывность, а различия в кислотности, терпкости и сладости формируют контраст.</x:v>
      </x:c>
      <x:c r="R385" s="28" t="str">
        <x:v>слабый; кислота и полифенолы создают освежающе-вяжущий эффект; партнёр: кислота даёт покалывание и ощущение свежести</x:v>
      </x:c>
      <x:c r="S385" s="28" t="str">
        <x:v>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</x:v>
      </x:c>
      <x:c r="T385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38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Кумкват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385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85" s="28" t="str">
        <x:v>ваниль, мёд или розмарин</x:v>
      </x:c>
      <x:c r="X385" s="28" t="str">
        <x:v>сорбет, салат, джем, кордиал, лимонад, коктейль или фруктовый соус</x:v>
      </x:c>
      <x:c r="Y385" s="28" t="str">
        <x:v>напитки; десерты; соусы/маринады</x:v>
      </x:c>
      <x:c r="Z385" s="28" t="str">
        <x:v>Гипотеза / практическая</x:v>
      </x:c>
      <x:c r="AA385" s="28" t="str">
        <x:v>Таблица сочетания(1).pdf</x:v>
      </x:c>
      <x:c r="AB385" s="28" t="str">
        <x:v>Таблица сочетания(1).pdf: Таблица сочетания(1).pdf: 10, 17 | Таблица сочетания(1).pdf: 10 | Таблица сочетания(1).pdf: 17</x:v>
      </x:c>
      <x:c r="AC385" s="28" t="str">
        <x:v>Пара указана в таблице: «Кумкват» → колонка «Фрукты». Пара указана в строке «Кумкват»: «слива» находится в колонке «Фрукты». Пара указана в строке «Слива» → колонка «Фрукты».</x:v>
      </x:c>
      <x:c r="AD385" s="28" t="n">
        <x:v>1</x:v>
      </x:c>
      <x:c r="AE385" s="28" t="n">
        <x:v>3</x:v>
      </x:c>
      <x:c r="AF385" s="28" t="n">
        <x:f>IF(Z385="Высокая",3,IF(Z385="Средняя",2,1))+AD385*2+MIN(AE385,3)</x:f>
        <x:v>6</x:v>
      </x:c>
    </x:row>
    <x:row r="386" ht="62" customHeight="1">
      <x:c r="A386" s="28" t="str">
        <x:v>STN-0385</x:v>
      </x:c>
      <x:c r="B386" s="28" t="str">
        <x:v>слива</x:v>
      </x:c>
      <x:c r="C386" s="28" t="str">
        <x:v>Десерты и выпечка</x:v>
      </x:c>
      <x:c r="D386" s="28" t="str">
        <x:v>слива</x:v>
      </x:c>
      <x:c r="E386" s="28" t="str">
        <x:v>plum</x:v>
      </x:c>
      <x:c r="F386" s="28" t="str">
        <x:v>Косточковые фрукты</x:v>
      </x:c>
      <x:c r="G386" s="28" t="str">
        <x:v>лимон</x:v>
      </x:c>
      <x:c r="H386" s="28" t="str">
        <x:v>лимон</x:v>
      </x:c>
      <x:c r="I386" s="28" t="str">
        <x:v>Цитрусовые</x:v>
      </x:c>
      <x:c r="J386" s="28" t="str">
        <x:v>винно-фруктовый, цветочный, зелёный, пряный, миндальный; от свежего до тёмно-джемового</x:v>
      </x:c>
      <x:c r="K386" s="28" t="str">
        <x:v>яркий цитрусовый и свежий</x:v>
      </x:c>
      <x:c r="L386" s="28" t="str">
        <x:v>фруктовые эфиры, γ- и δ-лактоны, бензальдегид, линалоол, C6-альдегиды, дамасконы</x:v>
      </x:c>
      <x:c r="M386" s="28" t="str">
        <x:v>лимонен, цитраль, β-пинен</x:v>
      </x:c>
      <x:c r="N386" s="28" t="str">
        <x:v>прямое семейное перекрытие не является главным механизмом</x:v>
      </x:c>
      <x:c r="O386" s="28" t="str">
        <x:v>надёжный единичный общий маркер не подтверждён; механизм не сводится к одной молекуле</x:v>
      </x:c>
      <x:c r="P386" s="28" t="str">
        <x:v>комплементарность ароматических семейств, вкусовой контраст и матричный эффект</x:v>
      </x:c>
      <x:c r="Q386" s="28" t="str">
        <x:v>Близкие фруктовые эфиры создают непрерывность, а различия в кислотности, терпкости и сладости формируют контраст.</x:v>
      </x:c>
      <x:c r="R386" s="28" t="str">
        <x:v>слабый; кислота и полифенолы создают освежающе-вяжущий эффект; партнёр: кислота даёт покалывание и ощущение свежести</x:v>
      </x:c>
      <x:c r="S386" s="28" t="str">
        <x:v>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</x:v>
      </x:c>
      <x:c r="T38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38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386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86" s="28" t="str">
        <x:v>ваниль, мёд или розмарин</x:v>
      </x:c>
      <x:c r="X386" s="28" t="str">
        <x:v>сорбет, салат, джем, кордиал, лимонад, коктейль или фруктовый соус</x:v>
      </x:c>
      <x:c r="Y386" s="28" t="str">
        <x:v>напитки; десерты; соусы/маринады</x:v>
      </x:c>
      <x:c r="Z386" s="28" t="str">
        <x:v>Гипотеза / практическая</x:v>
      </x:c>
      <x:c r="AA386" s="28" t="str">
        <x:v>Таблица сочетания(1).pdf</x:v>
      </x:c>
      <x:c r="AB386" s="28" t="str">
        <x:v>Таблица сочетания(1).pdf: Таблица сочетания(1).pdf: 17 | Таблица сочетания(1).pdf: 17</x:v>
      </x:c>
      <x:c r="AC386" s="28" t="str">
        <x:v>Пара указана в таблице: «Слива» → колонка «Фрукты». Пара указана в строке «Слива» → колонка «Фрукты».</x:v>
      </x:c>
      <x:c r="AD386" s="28" t="n">
        <x:v>1</x:v>
      </x:c>
      <x:c r="AE386" s="28" t="n">
        <x:v>2</x:v>
      </x:c>
      <x:c r="AF386" s="28" t="n">
        <x:f>IF(Z386="Высокая",3,IF(Z386="Средняя",2,1))+AD386*2+MIN(AE386,3)</x:f>
        <x:v>5</x:v>
      </x:c>
    </x:row>
    <x:row r="387" ht="62" customHeight="1">
      <x:c r="A387" s="28" t="str">
        <x:v>STN-0386</x:v>
      </x:c>
      <x:c r="B387" s="28" t="str">
        <x:v>слива</x:v>
      </x:c>
      <x:c r="C387" s="28" t="str">
        <x:v>Универсальные</x:v>
      </x:c>
      <x:c r="D387" s="28" t="str">
        <x:v>слива</x:v>
      </x:c>
      <x:c r="E387" s="28" t="str">
        <x:v>plum</x:v>
      </x:c>
      <x:c r="F387" s="28" t="str">
        <x:v>Косточковые фрукты</x:v>
      </x:c>
      <x:c r="G387" s="28" t="str">
        <x:v>листья кориандра</x:v>
      </x:c>
      <x:c r="H387" s="28" t="str">
        <x:v>Coriander leaves</x:v>
      </x:c>
      <x:c r="I387" s="28" t="str">
        <x:v>Травы/пряности</x:v>
      </x:c>
      <x:c r="J387" s="28" t="str">
        <x:v>винно-фруктовый, цветочный, зелёный, пряный, миндальный; от свежего до тёмно-джемового</x:v>
      </x:c>
      <x:c r="K387" s="28" t="str">
        <x:v>цитрусовый, зелёный, цветочный</x:v>
      </x:c>
      <x:c r="L387" s="28" t="str">
        <x:v>фруктовые эфиры, γ- и δ-лактоны, бензальдегид, линалоол, C6-альдегиды, дамасконы</x:v>
      </x:c>
      <x:c r="M387" s="28" t="str">
        <x:v>линалол, деканаль, додеканаль</x:v>
      </x:c>
      <x:c r="N387" s="28" t="str">
        <x:v>цветочный, зелёный</x:v>
      </x:c>
      <x:c r="O387" s="28" t="str">
        <x:v>надёжный единичный общий маркер не подтверждён; механизм не сводится к одной молекуле</x:v>
      </x:c>
      <x:c r="P387" s="28" t="str">
        <x:v>комплементарность ароматических семейств, вкусовой контраст и матричный эффект</x:v>
      </x:c>
      <x:c r="Q387" s="28" t="str">
        <x:v>Базовый фрукт даёт: сладость и заметная яблочно-лимонная кислотность; кожица часто терпкая. Партнёр добавляет: травяной, слегка горький. Баланс корректируется сахаром, кислотой, солью и горечью.</x:v>
      </x:c>
      <x:c r="R387" s="28" t="str">
        <x:v>слабый; кислота и полифенолы создают освежающе-вяжущий эффект; партнёр: нет выраженного</x:v>
      </x:c>
      <x:c r="S387" s="28" t="str">
        <x:v>сочная пектиновая мякоть; кожица богата полифенолами; аромат хорошо работает в воде, сахаре и этаноле. Партнёр: листья чувствительны к нагреву; семена устойчивее и слаще.</x:v>
      </x:c>
      <x:c r="T387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U38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Листья кориандра относится к группе «Травы/пряности» и даёт профиль «цитрусовый, зелёный, цветочный»; типичные соединения или классы: линалол, деканаль, додеканаль.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сладость и заметная яблочно-лимонная кислотность; кожица часто терпкая. Партнёр добавляет: травяной, слегка горький.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листья чувствительны к нагреву; семена устойчивее и слаще.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V387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87" s="28" t="str">
        <x:v>мёд, цитрус или нейтральная жировая основа</x:v>
      </x:c>
      <x:c r="X387" s="28" t="str">
        <x:v>напиток, соус, десерт или горячее блюдо после пробной дегустации</x:v>
      </x:c>
      <x:c r="Y387" s="28" t="str">
        <x:v>напитки; еда; десерты; соусы/маринады</x:v>
      </x:c>
      <x:c r="Z387" s="28" t="str">
        <x:v>Средняя</x:v>
      </x:c>
      <x:c r="AA387" s="28" t="str">
        <x:v>The Art &amp; Science of Foodpairing.pdf</x:v>
      </x:c>
      <x:c r="AB387" s="28" t="str">
        <x:v>The Art &amp; Science of Foodpairing.pdf: 98 | The Art &amp; Science of Foodpairing.pdf: 99</x:v>
      </x:c>
      <x:c r="AC387" s="28" t="str">
        <x:v>Ингредиент «plum» указан на странице профиля/сетки сочетаний «Coriander leaves». Ингредиент «hog plum» указан на странице профиля/сетки сочетаний «Coriander leaves».</x:v>
      </x:c>
      <x:c r="AD387" s="28" t="n">
        <x:v>1</x:v>
      </x:c>
      <x:c r="AE387" s="28" t="n">
        <x:v>2</x:v>
      </x:c>
      <x:c r="AF387" s="28" t="n">
        <x:f>IF(Z387="Высокая",3,IF(Z387="Средняя",2,1))+AD387*2+MIN(AE387,3)</x:f>
        <x:v>6</x:v>
      </x:c>
    </x:row>
    <x:row r="388" ht="62" customHeight="1">
      <x:c r="A388" s="28" t="str">
        <x:v>STN-0387</x:v>
      </x:c>
      <x:c r="B388" s="28" t="str">
        <x:v>слива</x:v>
      </x:c>
      <x:c r="C388" s="28" t="str">
        <x:v>Десерты и выпечка</x:v>
      </x:c>
      <x:c r="D388" s="28" t="str">
        <x:v>слива</x:v>
      </x:c>
      <x:c r="E388" s="28" t="str">
        <x:v>plum</x:v>
      </x:c>
      <x:c r="F388" s="28" t="str">
        <x:v>Косточковые фрукты</x:v>
      </x:c>
      <x:c r="G388" s="28" t="str">
        <x:v>макадамия</x:v>
      </x:c>
      <x:c r="H388" s="28" t="str">
        <x:v>Макадамия</x:v>
      </x:c>
      <x:c r="I388" s="28" t="str">
        <x:v>Орехи и семена</x:v>
      </x:c>
      <x:c r="J388" s="28" t="str">
        <x:v>винно-фруктовый, цветочный, зелёный, пряный, миндальный; от свежего до тёмно-джемового</x:v>
      </x:c>
      <x:c r="K388" s="28" t="str">
        <x:v>ореховый, жареный, маслянистый и иногда миндальный</x:v>
      </x:c>
      <x:c r="L388" s="28" t="str">
        <x:v>фруктовые эфиры, γ- и δ-лактоны, бензальдегид, линалоол, C6-альдегиды, дамасконы</x:v>
      </x:c>
      <x:c r="M388" s="28" t="str">
        <x:v>пиразины, бензальдегид, филбертон, жирные альдегиды</x:v>
      </x:c>
      <x:c r="N388" s="28" t="str">
        <x:v>миндальный</x:v>
      </x:c>
      <x:c r="O388" s="28" t="str">
        <x:v>бензальдегид</x:v>
      </x:c>
      <x:c r="P388" s="28" t="str">
        <x:v>прямое или классовое перекрытие характерных одорантов + вкусовой баланс</x:v>
      </x:c>
      <x:c r="Q388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388" s="28" t="str">
        <x:v>слабый; кислота и полифенолы создают освежающе-вяжущий эффект; партнёр: обычно отсутствует</x:v>
      </x:c>
      <x:c r="S388" s="28" t="str">
        <x:v>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</x:v>
      </x:c>
      <x:c r="T388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38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Макадамия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388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W388" s="28" t="str">
        <x:v>ваниль, шоколад или корица</x:v>
      </x:c>
      <x:c r="X388" s="28" t="str">
        <x:v>тарт, крем, мороженое, выпечка, сырная подача или начинка</x:v>
      </x:c>
      <x:c r="Y388" s="28" t="str">
        <x:v>десерты; еда</x:v>
      </x:c>
      <x:c r="Z388" s="28" t="str">
        <x:v>Гипотеза / практическая</x:v>
      </x:c>
      <x:c r="AA388" s="28" t="str">
        <x:v>Таблица сочетания(1).pdf</x:v>
      </x:c>
      <x:c r="AB388" s="28" t="str">
        <x:v>Таблица сочетания(1).pdf: 12</x:v>
      </x:c>
      <x:c r="AC388" s="28" t="str">
        <x:v>Пара указана в строке «Макадамия»: «слива» находится в колонке «Фрукты».</x:v>
      </x:c>
      <x:c r="AD388" s="28" t="n">
        <x:v>1</x:v>
      </x:c>
      <x:c r="AE388" s="28" t="n">
        <x:v>1</x:v>
      </x:c>
      <x:c r="AF388" s="28" t="n">
        <x:f>IF(Z388="Высокая",3,IF(Z388="Средняя",2,1))+AD388*2+MIN(AE388,3)</x:f>
        <x:v>4</x:v>
      </x:c>
    </x:row>
    <x:row r="389" ht="62" customHeight="1">
      <x:c r="A389" s="28" t="str">
        <x:v>STN-0388</x:v>
      </x:c>
      <x:c r="B389" s="28" t="str">
        <x:v>слива</x:v>
      </x:c>
      <x:c r="C389" s="28" t="str">
        <x:v>Десерты и выпечка</x:v>
      </x:c>
      <x:c r="D389" s="28" t="str">
        <x:v>слива</x:v>
      </x:c>
      <x:c r="E389" s="28" t="str">
        <x:v>plum</x:v>
      </x:c>
      <x:c r="F389" s="28" t="str">
        <x:v>Косточковые фрукты</x:v>
      </x:c>
      <x:c r="G389" s="28" t="str">
        <x:v>малина</x:v>
      </x:c>
      <x:c r="H389" s="28" t="str">
        <x:v>Малина | малина</x:v>
      </x:c>
      <x:c r="I389" s="28" t="str">
        <x:v>Ягоды</x:v>
      </x:c>
      <x:c r="J389" s="28" t="str">
        <x:v>винно-фруктовый, цветочный, зелёный, пряный, миндальный; от свежего до тёмно-джемового</x:v>
      </x:c>
      <x:c r="K389" s="28" t="str">
        <x:v>красно-фруктовый, цветочный, зелёный и иногда сернистый</x:v>
      </x:c>
      <x:c r="L389" s="28" t="str">
        <x:v>фруктовые эфиры, γ- и δ-лактоны, бензальдегид, линалоол, C6-альдегиды, дамасконы</x:v>
      </x:c>
      <x:c r="M389" s="28" t="str">
        <x:v>фуранеол, эфиры, иононы, зелёные альдегиды</x:v>
      </x:c>
      <x:c r="N389" s="28" t="str">
        <x:v>цветочный, фруктовый, зелёный</x:v>
      </x:c>
      <x:c r="O389" s="28" t="str">
        <x:v>эфиры</x:v>
      </x:c>
      <x:c r="P389" s="28" t="str">
        <x:v>прямое или классовое перекрытие характерных одорантов + вкусовой баланс</x:v>
      </x:c>
      <x:c r="Q389" s="28" t="str">
        <x:v>Близкие фруктовые эфиры создают непрерывность, а различия в кислотности, терпкости и сладости формируют контраст.</x:v>
      </x:c>
      <x:c r="R389" s="28" t="str">
        <x:v>слабый; кислота и полифенолы создают освежающе-вяжущий эффект; партнёр: обычно слабый; кислота усиливает свежесть</x:v>
      </x:c>
      <x:c r="S389" s="28" t="str">
        <x:v>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</x:v>
      </x:c>
      <x:c r="T389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38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389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89" s="28" t="str">
        <x:v>ваниль, мята или миндаль</x:v>
      </x:c>
      <x:c r="X389" s="28" t="str">
        <x:v>сорбет, салат, джем, кордиал, лимонад, коктейль или фруктовый соус</x:v>
      </x:c>
      <x:c r="Y389" s="28" t="str">
        <x:v>напитки; десерты; соусы/маринады</x:v>
      </x:c>
      <x:c r="Z389" s="28" t="str">
        <x:v>Гипотеза / практическая</x:v>
      </x:c>
      <x:c r="AA389" s="28" t="str">
        <x:v>Таблица сочетания(1).pdf</x:v>
      </x:c>
      <x:c r="AB389" s="28" t="str">
        <x:v>Таблица сочетания(1).pdf: Таблица сочетаний: 17, 19 | Таблица сочетания(1).pdf: 17 | Таблица сочетания(1).pdf: 19</x:v>
      </x:c>
      <x:c r="AC389" s="28" t="str">
        <x:v>Слива: малина | Малина: слива Пара указана в строке «Слива» → колонка «Фрукты». Пара указана в строке «Малина»: «слива» находится в колонке «Фрукты».</x:v>
      </x:c>
      <x:c r="AD389" s="28" t="n">
        <x:v>1</x:v>
      </x:c>
      <x:c r="AE389" s="28" t="n">
        <x:v>3</x:v>
      </x:c>
      <x:c r="AF389" s="28" t="n">
        <x:f>IF(Z389="Высокая",3,IF(Z389="Средняя",2,1))+AD389*2+MIN(AE389,3)</x:f>
        <x:v>6</x:v>
      </x:c>
    </x:row>
    <x:row r="390" ht="62" customHeight="1">
      <x:c r="A390" s="28" t="str">
        <x:v>STN-0389</x:v>
      </x:c>
      <x:c r="B390" s="28" t="str">
        <x:v>слива</x:v>
      </x:c>
      <x:c r="C390" s="28" t="str">
        <x:v>Универсальные</x:v>
      </x:c>
      <x:c r="D390" s="28" t="str">
        <x:v>слива</x:v>
      </x:c>
      <x:c r="E390" s="28" t="str">
        <x:v>plum</x:v>
      </x:c>
      <x:c r="F390" s="28" t="str">
        <x:v>Косточковые фрукты</x:v>
      </x:c>
      <x:c r="G390" s="28" t="str">
        <x:v>мед</x:v>
      </x:c>
      <x:c r="H390" s="28" t="str">
        <x:v>мёд</x:v>
      </x:c>
      <x:c r="I390" s="28" t="str">
        <x:v>Сахара, мёд и кондитерские основы</x:v>
      </x:c>
      <x:c r="J390" s="28" t="str">
        <x:v>винно-фруктовый, цветочный, зелёный, пряный, миндальный; от свежего до тёмно-джемового</x:v>
      </x:c>
      <x:c r="K390" s="28" t="str">
        <x:v>цветочный, восковой и карамельный</x:v>
      </x:c>
      <x:c r="L390" s="28" t="str">
        <x:v>фруктовые эфиры, γ- и δ-лактоны, бензальдегид, линалоол, C6-альдегиды, дамасконы</x:v>
      </x:c>
      <x:c r="M390" s="28" t="str">
        <x:v>фенилуксусная кислота, фураны, терпены, зависящие от ботанического происхождения</x:v>
      </x:c>
      <x:c r="N390" s="28" t="str">
        <x:v>цветочный</x:v>
      </x:c>
      <x:c r="O390" s="28" t="str">
        <x:v>надёжный единичный общий маркер не подтверждён; механизм не сводится к одной молекуле</x:v>
      </x:c>
      <x:c r="P390" s="28" t="str">
        <x:v>комплементарность ароматических семейств, вкусовой контраст и матричный эффект</x:v>
      </x:c>
      <x:c r="Q390" s="28" t="str">
        <x:v>Базовый фрукт даёт: сладость и заметная яблочно-лимонная кислотность; кожица часто терпкая. Партнёр добавляет: высокая сладость. Баланс корректируется сахаром, кислотой, солью и горечью.</x:v>
      </x:c>
      <x:c r="R390" s="28" t="str">
        <x:v>слабый; кислота и полифенолы создают освежающе-вяжущий эффект; партнёр: отсутствует</x:v>
      </x:c>
      <x:c r="S390" s="28" t="str">
        <x:v>сочная пектиновая мякоть; кожица богата полифенолами; аромат хорошо работает в воде, сахаре и этаноле. Партнёр: вязкая сахарная; снижает летучесть и смягчает кислоту.</x:v>
      </x:c>
      <x:c r="T390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U39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сладость и заметная яблочно-лимонная кислотность; кожица часто терпкая. Партнёр добавляет: высокая сладость.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вязкая сахарная; снижает летучесть и смягчает кислоту.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V390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90" s="28" t="str">
        <x:v>мёд, цитрус или нейтральная жировая основа</x:v>
      </x:c>
      <x:c r="X390" s="28" t="str">
        <x:v>напиток, соус, десерт или горячее блюдо после пробной дегустации</x:v>
      </x:c>
      <x:c r="Y390" s="28" t="str">
        <x:v>напитки; еда; десерты; соусы/маринады</x:v>
      </x:c>
      <x:c r="Z390" s="28" t="str">
        <x:v>Гипотеза / практическая</x:v>
      </x:c>
      <x:c r="AA390" s="28" t="str">
        <x:v>Таблица сочетания(1).pdf</x:v>
      </x:c>
      <x:c r="AB390" s="28" t="str">
        <x:v>Таблица сочетания(1).pdf: 17</x:v>
      </x:c>
      <x:c r="AC390" s="28" t="str">
        <x:v>Пара указана в строке «Слива» → колонка «Другое».</x:v>
      </x:c>
      <x:c r="AD390" s="28" t="n">
        <x:v>1</x:v>
      </x:c>
      <x:c r="AE390" s="28" t="n">
        <x:v>1</x:v>
      </x:c>
      <x:c r="AF390" s="28" t="n">
        <x:f>IF(Z390="Высокая",3,IF(Z390="Средняя",2,1))+AD390*2+MIN(AE390,3)</x:f>
        <x:v>4</x:v>
      </x:c>
    </x:row>
    <x:row r="391" ht="62" customHeight="1">
      <x:c r="A391" s="28" t="str">
        <x:v>STN-0390</x:v>
      </x:c>
      <x:c r="B391" s="28" t="str">
        <x:v>слива</x:v>
      </x:c>
      <x:c r="C391" s="28" t="str">
        <x:v>Десерты и выпечка</x:v>
      </x:c>
      <x:c r="D391" s="28" t="str">
        <x:v>слива</x:v>
      </x:c>
      <x:c r="E391" s="28" t="str">
        <x:v>plum</x:v>
      </x:c>
      <x:c r="F391" s="28" t="str">
        <x:v>Косточковые фрукты</x:v>
      </x:c>
      <x:c r="G391" s="28" t="str">
        <x:v>миндаль</x:v>
      </x:c>
      <x:c r="H391" s="28" t="str">
        <x:v>Миндаль | миндаль</x:v>
      </x:c>
      <x:c r="I391" s="28" t="str">
        <x:v>Орехи и семена</x:v>
      </x:c>
      <x:c r="J391" s="28" t="str">
        <x:v>винно-фруктовый, цветочный, зелёный, пряный, миндальный; от свежего до тёмно-джемового</x:v>
      </x:c>
      <x:c r="K391" s="28" t="str">
        <x:v>марципановый и ореховый</x:v>
      </x:c>
      <x:c r="L391" s="28" t="str">
        <x:v>фруктовые эфиры, γ- и δ-лактоны, бензальдегид, линалоол, C6-альдегиды, дамасконы</x:v>
      </x:c>
      <x:c r="M391" s="28" t="str">
        <x:v>бензальдегид, пиразины после обжарки</x:v>
      </x:c>
      <x:c r="N391" s="28" t="str">
        <x:v>прямое семейное перекрытие не является главным механизмом</x:v>
      </x:c>
      <x:c r="O391" s="28" t="str">
        <x:v>бензальдегид</x:v>
      </x:c>
      <x:c r="P391" s="28" t="str">
        <x:v>прямое или классовое перекрытие характерных одорантов + вкусовой баланс</x:v>
      </x:c>
      <x:c r="Q391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391" s="28" t="str">
        <x:v>слабый; кислота и полифенолы создают освежающе-вяжущий эффект; партнёр: обычно отсутствует</x:v>
      </x:c>
      <x:c r="S391" s="28" t="str">
        <x:v>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</x:v>
      </x:c>
      <x:c r="T391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39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Миндаль относится к группе «Орехи и семена» и даёт профиль «марципановый и ореховый»; типичные соединения или классы: бензальдегид, пиразины после обжарки.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391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W391" s="28" t="str">
        <x:v>ваниль, шоколад или корица</x:v>
      </x:c>
      <x:c r="X391" s="28" t="str">
        <x:v>тарт, крем, мороженое, выпечка, сырная подача или начинка</x:v>
      </x:c>
      <x:c r="Y391" s="28" t="str">
        <x:v>десерты; еда</x:v>
      </x:c>
      <x:c r="Z391" s="28" t="str">
        <x:v>Гипотеза / практическая</x:v>
      </x:c>
      <x:c r="AA391" s="28" t="str">
        <x:v>Таблица сочетания(1).pdf</x:v>
      </x:c>
      <x:c r="AB391" s="28" t="str">
        <x:v>Таблица сочетания(1).pdf: 1 | Таблица сочетания(1).pdf: 17</x:v>
      </x:c>
      <x:c r="AC391" s="28" t="str">
        <x:v>Пара указана в строке «Миндаль»: «слива» находится в колонке «Фрукты». Пара указана в строке «Слива» → колонка «Другое».</x:v>
      </x:c>
      <x:c r="AD391" s="28" t="n">
        <x:v>1</x:v>
      </x:c>
      <x:c r="AE391" s="28" t="n">
        <x:v>2</x:v>
      </x:c>
      <x:c r="AF391" s="28" t="n">
        <x:f>IF(Z391="Высокая",3,IF(Z391="Средняя",2,1))+AD391*2+MIN(AE391,3)</x:f>
        <x:v>5</x:v>
      </x:c>
    </x:row>
    <x:row r="392" ht="62" customHeight="1">
      <x:c r="A392" s="28" t="str">
        <x:v>STN-0391</x:v>
      </x:c>
      <x:c r="B392" s="28" t="str">
        <x:v>слива</x:v>
      </x:c>
      <x:c r="C392" s="28" t="str">
        <x:v>Десерты и выпечка</x:v>
      </x:c>
      <x:c r="D392" s="28" t="str">
        <x:v>слива</x:v>
      </x:c>
      <x:c r="E392" s="28" t="str">
        <x:v>plum</x:v>
      </x:c>
      <x:c r="F392" s="28" t="str">
        <x:v>Косточковые фрукты</x:v>
      </x:c>
      <x:c r="G392" s="28" t="str">
        <x:v>мускатный орех</x:v>
      </x:c>
      <x:c r="H392" s="28" t="str">
        <x:v>мускатный орех</x:v>
      </x:c>
      <x:c r="I392" s="28" t="str">
        <x:v>Орехи и семена</x:v>
      </x:c>
      <x:c r="J392" s="28" t="str">
        <x:v>винно-фруктовый, цветочный, зелёный, пряный, миндальный; от свежего до тёмно-джемового</x:v>
      </x:c>
      <x:c r="K392" s="28" t="str">
        <x:v>ореховый, жареный, маслянистый и иногда миндальный</x:v>
      </x:c>
      <x:c r="L392" s="28" t="str">
        <x:v>фруктовые эфиры, γ- и δ-лактоны, бензальдегид, линалоол, C6-альдегиды, дамасконы</x:v>
      </x:c>
      <x:c r="M392" s="28" t="str">
        <x:v>пиразины, бензальдегид, филбертон, жирные альдегиды</x:v>
      </x:c>
      <x:c r="N392" s="28" t="str">
        <x:v>миндальный</x:v>
      </x:c>
      <x:c r="O392" s="28" t="str">
        <x:v>бензальдегид</x:v>
      </x:c>
      <x:c r="P392" s="28" t="str">
        <x:v>прямое или классовое перекрытие характерных одорантов + вкусовой баланс</x:v>
      </x:c>
      <x:c r="Q392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392" s="28" t="str">
        <x:v>слабый; кислота и полифенолы создают освежающе-вяжущий эффект; партнёр: обычно отсутствует</x:v>
      </x:c>
      <x:c r="S392" s="28" t="str">
        <x:v>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</x:v>
      </x:c>
      <x:c r="T39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39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Мускатный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392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W392" s="28" t="str">
        <x:v>ваниль, шоколад или корица</x:v>
      </x:c>
      <x:c r="X392" s="28" t="str">
        <x:v>тарт, крем, мороженое, выпечка, сырная подача или начинка</x:v>
      </x:c>
      <x:c r="Y392" s="28" t="str">
        <x:v>десерты; еда</x:v>
      </x:c>
      <x:c r="Z392" s="28" t="str">
        <x:v>Гипотеза / практическая</x:v>
      </x:c>
      <x:c r="AA392" s="28" t="str">
        <x:v>Таблица сочетания(1).pdf</x:v>
      </x:c>
      <x:c r="AB392" s="28" t="str">
        <x:v>Таблица сочетания(1).pdf: 17</x:v>
      </x:c>
      <x:c r="AC392" s="28" t="str">
        <x:v>Пара указана в строке «Слива» → колонка «Травы и специи».</x:v>
      </x:c>
      <x:c r="AD392" s="28" t="n">
        <x:v>1</x:v>
      </x:c>
      <x:c r="AE392" s="28" t="n">
        <x:v>1</x:v>
      </x:c>
      <x:c r="AF392" s="28" t="n">
        <x:f>IF(Z392="Высокая",3,IF(Z392="Средняя",2,1))+AD392*2+MIN(AE392,3)</x:f>
        <x:v>4</x:v>
      </x:c>
    </x:row>
    <x:row r="393" ht="62" customHeight="1">
      <x:c r="A393" s="28" t="str">
        <x:v>STN-0392</x:v>
      </x:c>
      <x:c r="B393" s="28" t="str">
        <x:v>слива</x:v>
      </x:c>
      <x:c r="C393" s="28" t="str">
        <x:v>Универсальные</x:v>
      </x:c>
      <x:c r="D393" s="28" t="str">
        <x:v>слива</x:v>
      </x:c>
      <x:c r="E393" s="28" t="str">
        <x:v>plum</x:v>
      </x:c>
      <x:c r="F393" s="28" t="str">
        <x:v>Косточковые фрукты</x:v>
      </x:c>
      <x:c r="G393" s="28" t="str">
        <x:v>мята</x:v>
      </x:c>
      <x:c r="H393" s="28" t="str">
        <x:v>Мята | мята</x:v>
      </x:c>
      <x:c r="I393" s="28" t="str">
        <x:v>Травы и цветы</x:v>
      </x:c>
      <x:c r="J393" s="28" t="str">
        <x:v>винно-фруктовый, цветочный, зелёный, пряный, миндальный; от свежего до тёмно-джемового</x:v>
      </x:c>
      <x:c r="K393" s="28" t="str">
        <x:v>свежий мятный</x:v>
      </x:c>
      <x:c r="L393" s="28" t="str">
        <x:v>фруктовые эфиры, γ- и δ-лактоны, бензальдегид, линалоол, C6-альдегиды, дамасконы</x:v>
      </x:c>
      <x:c r="M393" s="28" t="str">
        <x:v>ментол, ментон</x:v>
      </x:c>
      <x:c r="N393" s="28" t="str">
        <x:v>прямое семейное перекрытие не является главным механизмом</x:v>
      </x:c>
      <x:c r="O393" s="28" t="str">
        <x:v>надёжный единичный общий маркер не подтверждён; механизм не сводится к одной молекуле</x:v>
      </x:c>
      <x:c r="P393" s="28" t="str">
        <x:v>комплементарность ароматических семейств, вкусовой контраст и матричный эффект</x:v>
      </x:c>
      <x:c r="Q393" s="28" t="str">
        <x:v>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393" s="28" t="str">
        <x:v>слабый; кислота и полифенолы создают освежающе-вяжущий эффект; партнёр: ментол активирует холодовые рецепторы</x:v>
      </x:c>
      <x:c r="S393" s="28" t="str">
        <x:v>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</x:v>
      </x:c>
      <x:c r="T393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39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393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93" s="28" t="str">
        <x:v>мёд, цитрус или нейтральная жировая основа</x:v>
      </x:c>
      <x:c r="X393" s="28" t="str">
        <x:v>напиток, соус, десерт или горячее блюдо после пробной дегустации</x:v>
      </x:c>
      <x:c r="Y393" s="28" t="str">
        <x:v>напитки; еда; десерты; соусы/маринады</x:v>
      </x:c>
      <x:c r="Z393" s="28" t="str">
        <x:v>Гипотеза / практическая</x:v>
      </x:c>
      <x:c r="AA393" s="28" t="str">
        <x:v>Таблица сочетания(1).pdf</x:v>
      </x:c>
      <x:c r="AB393" s="28" t="str">
        <x:v>Таблица сочетания(1).pdf: 13 | Таблица сочетания(1).pdf: 17</x:v>
      </x:c>
      <x:c r="AC393" s="28" t="str">
        <x:v>Пара указана в строке «Мята»: «слива» находится в колонке «Фрукты». Пара указана в строке «Слива» → колонка «Травы и специи».</x:v>
      </x:c>
      <x:c r="AD393" s="28" t="n">
        <x:v>1</x:v>
      </x:c>
      <x:c r="AE393" s="28" t="n">
        <x:v>2</x:v>
      </x:c>
      <x:c r="AF393" s="28" t="n">
        <x:f>IF(Z393="Высокая",3,IF(Z393="Средняя",2,1))+AD393*2+MIN(AE393,3)</x:f>
        <x:v>5</x:v>
      </x:c>
    </x:row>
    <x:row r="394" ht="62" customHeight="1">
      <x:c r="A394" s="28" t="str">
        <x:v>STN-0393</x:v>
      </x:c>
      <x:c r="B394" s="28" t="str">
        <x:v>слива</x:v>
      </x:c>
      <x:c r="C394" s="28" t="str">
        <x:v>Еда и соусы</x:v>
      </x:c>
      <x:c r="D394" s="28" t="str">
        <x:v>слива</x:v>
      </x:c>
      <x:c r="E394" s="28" t="str">
        <x:v>plum</x:v>
      </x:c>
      <x:c r="F394" s="28" t="str">
        <x:v>Косточковые фрукты</x:v>
      </x:c>
      <x:c r="G394" s="28" t="str">
        <x:v>отварная или запеченная свекла</x:v>
      </x:c>
      <x:c r="H394" s="28" t="str">
        <x:v>Boiling or roasting beetroot</x:v>
      </x:c>
      <x:c r="I394" s="28" t="str">
        <x:v>Овощи и корнеплоды</x:v>
      </x:c>
      <x:c r="J394" s="28" t="str">
        <x:v>винно-фруктовый, цветочный, зелёный, пряный, миндальный; от свежего до тёмно-джемового</x:v>
      </x:c>
      <x:c r="K394" s="28" t="str">
        <x:v>зелёный, землистый, сладковатый или сернистый</x:v>
      </x:c>
      <x:c r="L394" s="28" t="str">
        <x:v>фруктовые эфиры, γ- и δ-лактоны, бензальдегид, линалоол, C6-альдегиды, дамасконы</x:v>
      </x:c>
      <x:c r="M394" s="28" t="str">
        <x:v>C6-альдегиды, метоксипиразины, терпены, сернистые соединения</x:v>
      </x:c>
      <x:c r="N394" s="28" t="str">
        <x:v>зелёный</x:v>
      </x:c>
      <x:c r="O394" s="28" t="str">
        <x:v>c6-альдегиды</x:v>
      </x:c>
      <x:c r="P394" s="28" t="str">
        <x:v>прямое или классовое перекрытие характерных одорантов + вкусовой баланс</x:v>
      </x:c>
      <x:c r="Q394" s="28" t="str">
        <x:v>Базовый фрукт даёт: сладость и заметная яблочно-лимонная кислотность; кожица часто терпкая. Партнёр добавляет: сладость, горечь, умами и вода. Баланс корректируется сахаром, кислотой, солью и горечью.</x:v>
      </x:c>
      <x:c r="R394" s="28" t="str">
        <x:v>слабый; кислота и полифенолы создают освежающе-вяжущий эффект; партнёр: зависит от продукта</x:v>
      </x:c>
      <x:c r="S394" s="28" t="str">
        <x:v>сочная пектиновая мякоть; кожица богата полифенолами; аромат хорошо работает в воде, сахаре и этаноле. Партнёр: водная и клетчаточная матрица; обжарка усиливает сладость и Майяр.</x:v>
      </x:c>
      <x:c r="T394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U39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Отварная или запеченная свекла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сладость и заметная яблочно-лимонная кислотность; кожица часто терпкая.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водная и клетчаточная матрица; обжарка усиливает сладость и Майяр.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V394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94" s="28" t="str">
        <x:v>мёд, травы или уксус</x:v>
      </x:c>
      <x:c r="X394" s="28" t="str">
        <x:v>соус, глазировка, чатни, маринад, гарнир или основное блюдо</x:v>
      </x:c>
      <x:c r="Y394" s="28" t="str">
        <x:v>еда; соусы/маринады</x:v>
      </x:c>
      <x:c r="Z394" s="28" t="str">
        <x:v>Средняя</x:v>
      </x:c>
      <x:c r="AA394" s="28" t="str">
        <x:v>The Art &amp; Science of Foodpairing.pdf</x:v>
      </x:c>
      <x:c r="AB394" s="28" t="str">
        <x:v>The Art &amp; Science of Foodpairing.pdf: 222</x:v>
      </x:c>
      <x:c r="AC394" s="28" t="str">
        <x:v>Ингредиент «plum» указан на странице профиля/сетки сочетаний «Boiling or roasting beetroot».</x:v>
      </x:c>
      <x:c r="AD394" s="28" t="n">
        <x:v>1</x:v>
      </x:c>
      <x:c r="AE394" s="28" t="n">
        <x:v>1</x:v>
      </x:c>
      <x:c r="AF394" s="28" t="n">
        <x:f>IF(Z394="Высокая",3,IF(Z394="Средняя",2,1))+AD394*2+MIN(AE394,3)</x:f>
        <x:v>5</x:v>
      </x:c>
    </x:row>
    <x:row r="395" ht="62" customHeight="1">
      <x:c r="A395" s="28" t="str">
        <x:v>STN-0394</x:v>
      </x:c>
      <x:c r="B395" s="28" t="str">
        <x:v>слива</x:v>
      </x:c>
      <x:c r="C395" s="28" t="str">
        <x:v>Еда и соусы</x:v>
      </x:c>
      <x:c r="D395" s="28" t="str">
        <x:v>слива</x:v>
      </x:c>
      <x:c r="E395" s="28" t="str">
        <x:v>plum</x:v>
      </x:c>
      <x:c r="F395" s="28" t="str">
        <x:v>Косточковые фрукты</x:v>
      </x:c>
      <x:c r="G395" s="28" t="str">
        <x:v>отварной корень сельдерея</x:v>
      </x:c>
      <x:c r="H395" s="28" t="str">
        <x:v>Boiled celeriac</x:v>
      </x:c>
      <x:c r="I395" s="28" t="str">
        <x:v>Овощи и корнеплоды</x:v>
      </x:c>
      <x:c r="J395" s="28" t="str">
        <x:v>винно-фруктовый, цветочный, зелёный, пряный, миндальный; от свежего до тёмно-джемового</x:v>
      </x:c>
      <x:c r="K395" s="28" t="str">
        <x:v>зелёный, землистый, сладковатый или сернистый</x:v>
      </x:c>
      <x:c r="L395" s="28" t="str">
        <x:v>фруктовые эфиры, γ- и δ-лактоны, бензальдегид, линалоол, C6-альдегиды, дамасконы</x:v>
      </x:c>
      <x:c r="M395" s="28" t="str">
        <x:v>C6-альдегиды, метоксипиразины, терпены, сернистые соединения</x:v>
      </x:c>
      <x:c r="N395" s="28" t="str">
        <x:v>зелёный</x:v>
      </x:c>
      <x:c r="O395" s="28" t="str">
        <x:v>c6-альдегиды</x:v>
      </x:c>
      <x:c r="P395" s="28" t="str">
        <x:v>прямое или классовое перекрытие характерных одорантов + вкусовой баланс</x:v>
      </x:c>
      <x:c r="Q395" s="28" t="str">
        <x:v>Базовый фрукт даёт: сладость и заметная яблочно-лимонная кислотность; кожица часто терпкая. Партнёр добавляет: сладость, горечь, умами и вода. Баланс корректируется сахаром, кислотой, солью и горечью.</x:v>
      </x:c>
      <x:c r="R395" s="28" t="str">
        <x:v>слабый; кислота и полифенолы создают освежающе-вяжущий эффект; партнёр: зависит от продукта</x:v>
      </x:c>
      <x:c r="S395" s="28" t="str">
        <x:v>сочная пектиновая мякоть; кожица богата полифенолами; аромат хорошо работает в воде, сахаре и этаноле. Партнёр: водная и клетчаточная матрица; обжарка усиливает сладость и Майяр.</x:v>
      </x:c>
      <x:c r="T395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U39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Отварной корень сельдерея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сладость и заметная яблочно-лимонная кислотность; кожица часто терпкая.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водная и клетчаточная матрица; обжарка усиливает сладость и Майяр.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V395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95" s="28" t="str">
        <x:v>мёд, травы или уксус</x:v>
      </x:c>
      <x:c r="X395" s="28" t="str">
        <x:v>соус, глазировка, чатни, маринад, гарнир или основное блюдо</x:v>
      </x:c>
      <x:c r="Y395" s="28" t="str">
        <x:v>еда; соусы/маринады</x:v>
      </x:c>
      <x:c r="Z395" s="28" t="str">
        <x:v>Средняя</x:v>
      </x:c>
      <x:c r="AA395" s="28" t="str">
        <x:v>The Art &amp; Science of Foodpairing.pdf</x:v>
      </x:c>
      <x:c r="AB395" s="28" t="str">
        <x:v>The Art &amp; Science of Foodpairing.pdf: 53</x:v>
      </x:c>
      <x:c r="AC395" s="28" t="str">
        <x:v>Ингредиент «hog plum» указан на странице профиля/сетки сочетаний «Boiled celeriac».</x:v>
      </x:c>
      <x:c r="AD395" s="28" t="n">
        <x:v>1</x:v>
      </x:c>
      <x:c r="AE395" s="28" t="n">
        <x:v>1</x:v>
      </x:c>
      <x:c r="AF395" s="28" t="n">
        <x:f>IF(Z395="Высокая",3,IF(Z395="Средняя",2,1))+AD395*2+MIN(AE395,3)</x:f>
        <x:v>5</x:v>
      </x:c>
    </x:row>
    <x:row r="396" ht="62" customHeight="1">
      <x:c r="A396" s="28" t="str">
        <x:v>STN-0395</x:v>
      </x:c>
      <x:c r="B396" s="28" t="str">
        <x:v>слива</x:v>
      </x:c>
      <x:c r="C396" s="28" t="str">
        <x:v>Еда и соусы</x:v>
      </x:c>
      <x:c r="D396" s="28" t="str">
        <x:v>слива</x:v>
      </x:c>
      <x:c r="E396" s="28" t="str">
        <x:v>plum</x:v>
      </x:c>
      <x:c r="F396" s="28" t="str">
        <x:v>Косточковые фрукты</x:v>
      </x:c>
      <x:c r="G396" s="28" t="str">
        <x:v>отварной лангустин</x:v>
      </x:c>
      <x:c r="H396" s="28" t="str">
        <x:v>Boiled langoustine</x:v>
      </x:c>
      <x:c r="I396" s="28" t="str">
        <x:v>Рыба и морепродукты</x:v>
      </x:c>
      <x:c r="J396" s="28" t="str">
        <x:v>винно-фруктовый, цветочный, зелёный, пряный, миндальный; от свежего до тёмно-джемового</x:v>
      </x:c>
      <x:c r="K396" s="28" t="str">
        <x:v>морской, солёный, умами, иногда йодистый и жареный</x:v>
      </x:c>
      <x:c r="L396" s="28" t="str">
        <x:v>фруктовые эфиры, γ- и δ-лактоны, бензальдегид, линалоол, C6-альдегиды, дамасконы</x:v>
      </x:c>
      <x:c r="M396" s="28" t="str">
        <x:v>амины, бромфенолы, альдегиды жирных кислот, сернистые соединения</x:v>
      </x:c>
      <x:c r="N396" s="28" t="str">
        <x:v>прямое семейное перекрытие не является главным механизмом</x:v>
      </x:c>
      <x:c r="O396" s="28" t="str">
        <x:v>надёжный единичный общий маркер не подтверждён; механизм не сводится к одной молекуле</x:v>
      </x:c>
      <x:c r="P396" s="28" t="str">
        <x:v>комплементарность ароматических семейств, вкусовой контраст и матричный эффект</x:v>
      </x:c>
      <x:c r="Q396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396" s="28" t="str">
        <x:v>слабый; кислота и полифенолы создают освежающе-вяжущий эффект; партнёр: нет выраженного</x:v>
      </x:c>
      <x:c r="S396" s="28" t="str">
        <x:v>сочная пектиновая мякоть; кожица богата полифенолами; аромат хорошо работает в воде, сахаре и этаноле. Партнёр: водно-белковая матрица; жирная рыба лучше удерживает лактоны.</x:v>
      </x:c>
      <x:c r="T39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U39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Отварной лангустин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богата полифенолами; аромат хорошо работает в воде, сахаре и этаноле. Партнёр: водно-белковая матрица; жирная рыба лучше удерживает лактоны.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V396" s="28" t="str">
        <x:v>избыток кожицы даёт грубую терпкость; косточки требуют осторожности. Сильная сладость и длительный контакт с кислотой могут замаскировать морской вкус и изменить белковую текстуру.</x:v>
      </x:c>
      <x:c r="W396" s="28" t="str">
        <x:v>цитрус, укроп или оливковое масло</x:v>
      </x:c>
      <x:c r="X396" s="28" t="str">
        <x:v>соус, глазировка, чатни, маринад, гарнир или основное блюдо</x:v>
      </x:c>
      <x:c r="Y396" s="28" t="str">
        <x:v>еда; соусы/маринады</x:v>
      </x:c>
      <x:c r="Z396" s="28" t="str">
        <x:v>Средняя</x:v>
      </x:c>
      <x:c r="AA396" s="28" t="str">
        <x:v>The Art &amp; Science of Foodpairing.pdf</x:v>
      </x:c>
      <x:c r="AB396" s="28" t="str">
        <x:v>The Art &amp; Science of Foodpairing.pdf: 152</x:v>
      </x:c>
      <x:c r="AC396" s="28" t="str">
        <x:v>Ингредиент «plum» указан на странице профиля/сетки сочетаний «Boiled langoustine».</x:v>
      </x:c>
      <x:c r="AD396" s="28" t="n">
        <x:v>1</x:v>
      </x:c>
      <x:c r="AE396" s="28" t="n">
        <x:v>1</x:v>
      </x:c>
      <x:c r="AF396" s="28" t="n">
        <x:f>IF(Z396="Высокая",3,IF(Z396="Средняя",2,1))+AD396*2+MIN(AE396,3)</x:f>
        <x:v>5</x:v>
      </x:c>
    </x:row>
    <x:row r="397" ht="62" customHeight="1">
      <x:c r="A397" s="28" t="str">
        <x:v>STN-0396</x:v>
      </x:c>
      <x:c r="B397" s="28" t="str">
        <x:v>слива</x:v>
      </x:c>
      <x:c r="C397" s="28" t="str">
        <x:v>Еда и соусы</x:v>
      </x:c>
      <x:c r="D397" s="28" t="str">
        <x:v>слива</x:v>
      </x:c>
      <x:c r="E397" s="28" t="str">
        <x:v>plum</x:v>
      </x:c>
      <x:c r="F397" s="28" t="str">
        <x:v>Косточковые фрукты</x:v>
      </x:c>
      <x:c r="G397" s="28" t="str">
        <x:v>пармиджано-реджано</x:v>
      </x:c>
      <x:c r="H397" s="28" t="str">
        <x:v>Parmigiano~Reggiano</x:v>
      </x:c>
      <x:c r="I397" s="28" t="str">
        <x:v>Рыба и морепродукты</x:v>
      </x:c>
      <x:c r="J397" s="28" t="str">
        <x:v>винно-фруктовый, цветочный, зелёный, пряный, миндальный; от свежего до тёмно-джемового</x:v>
      </x:c>
      <x:c r="K397" s="28" t="str">
        <x:v>жирный, морской, умами</x:v>
      </x:c>
      <x:c r="L397" s="28" t="str">
        <x:v>фруктовые эфиры, γ- и δ-лактоны, бензальдегид, линалоол, C6-альдегиды, дамасконы</x:v>
      </x:c>
      <x:c r="M397" s="28" t="str">
        <x:v>альдегиды, амины, сернистые соединения</x:v>
      </x:c>
      <x:c r="N397" s="28" t="str">
        <x:v>прямое семейное перекрытие не является главным механизмом</x:v>
      </x:c>
      <x:c r="O397" s="28" t="str">
        <x:v>надёжный единичный общий маркер не подтверждён; механизм не сводится к одной молекуле</x:v>
      </x:c>
      <x:c r="P397" s="28" t="str">
        <x:v>комплементарность ароматических семейств, вкусовой контраст и матричный эффект</x:v>
      </x:c>
      <x:c r="Q397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397" s="28" t="str">
        <x:v>слабый; кислота и полифенолы создают освежающе-вяжущий эффект; партнёр: обычно отсутствует; зависит от конкретного продукта</x:v>
      </x:c>
      <x:c r="S397" s="28" t="str">
        <x:v>сочная пектиновая мякоть; кожица богата полифенолами; аромат хорошо работает в воде, сахаре и этаноле. Партнёр: белковая/жировая матрица; кислота снижает рыбные ноты.</x:v>
      </x:c>
      <x:c r="T397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39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Пармиджано-реджано относится к группе «Рыба и морепродукты» и даёт профиль «жирный, морской, умами»; типичные соединения или классы: альдегиды, амины,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богата полифенолами; аромат хорошо работает в воде, сахаре и этаноле. Партнёр: белковая/жировая матрица; кислота снижает рыбные ноты.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397" s="28" t="str">
        <x:v>избыток кожицы даёт грубую терпкость; косточки требуют осторожности. Сильная сладость и длительный контакт с кислотой могут замаскировать морской вкус и изменить белковую текстуру.</x:v>
      </x:c>
      <x:c r="W397" s="28" t="str">
        <x:v>цитрус, укроп или оливковое масло</x:v>
      </x:c>
      <x:c r="X397" s="28" t="str">
        <x:v>соус, глазировка, чатни, маринад, гарнир или основное блюдо</x:v>
      </x:c>
      <x:c r="Y397" s="28" t="str">
        <x:v>еда; соусы/маринады</x:v>
      </x:c>
      <x:c r="Z397" s="28" t="str">
        <x:v>Средняя</x:v>
      </x:c>
      <x:c r="AA397" s="28" t="str">
        <x:v>The Art &amp; Science of Foodpairing.pdf</x:v>
      </x:c>
      <x:c r="AB397" s="28" t="str">
        <x:v>The Art &amp; Science of Foodpairing.pdf: 283</x:v>
      </x:c>
      <x:c r="AC397" s="28" t="str">
        <x:v>Ингредиент «plum» указан на странице профиля/сетки сочетаний «Parmigiano~Reggiano».</x:v>
      </x:c>
      <x:c r="AD397" s="28" t="n">
        <x:v>1</x:v>
      </x:c>
      <x:c r="AE397" s="28" t="n">
        <x:v>1</x:v>
      </x:c>
      <x:c r="AF397" s="28" t="n">
        <x:f>IF(Z397="Высокая",3,IF(Z397="Средняя",2,1))+AD397*2+MIN(AE397,3)</x:f>
        <x:v>5</x:v>
      </x:c>
    </x:row>
    <x:row r="398" ht="62" customHeight="1">
      <x:c r="A398" s="28" t="str">
        <x:v>STN-0397</x:v>
      </x:c>
      <x:c r="B398" s="28" t="str">
        <x:v>слива</x:v>
      </x:c>
      <x:c r="C398" s="28" t="str">
        <x:v>Универсальные</x:v>
      </x:c>
      <x:c r="D398" s="28" t="str">
        <x:v>слива</x:v>
      </x:c>
      <x:c r="E398" s="28" t="str">
        <x:v>plum</x:v>
      </x:c>
      <x:c r="F398" s="28" t="str">
        <x:v>Косточковые фрукты</x:v>
      </x:c>
      <x:c r="G398" s="28" t="str">
        <x:v>ревень</x:v>
      </x:c>
      <x:c r="H398" s="28" t="str">
        <x:v>ревень</x:v>
      </x:c>
      <x:c r="I398" s="28" t="str">
        <x:v>Прочее</x:v>
      </x:c>
      <x:c r="J398" s="28" t="str">
        <x:v>винно-фруктовый, цветочный, зелёный, пряный, миндальный; от свежего до тёмно-джемового</x:v>
      </x:c>
      <x:c r="K398" s="28" t="str">
        <x:v>ароматический профиль зависит от конкретного ингредиента</x:v>
      </x:c>
      <x:c r="L398" s="28" t="str">
        <x:v>фруктовые эфиры, γ- и δ-лактоны, бензальдегид, линалоол, C6-альдегиды, дамасконы</x:v>
      </x:c>
      <x:c r="M398" s="28" t="str">
        <x:v>летучие соединения конкретного продукта</x:v>
      </x:c>
      <x:c r="N398" s="28" t="str">
        <x:v>прямое семейное перекрытие не является главным механизмом</x:v>
      </x:c>
      <x:c r="O398" s="28" t="str">
        <x:v>надёжный единичный общий маркер не подтверждён; механизм не сводится к одной молекуле</x:v>
      </x:c>
      <x:c r="P398" s="28" t="str">
        <x:v>комплементарность ароматических семейств, вкусовой контраст и матричный эффект</x:v>
      </x:c>
      <x:c r="Q398" s="28" t="str">
        <x:v>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</x:v>
      </x:c>
      <x:c r="R398" s="28" t="str">
        <x:v>слабый; кислота и полифенолы создают освежающе-вяжущий эффект; партнёр: возможен в зависимости от состава</x:v>
      </x:c>
      <x:c r="S398" s="28" t="str">
        <x:v>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</x:v>
      </x:c>
      <x:c r="T398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U39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Ревень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V398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98" s="28" t="str">
        <x:v>мёд, цитрус или нейтральная жировая основа</x:v>
      </x:c>
      <x:c r="X398" s="28" t="str">
        <x:v>напиток, соус, десерт или горячее блюдо после пробной дегустации</x:v>
      </x:c>
      <x:c r="Y398" s="28" t="str">
        <x:v>напитки; еда; десерты; соусы/маринады</x:v>
      </x:c>
      <x:c r="Z398" s="28" t="str">
        <x:v>Гипотеза / практическая</x:v>
      </x:c>
      <x:c r="AA398" s="28" t="str">
        <x:v>Таблица сочетания(1).pdf</x:v>
      </x:c>
      <x:c r="AB398" s="28" t="str">
        <x:v>Таблица сочетания(1).pdf: 17</x:v>
      </x:c>
      <x:c r="AC398" s="28" t="str">
        <x:v>Пара указана в строке «Слива» → колонка «Другое».</x:v>
      </x:c>
      <x:c r="AD398" s="28" t="n">
        <x:v>1</x:v>
      </x:c>
      <x:c r="AE398" s="28" t="n">
        <x:v>1</x:v>
      </x:c>
      <x:c r="AF398" s="28" t="n">
        <x:f>IF(Z398="Высокая",3,IF(Z398="Средняя",2,1))+AD398*2+MIN(AE398,3)</x:f>
        <x:v>4</x:v>
      </x:c>
    </x:row>
    <x:row r="399" ht="62" customHeight="1">
      <x:c r="A399" s="28" t="str">
        <x:v>STN-0398</x:v>
      </x:c>
      <x:c r="B399" s="28" t="str">
        <x:v>слива</x:v>
      </x:c>
      <x:c r="C399" s="28" t="str">
        <x:v>Универсальные</x:v>
      </x:c>
      <x:c r="D399" s="28" t="str">
        <x:v>слива</x:v>
      </x:c>
      <x:c r="E399" s="28" t="str">
        <x:v>plum</x:v>
      </x:c>
      <x:c r="F399" s="28" t="str">
        <x:v>Косточковые фрукты</x:v>
      </x:c>
      <x:c r="G399" s="28" t="str">
        <x:v>рубленый чеснок</x:v>
      </x:c>
      <x:c r="H399" s="28" t="str">
        <x:v>Chopped garlic</x:v>
      </x:c>
      <x:c r="I399" s="28" t="str">
        <x:v>Прочее</x:v>
      </x:c>
      <x:c r="J399" s="28" t="str">
        <x:v>винно-фруктовый, цветочный, зелёный, пряный, миндальный; от свежего до тёмно-джемового</x:v>
      </x:c>
      <x:c r="K399" s="28" t="str">
        <x:v>комплексный профиль, зависящий от продукта</x:v>
      </x:c>
      <x:c r="L399" s="28" t="str">
        <x:v>фруктовые эфиры, γ- и δ-лактоны, бензальдегид, линалоол, C6-альдегиды, дамасконы</x:v>
      </x:c>
      <x:c r="M399" s="28" t="str">
        <x:v>нужен профиль конкретного ингредиента</x:v>
      </x:c>
      <x:c r="N399" s="28" t="str">
        <x:v>прямое семейное перекрытие не является главным механизмом</x:v>
      </x:c>
      <x:c r="O399" s="28" t="str">
        <x:v>надёжный единичный общий маркер не подтверждён; механизм не сводится к одной молекуле</x:v>
      </x:c>
      <x:c r="P399" s="28" t="str">
        <x:v>комплементарность ароматических семейств, вкусовой контраст и матричный эффект</x:v>
      </x:c>
      <x:c r="Q399" s="28" t="str">
        <x:v>Базовый фрукт даёт: сладость и заметная яблочно-лимонная кислотность; кожица часто терпкая. Партнёр добавляет: баланс зависит от продукта. Баланс корректируется сахаром, кислотой, солью и горечью.</x:v>
      </x:c>
      <x:c r="R399" s="28" t="str">
        <x:v>слабый; кислота и полифенолы создают освежающе-вяжущий эффект; партнёр: нет данных</x:v>
      </x:c>
      <x:c r="S399" s="28" t="str">
        <x:v>сочная пектиновая мякоть; кожица богата полифенолами; аромат хорошо работает в воде, сахаре и этаноле. Партнёр: матрица зависит от формы продукта.</x:v>
      </x:c>
      <x:c r="T399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U39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Рубленый чеснок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баланс зависит от продукта.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матрица зависит от формы продукта.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V399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399" s="28" t="str">
        <x:v>мёд, цитрус или нейтральная жировая основа</x:v>
      </x:c>
      <x:c r="X399" s="28" t="str">
        <x:v>напиток, соус, десерт или горячее блюдо после пробной дегустации</x:v>
      </x:c>
      <x:c r="Y399" s="28" t="str">
        <x:v>напитки; еда; десерты; соусы/маринады</x:v>
      </x:c>
      <x:c r="Z399" s="28" t="str">
        <x:v>Средняя</x:v>
      </x:c>
      <x:c r="AA399" s="28" t="str">
        <x:v>The Art &amp; Science of Foodpairing.pdf</x:v>
      </x:c>
      <x:c r="AB399" s="28" t="str">
        <x:v>The Art &amp; Science of Foodpairing.pdf: 112</x:v>
      </x:c>
      <x:c r="AC399" s="28" t="str">
        <x:v>Ингредиент «plum» указан на странице профиля/сетки сочетаний «Chopped garlic».</x:v>
      </x:c>
      <x:c r="AD399" s="28" t="n">
        <x:v>1</x:v>
      </x:c>
      <x:c r="AE399" s="28" t="n">
        <x:v>1</x:v>
      </x:c>
      <x:c r="AF399" s="28" t="n">
        <x:f>IF(Z399="Высокая",3,IF(Z399="Средняя",2,1))+AD399*2+MIN(AE399,3)</x:f>
        <x:v>5</x:v>
      </x:c>
    </x:row>
    <x:row r="400" ht="62" customHeight="1">
      <x:c r="A400" s="28" t="str">
        <x:v>STN-0399</x:v>
      </x:c>
      <x:c r="B400" s="28" t="str">
        <x:v>слива</x:v>
      </x:c>
      <x:c r="C400" s="28" t="str">
        <x:v>Универсальные</x:v>
      </x:c>
      <x:c r="D400" s="28" t="str">
        <x:v>слива</x:v>
      </x:c>
      <x:c r="E400" s="28" t="str">
        <x:v>plum</x:v>
      </x:c>
      <x:c r="F400" s="28" t="str">
        <x:v>Косточковые фрукты</x:v>
      </x:c>
      <x:c r="G400" s="28" t="str">
        <x:v>семена кардамона</x:v>
      </x:c>
      <x:c r="H400" s="28" t="str">
        <x:v>Cardamom seeds</x:v>
      </x:c>
      <x:c r="I400" s="28" t="str">
        <x:v>Специи</x:v>
      </x:c>
      <x:c r="J400" s="28" t="str">
        <x:v>винно-фруктовый, цветочный, зелёный, пряный, миндальный; от свежего до тёмно-джемового</x:v>
      </x:c>
      <x:c r="K400" s="28" t="str">
        <x:v>древесный, пряный, тёплый</x:v>
      </x:c>
      <x:c r="L400" s="28" t="str">
        <x:v>фруктовые эфиры, γ- и δ-лактоны, бензальдегид, линалоол, C6-альдегиды, дамасконы</x:v>
      </x:c>
      <x:c r="M400" s="28" t="str">
        <x:v>коричный альдегид, терпены, эвгенол</x:v>
      </x:c>
      <x:c r="N400" s="28" t="str">
        <x:v>пряный</x:v>
      </x:c>
      <x:c r="O400" s="28" t="str">
        <x:v>надёжный единичный общий маркер не подтверждён; механизм не сводится к одной молекуле</x:v>
      </x:c>
      <x:c r="P400" s="28" t="str">
        <x:v>комплементарность ароматических семейств, вкусовой контраст и матричный эффект</x:v>
      </x:c>
      <x:c r="Q400" s="28" t="str">
        <x:v>Базовый фрукт даёт: сладость и заметная яблочно-лимонная кислотность; кожица часто терпкая. Партнёр добавляет: пряный, иногда горький. Баланс корректируется сахаром, кислотой, солью и горечью.</x:v>
      </x:c>
      <x:c r="R400" s="28" t="str">
        <x:v>слабый; кислота и полифенолы создают освежающе-вяжущий эффект; партнёр: обычно отсутствует; зависит от конкретного продукта</x:v>
      </x:c>
      <x:c r="S400" s="28" t="str">
        <x:v>сочная пектиновая мякоть; кожица богата полифенолами; аромат хорошо работает в воде, сахаре и этаноле. Партнёр: эфирные масла хорошо извлекаются спиртом и жиром.</x:v>
      </x:c>
      <x:c r="T400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40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Семена кардамона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Общие ароматические направления: пряный. Базовый фрукт даёт: сладость и заметная яблочно-лимонная кислотность; кожица часто терпкая. Партнёр добавляет: пряный, иногда горький.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хорошо извлекаются спиртом и жиром.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400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400" s="28" t="str">
        <x:v>мёд, цитрус или нейтральная жировая основа</x:v>
      </x:c>
      <x:c r="X400" s="28" t="str">
        <x:v>напиток, соус, десерт или горячее блюдо после пробной дегустации</x:v>
      </x:c>
      <x:c r="Y400" s="28" t="str">
        <x:v>напитки; еда; десерты; соусы/маринады</x:v>
      </x:c>
      <x:c r="Z400" s="28" t="str">
        <x:v>Средняя</x:v>
      </x:c>
      <x:c r="AA400" s="28" t="str">
        <x:v>The Art &amp; Science of Foodpairing.pdf</x:v>
      </x:c>
      <x:c r="AB400" s="28" t="str">
        <x:v>The Art &amp; Science of Foodpairing.pdf: 256</x:v>
      </x:c>
      <x:c r="AC400" s="28" t="str">
        <x:v>Ингредиент «hog plum» указан на странице профиля/сетки сочетаний «Cardamom seeds».</x:v>
      </x:c>
      <x:c r="AD400" s="28" t="n">
        <x:v>1</x:v>
      </x:c>
      <x:c r="AE400" s="28" t="n">
        <x:v>1</x:v>
      </x:c>
      <x:c r="AF400" s="28" t="n">
        <x:f>IF(Z400="Высокая",3,IF(Z400="Средняя",2,1))+AD400*2+MIN(AE400,3)</x:f>
        <x:v>5</x:v>
      </x:c>
    </x:row>
    <x:row r="401" ht="62" customHeight="1">
      <x:c r="A401" s="28" t="str">
        <x:v>STN-0400</x:v>
      </x:c>
      <x:c r="B401" s="28" t="str">
        <x:v>слива</x:v>
      </x:c>
      <x:c r="C401" s="28" t="str">
        <x:v>Еда и соусы</x:v>
      </x:c>
      <x:c r="D401" s="28" t="str">
        <x:v>слива</x:v>
      </x:c>
      <x:c r="E401" s="28" t="str">
        <x:v>plum</x:v>
      </x:c>
      <x:c r="F401" s="28" t="str">
        <x:v>Косточковые фрукты</x:v>
      </x:c>
      <x:c r="G401" s="28" t="str">
        <x:v>традиционный бальзамический уксус</x:v>
      </x:c>
      <x:c r="H401" s="28" t="str">
        <x:v>Traditional balsamic vinegar</x:v>
      </x:c>
      <x:c r="I401" s="28" t="str">
        <x:v>Ферментированные продукты, соусы и уксусы</x:v>
      </x:c>
      <x:c r="J401" s="28" t="str">
        <x:v>винно-фруктовый, цветочный, зелёный, пряный, миндальный; от свежего до тёмно-джемового</x:v>
      </x:c>
      <x:c r="K401" s="28" t="str">
        <x:v>кислый, умами, ферментированный, солёный</x:v>
      </x:c>
      <x:c r="L401" s="28" t="str">
        <x:v>фруктовые эфиры, γ- и δ-лактоны, бензальдегид, линалоол, C6-альдегиды, дамасконы</x:v>
      </x:c>
      <x:c r="M401" s="28" t="str">
        <x:v>уксусная кислота, эфиры, аминокислотные и ферментационные соединения</x:v>
      </x:c>
      <x:c r="N401" s="28" t="str">
        <x:v>прямое семейное перекрытие не является главным механизмом</x:v>
      </x:c>
      <x:c r="O401" s="28" t="str">
        <x:v>эфиры</x:v>
      </x:c>
      <x:c r="P401" s="28" t="str">
        <x:v>прямое или классовое перекрытие характерных одорантов + вкусовой баланс</x:v>
      </x:c>
      <x:c r="Q401" s="28" t="str">
        <x:v>Кислота, соль и умами усиливают контраст с фруктовой сладостью; сочетание работает в малой дозировке как приправа.</x:v>
      </x:c>
      <x:c r="R401" s="28" t="str">
        <x:v>слабый; кислота и полифенолы создают освежающе-вяжущий эффект; партнёр: кислота усиливает слюноотделение</x:v>
      </x:c>
      <x:c r="S401" s="28" t="str">
        <x:v>сочная пектиновая мякоть; кожица богата полифенолами; аромат хорошо работает в воде, сахаре и этаноле. Партнёр: водная и солевая матрица; часть ароматов удерживается белком и сахаром.</x:v>
      </x:c>
      <x:c r="T401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U40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Традиционный бальзамический уксус относится к группе «Ферментированные продукты, соусы и уксусы» и даёт профиль «кислый, умами, ферментированный, солёный»; типичные соединения или классы: уксусная кислота, эфиры, аминокислотные и ферментационные соединения. В рабочих профилях пересекаются: эфиры. Кислота, соль и умами усиливают контраст с фруктовой сладостью; сочетание работает в малой дозировке как приправа. Матрица пары: сочная пектиновая мякоть; кожица богата полифенолами; аромат хорошо работает в воде, сахаре и этаноле. Партнёр: водная и солевая матрица; часть ароматов удерживается белком и сахаром.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V401" s="28" t="str">
        <x:v>избыток кожицы даёт грубую терпкость; косточки требуют осторожности. Соль и кислота быстро становятся доминирующими; используйте как акцент.</x:v>
      </x:c>
      <x:c r="W401" s="28" t="str">
        <x:v>мёд, имбирь или соевый соус</x:v>
      </x:c>
      <x:c r="X401" s="28" t="str">
        <x:v>соус, глазировка, чатни, маринад, гарнир или основное блюдо</x:v>
      </x:c>
      <x:c r="Y401" s="28" t="str">
        <x:v>еда; соусы/маринады</x:v>
      </x:c>
      <x:c r="Z401" s="28" t="str">
        <x:v>Средняя</x:v>
      </x:c>
      <x:c r="AA401" s="28" t="str">
        <x:v>The Art &amp; Science of Foodpairing.pdf</x:v>
      </x:c>
      <x:c r="AB401" s="28" t="str">
        <x:v>The Art &amp; Science of Foodpairing.pdf: 316</x:v>
      </x:c>
      <x:c r="AC401" s="28" t="str">
        <x:v>Ингредиент «plum» указан на странице профиля/сетки сочетаний «Traditional balsamic vinegar».</x:v>
      </x:c>
      <x:c r="AD401" s="28" t="n">
        <x:v>1</x:v>
      </x:c>
      <x:c r="AE401" s="28" t="n">
        <x:v>1</x:v>
      </x:c>
      <x:c r="AF401" s="28" t="n">
        <x:f>IF(Z401="Высокая",3,IF(Z401="Средняя",2,1))+AD401*2+MIN(AE401,3)</x:f>
        <x:v>5</x:v>
      </x:c>
    </x:row>
    <x:row r="402" ht="62" customHeight="1">
      <x:c r="A402" s="28" t="str">
        <x:v>STN-0401</x:v>
      </x:c>
      <x:c r="B402" s="28" t="str">
        <x:v>слива</x:v>
      </x:c>
      <x:c r="C402" s="28" t="str">
        <x:v>Универсальные</x:v>
      </x:c>
      <x:c r="D402" s="28" t="str">
        <x:v>слива</x:v>
      </x:c>
      <x:c r="E402" s="28" t="str">
        <x:v>plum</x:v>
      </x:c>
      <x:c r="F402" s="28" t="str">
        <x:v>Косточковые фрукты</x:v>
      </x:c>
      <x:c r="G402" s="28" t="str">
        <x:v>укроп</x:v>
      </x:c>
      <x:c r="H402" s="28" t="str">
        <x:v>укроп</x:v>
      </x:c>
      <x:c r="I402" s="28" t="str">
        <x:v>Травы и цветы</x:v>
      </x:c>
      <x:c r="J402" s="28" t="str">
        <x:v>винно-фруктовый, цветочный, зелёный, пряный, миндальный; от свежего до тёмно-джемового</x:v>
      </x:c>
      <x:c r="K402" s="28" t="str">
        <x:v>зелёный, цветочный, травянистый и эфирно-масличный</x:v>
      </x:c>
      <x:c r="L402" s="28" t="str">
        <x:v>фруктовые эфиры, γ- и δ-лактоны, бензальдегид, линалоол, C6-альдегиды, дамасконы</x:v>
      </x:c>
      <x:c r="M402" s="28" t="str">
        <x:v>линалоол, гераниол, эвгенол, 1,8-цинеол</x:v>
      </x:c>
      <x:c r="N402" s="28" t="str">
        <x:v>цветочный, зелёный</x:v>
      </x:c>
      <x:c r="O402" s="28" t="str">
        <x:v>линалоол</x:v>
      </x:c>
      <x:c r="P402" s="28" t="str">
        <x:v>прямое или классовое перекрытие характерных одорантов + вкусовой баланс</x:v>
      </x:c>
      <x:c r="Q402" s="28" t="str">
        <x:v>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402" s="28" t="str">
        <x:v>слабый; кислота и полифенолы создают освежающе-вяжущий эффект; партнёр: у мяты возможен холодящий эффект ментола; у некоторых трав — камфорность</x:v>
      </x:c>
      <x:c r="S402" s="28" t="str">
        <x:v>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</x:v>
      </x:c>
      <x:c r="T40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40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402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402" s="28" t="str">
        <x:v>мёд, цитрус или нейтральная жировая основа</x:v>
      </x:c>
      <x:c r="X402" s="28" t="str">
        <x:v>напиток, соус, десерт или горячее блюдо после пробной дегустации</x:v>
      </x:c>
      <x:c r="Y402" s="28" t="str">
        <x:v>напитки; еда; десерты; соусы/маринады</x:v>
      </x:c>
      <x:c r="Z402" s="28" t="str">
        <x:v>Гипотеза / практическая</x:v>
      </x:c>
      <x:c r="AA402" s="28" t="str">
        <x:v>Таблица сочетания(1).pdf</x:v>
      </x:c>
      <x:c r="AB402" s="28" t="str">
        <x:v>Таблица сочетания(1).pdf: 17</x:v>
      </x:c>
      <x:c r="AC402" s="28" t="str">
        <x:v>Пара указана в строке «Слива» → колонка «Травы и специи».</x:v>
      </x:c>
      <x:c r="AD402" s="28" t="n">
        <x:v>1</x:v>
      </x:c>
      <x:c r="AE402" s="28" t="n">
        <x:v>1</x:v>
      </x:c>
      <x:c r="AF402" s="28" t="n">
        <x:f>IF(Z402="Высокая",3,IF(Z402="Средняя",2,1))+AD402*2+MIN(AE402,3)</x:f>
        <x:v>4</x:v>
      </x:c>
    </x:row>
    <x:row r="403" ht="62" customHeight="1">
      <x:c r="A403" s="28" t="str">
        <x:v>STN-0402</x:v>
      </x:c>
      <x:c r="B403" s="28" t="str">
        <x:v>слива</x:v>
      </x:c>
      <x:c r="C403" s="28" t="str">
        <x:v>Десерты и выпечка</x:v>
      </x:c>
      <x:c r="D403" s="28" t="str">
        <x:v>слива</x:v>
      </x:c>
      <x:c r="E403" s="28" t="str">
        <x:v>plum</x:v>
      </x:c>
      <x:c r="F403" s="28" t="str">
        <x:v>Косточковые фрукты</x:v>
      </x:c>
      <x:c r="G403" s="28" t="str">
        <x:v>фисташка</x:v>
      </x:c>
      <x:c r="H403" s="28" t="str">
        <x:v>Фисташка</x:v>
      </x:c>
      <x:c r="I403" s="28" t="str">
        <x:v>Орехи и семена</x:v>
      </x:c>
      <x:c r="J403" s="28" t="str">
        <x:v>винно-фруктовый, цветочный, зелёный, пряный, миндальный; от свежего до тёмно-джемового</x:v>
      </x:c>
      <x:c r="K403" s="28" t="str">
        <x:v>ореховый, жареный, маслянистый и иногда миндальный</x:v>
      </x:c>
      <x:c r="L403" s="28" t="str">
        <x:v>фруктовые эфиры, γ- и δ-лактоны, бензальдегид, линалоол, C6-альдегиды, дамасконы</x:v>
      </x:c>
      <x:c r="M403" s="28" t="str">
        <x:v>пиразины, бензальдегид, филбертон, жирные альдегиды</x:v>
      </x:c>
      <x:c r="N403" s="28" t="str">
        <x:v>миндальный</x:v>
      </x:c>
      <x:c r="O403" s="28" t="str">
        <x:v>бензальдегид</x:v>
      </x:c>
      <x:c r="P403" s="28" t="str">
        <x:v>прямое или классовое перекрытие характерных одорантов + вкусовой баланс</x:v>
      </x:c>
      <x:c r="Q403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403" s="28" t="str">
        <x:v>слабый; кислота и полифенолы создают освежающе-вяжущий эффект; партнёр: обычно отсутствует</x:v>
      </x:c>
      <x:c r="S403" s="28" t="str">
        <x:v>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</x:v>
      </x:c>
      <x:c r="T403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40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Фисташка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403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W403" s="28" t="str">
        <x:v>ваниль, шоколад или корица</x:v>
      </x:c>
      <x:c r="X403" s="28" t="str">
        <x:v>тарт, крем, мороженое, выпечка, сырная подача или начинка</x:v>
      </x:c>
      <x:c r="Y403" s="28" t="str">
        <x:v>десерты; еда</x:v>
      </x:c>
      <x:c r="Z403" s="28" t="str">
        <x:v>Гипотеза / практическая</x:v>
      </x:c>
      <x:c r="AA403" s="28" t="str">
        <x:v>Таблица сочетания(1).pdf</x:v>
      </x:c>
      <x:c r="AB403" s="28" t="str">
        <x:v>Таблица сочетания(1).pdf: 17</x:v>
      </x:c>
      <x:c r="AC403" s="28" t="str">
        <x:v>Пара указана в строке «Фисташка»: «слива» находится в колонке «Фрукты».</x:v>
      </x:c>
      <x:c r="AD403" s="28" t="n">
        <x:v>1</x:v>
      </x:c>
      <x:c r="AE403" s="28" t="n">
        <x:v>1</x:v>
      </x:c>
      <x:c r="AF403" s="28" t="n">
        <x:f>IF(Z403="Высокая",3,IF(Z403="Средняя",2,1))+AD403*2+MIN(AE403,3)</x:f>
        <x:v>4</x:v>
      </x:c>
    </x:row>
    <x:row r="404" ht="62" customHeight="1">
      <x:c r="A404" s="28" t="str">
        <x:v>STN-0403</x:v>
      </x:c>
      <x:c r="B404" s="28" t="str">
        <x:v>слива</x:v>
      </x:c>
      <x:c r="C404" s="28" t="str">
        <x:v>Десерты и выпечка</x:v>
      </x:c>
      <x:c r="D404" s="28" t="str">
        <x:v>слива</x:v>
      </x:c>
      <x:c r="E404" s="28" t="str">
        <x:v>plum</x:v>
      </x:c>
      <x:c r="F404" s="28" t="str">
        <x:v>Косточковые фрукты</x:v>
      </x:c>
      <x:c r="G404" s="28" t="str">
        <x:v>фундук</x:v>
      </x:c>
      <x:c r="H404" s="28" t="str">
        <x:v>фундук</x:v>
      </x:c>
      <x:c r="I404" s="28" t="str">
        <x:v>Орехи и семена</x:v>
      </x:c>
      <x:c r="J404" s="28" t="str">
        <x:v>винно-фруктовый, цветочный, зелёный, пряный, миндальный; от свежего до тёмно-джемового</x:v>
      </x:c>
      <x:c r="K404" s="28" t="str">
        <x:v>жареный ореховый и маслянистый</x:v>
      </x:c>
      <x:c r="L404" s="28" t="str">
        <x:v>фруктовые эфиры, γ- и δ-лактоны, бензальдегид, линалоол, C6-альдегиды, дамасконы</x:v>
      </x:c>
      <x:c r="M404" s="28" t="str">
        <x:v>филбертон, пиразины</x:v>
      </x:c>
      <x:c r="N404" s="28" t="str">
        <x:v>прямое семейное перекрытие не является главным механизмом</x:v>
      </x:c>
      <x:c r="O404" s="28" t="str">
        <x:v>надёжный единичный общий маркер не подтверждён; механизм не сводится к одной молекуле</x:v>
      </x:c>
      <x:c r="P404" s="28" t="str">
        <x:v>комплементарность ароматических семейств, вкусовой контраст и матричный эффект</x:v>
      </x:c>
      <x:c r="Q404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404" s="28" t="str">
        <x:v>слабый; кислота и полифенолы создают освежающе-вяжущий эффект; партнёр: обычно отсутствует</x:v>
      </x:c>
      <x:c r="S404" s="28" t="str">
        <x:v>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</x:v>
      </x:c>
      <x:c r="T404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40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Фундук относится к группе «Орехи и семена» и даёт профиль «жареный ореховый и маслянистый»; типичные соединения или классы: филбертон, пиразины. По доступным материалам нельзя уверенно свести совместимость к одной общей молекуле.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404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W404" s="28" t="str">
        <x:v>ваниль, шоколад или корица</x:v>
      </x:c>
      <x:c r="X404" s="28" t="str">
        <x:v>тарт, крем, мороженое, выпечка, сырная подача или начинка</x:v>
      </x:c>
      <x:c r="Y404" s="28" t="str">
        <x:v>десерты; еда</x:v>
      </x:c>
      <x:c r="Z404" s="28" t="str">
        <x:v>Гипотеза / практическая</x:v>
      </x:c>
      <x:c r="AA404" s="28" t="str">
        <x:v>Таблица сочетания(1).pdf</x:v>
      </x:c>
      <x:c r="AB404" s="28" t="str">
        <x:v>Таблица сочетания(1).pdf: 17</x:v>
      </x:c>
      <x:c r="AC404" s="28" t="str">
        <x:v>Пара указана в строке «Слива» → колонка «Другое».</x:v>
      </x:c>
      <x:c r="AD404" s="28" t="n">
        <x:v>1</x:v>
      </x:c>
      <x:c r="AE404" s="28" t="n">
        <x:v>1</x:v>
      </x:c>
      <x:c r="AF404" s="28" t="n">
        <x:f>IF(Z404="Высокая",3,IF(Z404="Средняя",2,1))+AD404*2+MIN(AE404,3)</x:f>
        <x:v>4</x:v>
      </x:c>
    </x:row>
    <x:row r="405" ht="62" customHeight="1">
      <x:c r="A405" s="28" t="str">
        <x:v>STN-0404</x:v>
      </x:c>
      <x:c r="B405" s="28" t="str">
        <x:v>слива</x:v>
      </x:c>
      <x:c r="C405" s="28" t="str">
        <x:v>Универсальные</x:v>
      </x:c>
      <x:c r="D405" s="28" t="str">
        <x:v>слива</x:v>
      </x:c>
      <x:c r="E405" s="28" t="str">
        <x:v>plum</x:v>
      </x:c>
      <x:c r="F405" s="28" t="str">
        <x:v>Косточковые фрукты</x:v>
      </x:c>
      <x:c r="G405" s="28" t="str">
        <x:v>черный перец</x:v>
      </x:c>
      <x:c r="H405" s="28" t="str">
        <x:v>чёрный перец</x:v>
      </x:c>
      <x:c r="I405" s="28" t="str">
        <x:v>Специи и острые компоненты</x:v>
      </x:c>
      <x:c r="J405" s="28" t="str">
        <x:v>винно-фруктовый, цветочный, зелёный, пряный, миндальный; от свежего до тёмно-джемового</x:v>
      </x:c>
      <x:c r="K405" s="28" t="str">
        <x:v>древесный, цитрусовый и пряный</x:v>
      </x:c>
      <x:c r="L405" s="28" t="str">
        <x:v>фруктовые эфиры, γ- и δ-лактоны, бензальдегид, линалоол, C6-альдегиды, дамасконы</x:v>
      </x:c>
      <x:c r="M405" s="28" t="str">
        <x:v>пиперин, лимонен, сабинен</x:v>
      </x:c>
      <x:c r="N405" s="28" t="str">
        <x:v>пряный</x:v>
      </x:c>
      <x:c r="O405" s="28" t="str">
        <x:v>надёжный единичный общий маркер не подтверждён; механизм не сводится к одной молекуле</x:v>
      </x:c>
      <x:c r="P405" s="28" t="str">
        <x:v>комплементарность ароматических семейств, вкусовой контраст и матричный эффект</x:v>
      </x:c>
      <x:c r="Q405" s="28" t="str">
        <x:v>Сладость и кислота фрукта смягчают остроту и горечь специи, а пряный компонент удлиняет ароматическое послевкусие.</x:v>
      </x:c>
      <x:c r="R405" s="28" t="str">
        <x:v>слабый; кислота и полифенолы создают освежающе-вяжущий эффект; партнёр: пиперин создаёт сухое жжение</x:v>
      </x:c>
      <x:c r="S405" s="28" t="str">
        <x:v>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</x:v>
      </x:c>
      <x:c r="T405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40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Черный перец относится к группе «Специи и острые компоненты» и даёт профиль «древесный, цитрусовый и пряный»; типичные соединения или классы: пиперин, лимонен, сабинен.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405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W405" s="28" t="str">
        <x:v>мёд, цитрус или миндаль</x:v>
      </x:c>
      <x:c r="X405" s="28" t="str">
        <x:v>напиток, соус, десерт или горячее блюдо после пробной дегустации</x:v>
      </x:c>
      <x:c r="Y405" s="28" t="str">
        <x:v>напитки; еда; десерты; соусы/маринады</x:v>
      </x:c>
      <x:c r="Z405" s="28" t="str">
        <x:v>Гипотеза / практическая</x:v>
      </x:c>
      <x:c r="AA405" s="28" t="str">
        <x:v>Таблица сочетания(1).pdf</x:v>
      </x:c>
      <x:c r="AB405" s="28" t="str">
        <x:v>Таблица сочетания(1).pdf: 17</x:v>
      </x:c>
      <x:c r="AC405" s="28" t="str">
        <x:v>Пара указана в строке «Слива» → колонка «Травы и специи».</x:v>
      </x:c>
      <x:c r="AD405" s="28" t="n">
        <x:v>1</x:v>
      </x:c>
      <x:c r="AE405" s="28" t="n">
        <x:v>1</x:v>
      </x:c>
      <x:c r="AF405" s="28" t="n">
        <x:f>IF(Z405="Высокая",3,IF(Z405="Средняя",2,1))+AD405*2+MIN(AE405,3)</x:f>
        <x:v>4</x:v>
      </x:c>
    </x:row>
    <x:row r="406" ht="62" customHeight="1">
      <x:c r="A406" s="28" t="str">
        <x:v>STN-0405</x:v>
      </x:c>
      <x:c r="B406" s="28" t="str">
        <x:v>слива</x:v>
      </x:c>
      <x:c r="C406" s="28" t="str">
        <x:v>Десерты и выпечка</x:v>
      </x:c>
      <x:c r="D406" s="28" t="str">
        <x:v>слива</x:v>
      </x:c>
      <x:c r="E406" s="28" t="str">
        <x:v>plum</x:v>
      </x:c>
      <x:c r="F406" s="28" t="str">
        <x:v>Косточковые фрукты</x:v>
      </x:c>
      <x:c r="G406" s="28" t="str">
        <x:v>шелковица</x:v>
      </x:c>
      <x:c r="H406" s="28" t="str">
        <x:v>Шелковица</x:v>
      </x:c>
      <x:c r="I406" s="28" t="str">
        <x:v>Ягоды</x:v>
      </x:c>
      <x:c r="J406" s="28" t="str">
        <x:v>винно-фруктовый, цветочный, зелёный, пряный, миндальный; от свежего до тёмно-джемового</x:v>
      </x:c>
      <x:c r="K406" s="28" t="str">
        <x:v>красно-фруктовый, цветочный, зелёный и иногда сернистый</x:v>
      </x:c>
      <x:c r="L406" s="28" t="str">
        <x:v>фруктовые эфиры, γ- и δ-лактоны, бензальдегид, линалоол, C6-альдегиды, дамасконы</x:v>
      </x:c>
      <x:c r="M406" s="28" t="str">
        <x:v>фуранеол, эфиры, иононы, зелёные альдегиды</x:v>
      </x:c>
      <x:c r="N406" s="28" t="str">
        <x:v>цветочный, фруктовый, зелёный</x:v>
      </x:c>
      <x:c r="O406" s="28" t="str">
        <x:v>эфиры</x:v>
      </x:c>
      <x:c r="P406" s="28" t="str">
        <x:v>прямое или классовое перекрытие характерных одорантов + вкусовой баланс</x:v>
      </x:c>
      <x:c r="Q406" s="28" t="str">
        <x:v>Близкие фруктовые эфиры создают непрерывность, а различия в кислотности, терпкости и сладости формируют контраст.</x:v>
      </x:c>
      <x:c r="R406" s="28" t="str">
        <x:v>слабый; кислота и полифенолы создают освежающе-вяжущий эффект; партнёр: обычно слабый; кислота усиливает свежесть</x:v>
      </x:c>
      <x:c r="S406" s="28" t="str">
        <x:v>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</x:v>
      </x:c>
      <x:c r="T40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40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Шелковица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406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406" s="28" t="str">
        <x:v>ваниль, мята или миндаль</x:v>
      </x:c>
      <x:c r="X406" s="28" t="str">
        <x:v>сорбет, салат, джем, кордиал, лимонад, коктейль или фруктовый соус</x:v>
      </x:c>
      <x:c r="Y406" s="28" t="str">
        <x:v>напитки; десерты; соусы/маринады</x:v>
      </x:c>
      <x:c r="Z406" s="28" t="str">
        <x:v>Гипотеза / практическая</x:v>
      </x:c>
      <x:c r="AA406" s="28" t="str">
        <x:v>Таблица сочетания(1).pdf</x:v>
      </x:c>
      <x:c r="AB406" s="28" t="str">
        <x:v>Таблица сочетания(1).pdf: Таблица сочетаний: 13 | Таблица сочетания(1).pdf: 13</x:v>
      </x:c>
      <x:c r="AC406" s="28" t="str">
        <x:v>Шелковица: слива Пара указана в строке «Шелковица»: «слива» находится в колонке «Фрукты».</x:v>
      </x:c>
      <x:c r="AD406" s="28" t="n">
        <x:v>1</x:v>
      </x:c>
      <x:c r="AE406" s="28" t="n">
        <x:v>2</x:v>
      </x:c>
      <x:c r="AF406" s="28" t="n">
        <x:f>IF(Z406="Высокая",3,IF(Z406="Средняя",2,1))+AD406*2+MIN(AE406,3)</x:f>
        <x:v>5</x:v>
      </x:c>
    </x:row>
    <x:row r="407" ht="62" customHeight="1">
      <x:c r="A407" s="28" t="str">
        <x:v>STN-0406</x:v>
      </x:c>
      <x:c r="B407" s="28" t="str">
        <x:v>слива</x:v>
      </x:c>
      <x:c r="C407" s="28" t="str">
        <x:v>Универсальные</x:v>
      </x:c>
      <x:c r="D407" s="28" t="str">
        <x:v>слива</x:v>
      </x:c>
      <x:c r="E407" s="28" t="str">
        <x:v>plum</x:v>
      </x:c>
      <x:c r="F407" s="28" t="str">
        <x:v>Косточковые фрукты</x:v>
      </x:c>
      <x:c r="G407" s="28" t="str">
        <x:v>шоколад</x:v>
      </x:c>
      <x:c r="H407" s="28" t="str">
        <x:v>шоколад</x:v>
      </x:c>
      <x:c r="I407" s="28" t="str">
        <x:v>Чай, кофе и какао</x:v>
      </x:c>
      <x:c r="J407" s="28" t="str">
        <x:v>винно-фруктовый, цветочный, зелёный, пряный, миндальный; от свежего до тёмно-джемового</x:v>
      </x:c>
      <x:c r="K407" s="28" t="str">
        <x:v>какао, жареный, ореховый и фруктовый</x:v>
      </x:c>
      <x:c r="L407" s="28" t="str">
        <x:v>фруктовые эфиры, γ- и δ-лактоны, бензальдегид, линалоол, C6-альдегиды, дамасконы</x:v>
      </x:c>
      <x:c r="M407" s="28" t="str">
        <x:v>пиразины, альдегиды Стреккера, фураны</x:v>
      </x:c>
      <x:c r="N407" s="28" t="str">
        <x:v>фруктовый</x:v>
      </x:c>
      <x:c r="O407" s="28" t="str">
        <x:v>надёжный единичный общий маркер не подтверждён; механизм не сводится к одной молекуле</x:v>
      </x:c>
      <x:c r="P407" s="28" t="str">
        <x:v>комплементарность ароматических семейств, вкусовой контраст и матричный эффект</x:v>
      </x:c>
      <x:c r="Q407" s="28" t="str">
        <x:v>Базовый фрукт даёт: сладость и заметная яблочно-лимонная кислотность; кожица часто терпкая. Партнёр добавляет: горечь, терпкость и жареная сладость. Баланс корректируется сахаром, кислотой, солью и горечью.</x:v>
      </x:c>
      <x:c r="R407" s="28" t="str">
        <x:v>слабый; кислота и полифенолы создают освежающе-вяжущий эффект; партнёр: кофеин и терпкость создают сухость, но прямой тройничный эффект умерен</x:v>
      </x:c>
      <x:c r="S407" s="28" t="str">
        <x:v>сочная пектиновая мякоть; кожица богата полифенолами; аромат хорошо работает в воде, сахаре и этаноле. Партнёр: водные настои извлекают полифенолы; жир и сахар смягчают горечь.</x:v>
      </x:c>
      <x:c r="T407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U40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яблочно-лимонная кислотность; кожица часто терпкая. Партнёр добавляет: горечь, терпкость и жареная сладость.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водные настои извлекают полифенолы; жир и сахар смягчают горечь.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V407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407" s="28" t="str">
        <x:v>мёд, цитрус или нейтральная жировая основа</x:v>
      </x:c>
      <x:c r="X407" s="28" t="str">
        <x:v>напиток, соус, десерт или горячее блюдо после пробной дегустации</x:v>
      </x:c>
      <x:c r="Y407" s="28" t="str">
        <x:v>напитки; еда; десерты; соусы/маринады</x:v>
      </x:c>
      <x:c r="Z407" s="28" t="str">
        <x:v>Гипотеза / практическая</x:v>
      </x:c>
      <x:c r="AA407" s="28" t="str">
        <x:v>Таблица сочетания(1).pdf</x:v>
      </x:c>
      <x:c r="AB407" s="28" t="str">
        <x:v>Таблица сочетания(1).pdf: 17</x:v>
      </x:c>
      <x:c r="AC407" s="28" t="str">
        <x:v>Пара указана в строке «Слива» → колонка «Другое».</x:v>
      </x:c>
      <x:c r="AD407" s="28" t="n">
        <x:v>1</x:v>
      </x:c>
      <x:c r="AE407" s="28" t="n">
        <x:v>1</x:v>
      </x:c>
      <x:c r="AF407" s="28" t="n">
        <x:f>IF(Z407="Высокая",3,IF(Z407="Средняя",2,1))+AD407*2+MIN(AE407,3)</x:f>
        <x:v>4</x:v>
      </x:c>
    </x:row>
    <x:row r="408" ht="62" customHeight="1">
      <x:c r="A408" s="28" t="str">
        <x:v>STN-0407</x:v>
      </x:c>
      <x:c r="B408" s="28" t="str">
        <x:v>слива</x:v>
      </x:c>
      <x:c r="C408" s="28" t="str">
        <x:v>Универсальные</x:v>
      </x:c>
      <x:c r="D408" s="28" t="str">
        <x:v>слива</x:v>
      </x:c>
      <x:c r="E408" s="28" t="str">
        <x:v>plum</x:v>
      </x:c>
      <x:c r="F408" s="28" t="str">
        <x:v>Косточковые фрукты</x:v>
      </x:c>
      <x:c r="G408" s="28" t="str">
        <x:v>ягоды можжевельника</x:v>
      </x:c>
      <x:c r="H408" s="28" t="str">
        <x:v>Ягоды можжевельника</x:v>
      </x:c>
      <x:c r="I408" s="28" t="str">
        <x:v>Прочее</x:v>
      </x:c>
      <x:c r="J408" s="28" t="str">
        <x:v>винно-фруктовый, цветочный, зелёный, пряный, миндальный; от свежего до тёмно-джемового</x:v>
      </x:c>
      <x:c r="K408" s="28" t="str">
        <x:v>ароматический профиль зависит от конкретного ингредиента</x:v>
      </x:c>
      <x:c r="L408" s="28" t="str">
        <x:v>фруктовые эфиры, γ- и δ-лактоны, бензальдегид, линалоол, C6-альдегиды, дамасконы</x:v>
      </x:c>
      <x:c r="M408" s="28" t="str">
        <x:v>летучие соединения конкретного продукта</x:v>
      </x:c>
      <x:c r="N408" s="28" t="str">
        <x:v>прямое семейное перекрытие не является главным механизмом</x:v>
      </x:c>
      <x:c r="O408" s="28" t="str">
        <x:v>надёжный единичный общий маркер не подтверждён; механизм не сводится к одной молекуле</x:v>
      </x:c>
      <x:c r="P408" s="28" t="str">
        <x:v>комплементарность ароматических семейств, вкусовой контраст и матричный эффект</x:v>
      </x:c>
      <x:c r="Q408" s="28" t="str">
        <x:v>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</x:v>
      </x:c>
      <x:c r="R408" s="28" t="str">
        <x:v>слабый; кислота и полифенолы создают освежающе-вяжущий эффект; партнёр: возможен в зависимости от состава</x:v>
      </x:c>
      <x:c r="S408" s="28" t="str">
        <x:v>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</x:v>
      </x:c>
      <x:c r="T408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U40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Ягоды можжевельника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V408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W408" s="28" t="str">
        <x:v>мёд, цитрус или нейтральная жировая основа</x:v>
      </x:c>
      <x:c r="X408" s="28" t="str">
        <x:v>напиток, соус, десерт или горячее блюдо после пробной дегустации</x:v>
      </x:c>
      <x:c r="Y408" s="28" t="str">
        <x:v>напитки; еда; десерты; соусы/маринады</x:v>
      </x:c>
      <x:c r="Z408" s="28" t="str">
        <x:v>Гипотеза / практическая</x:v>
      </x:c>
      <x:c r="AA408" s="28" t="str">
        <x:v>Таблица сочетания(1).pdf</x:v>
      </x:c>
      <x:c r="AB408" s="28" t="str">
        <x:v>Таблица сочетания(1).pdf: 10</x:v>
      </x:c>
      <x:c r="AC408" s="28" t="str">
        <x:v>Пара указана в строке «Ягоды можжевельника»: «слива» находится в колонке «Фрукты».</x:v>
      </x:c>
      <x:c r="AD408" s="28" t="n">
        <x:v>1</x:v>
      </x:c>
      <x:c r="AE408" s="28" t="n">
        <x:v>1</x:v>
      </x:c>
      <x:c r="AF408" s="28" t="n">
        <x:f>IF(Z408="Высокая",3,IF(Z408="Средняя",2,1))+AD408*2+MIN(AE408,3)</x:f>
        <x:v>4</x:v>
      </x:c>
    </x:row>
    <x:row r="409" ht="62" customHeight="1">
      <x:c r="A409" s="28" t="str">
        <x:v>STN-0408</x:v>
      </x:c>
      <x:c r="B409" s="28" t="str">
        <x:v>чернослив</x:v>
      </x:c>
      <x:c r="C409" s="28" t="str">
        <x:v>Универсальные</x:v>
      </x:c>
      <x:c r="D409" s="28" t="str">
        <x:v>чернослив</x:v>
      </x:c>
      <x:c r="E409" s="28" t="str">
        <x:v>prune / dried plum</x:v>
      </x:c>
      <x:c r="F409" s="28" t="str">
        <x:v>Сушёные косточковые фрукты</x:v>
      </x:c>
      <x:c r="G409" s="28" t="str">
        <x:v>авокадо</x:v>
      </x:c>
      <x:c r="H409" s="28" t="str">
        <x:v>Avocado</x:v>
      </x:c>
      <x:c r="I409" s="28" t="str">
        <x:v>Тропические фрукты и жирные матрицы</x:v>
      </x:c>
      <x:c r="J409" s="28" t="str">
        <x:v>тёмно-фруктовый, карамельный, винный, слегка дымный и миндальный</x:v>
      </x:c>
      <x:c r="K409" s="28" t="str">
        <x:v>зелёный, травянистый, ореховый, маслянистый и слегка грибной</x:v>
      </x:c>
      <x:c r="L409" s="28" t="str">
        <x:v>фурфурол, 5-метилфурфурол, мальтол, лактоны, бензальдегид, продукты термического распада сахаров</x:v>
      </x:c>
      <x:c r="M409" s="28" t="str">
        <x:v>гексаналь, (E)-2-гексеналь, 1-гексен-3-он, спирты и продукты окисления липидов</x:v>
      </x:c>
      <x:c r="N409" s="28" t="str">
        <x:v>прямое семейное перекрытие не является главным механизмом</x:v>
      </x:c>
      <x:c r="O409" s="28" t="str">
        <x:v>надёжный единичный общий маркер не подтверждён; механизм не сводится к одной молекуле</x:v>
      </x:c>
      <x:c r="P409" s="28" t="str">
        <x:v>комплементарность ароматических семейств, вкусовой контраст и матричный эффект</x:v>
      </x:c>
      <x:c r="Q409" s="28" t="str">
        <x:v>Базовый фрукт даёт: высокая сладость, мягкая кислотность и плотная сухофруктовая насыщенность. Партнёр добавляет: мягкий, жирный, почти несладкий; лёгкая растительная горечь. Баланс корректируется сахаром, кислотой, солью и горечью.</x:v>
      </x:c>
      <x:c r="R409" s="28" t="str">
        <x:v>слабый; возможна лёгкая терпкость; партнёр: кислотное покалывание зависит от плода; специальные эффекты указаны в паспорте</x:v>
      </x:c>
      <x:c r="S409" s="28" t="str">
        <x:v>маловодная, богатая сахарами, пектином и сорбитолом; хорошо удерживает специи и алкоголь. Партнёр: высокожировая эмульсия; хорошо растворяет гидрофобные ароматические молекулы.</x:v>
      </x:c>
      <x:c r="T409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U40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мягкий, жирный, почти несладкий; лёгкая растительная горечь.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высокожировая эмульсия; хорошо растворяет гидрофобные ароматические молекулы.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V409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09" s="28" t="str">
        <x:v>мёд, цитрус или нейтральная жировая основа</x:v>
      </x:c>
      <x:c r="X409" s="28" t="str">
        <x:v>напиток, соус, десерт или горячее блюдо после пробной дегустации</x:v>
      </x:c>
      <x:c r="Y409" s="28" t="str">
        <x:v>напитки; еда; десерты; соусы/маринады</x:v>
      </x:c>
      <x:c r="Z409" s="28" t="str">
        <x:v>Средняя</x:v>
      </x:c>
      <x:c r="AA409" s="28" t="str">
        <x:v>The Art &amp; Science of Foodpairing.pdf</x:v>
      </x:c>
      <x:c r="AB409" s="28" t="str">
        <x:v>The Art &amp; Science of Foodpairing.pdf: 354</x:v>
      </x:c>
      <x:c r="AC409" s="28" t="str">
        <x:v>Ингредиент «Agen prunes» указан на странице профиля/сетки сочетаний «Avocado».</x:v>
      </x:c>
      <x:c r="AD409" s="28" t="n">
        <x:v>1</x:v>
      </x:c>
      <x:c r="AE409" s="28" t="n">
        <x:v>1</x:v>
      </x:c>
      <x:c r="AF409" s="28" t="n">
        <x:f>IF(Z409="Высокая",3,IF(Z409="Средняя",2,1))+AD409*2+MIN(AE409,3)</x:f>
        <x:v>5</x:v>
      </x:c>
    </x:row>
    <x:row r="410" ht="62" customHeight="1">
      <x:c r="A410" s="28" t="str">
        <x:v>STN-0409</x:v>
      </x:c>
      <x:c r="B410" s="28" t="str">
        <x:v>чернослив</x:v>
      </x:c>
      <x:c r="C410" s="28" t="str">
        <x:v>Универсальные</x:v>
      </x:c>
      <x:c r="D410" s="28" t="str">
        <x:v>чернослив</x:v>
      </x:c>
      <x:c r="E410" s="28" t="str">
        <x:v>prune / dried plum</x:v>
      </x:c>
      <x:c r="F410" s="28" t="str">
        <x:v>Сушёные косточковые фрукты</x:v>
      </x:c>
      <x:c r="G410" s="28" t="str">
        <x:v>ананас</x:v>
      </x:c>
      <x:c r="H410" s="28" t="str">
        <x:v>Pineapple</x:v>
      </x:c>
      <x:c r="I410" s="28" t="str">
        <x:v>Тропические фрукты</x:v>
      </x:c>
      <x:c r="J410" s="28" t="str">
        <x:v>тёмно-фруктовый, карамельный, винный, слегка дымный и миндальный</x:v>
      </x:c>
      <x:c r="K410" s="28" t="str">
        <x:v>яркий фруктовый, конфетный, цитрусовый, зелёный и слегка сернистый</x:v>
      </x:c>
      <x:c r="L410" s="28" t="str">
        <x:v>фурфурол, 5-метилфурфурол, мальтол, лактоны, бензальдегид, продукты термического распада сахаров</x:v>
      </x:c>
      <x:c r="M410" s="28" t="str">
        <x:v>метилгексаноат, этилгексаноат, этилбутират, метил-3-(метилтио)пропионат и другие сернистые следы</x:v>
      </x:c>
      <x:c r="N410" s="28" t="str">
        <x:v>фруктовый</x:v>
      </x:c>
      <x:c r="O410" s="28" t="str">
        <x:v>надёжный единичный общий маркер не подтверждён; механизм не сводится к одной молекуле</x:v>
      </x:c>
      <x:c r="P410" s="28" t="str">
        <x:v>комплементарность ароматических семейств, вкусовой контраст и матричный эффект</x:v>
      </x:c>
      <x:c r="Q410" s="28" t="str">
        <x:v>Базовый фрукт даёт: высокая сладость, мягкая кислотность и плотная сухофруктовая насыщенность. Партнёр добавляет: выраженная сладость и кислотность; лёгкая терпкость сердцевины. Баланс корректируется сахаром, кислотой, солью и горечью.</x:v>
      </x:c>
      <x:c r="R410" s="28" t="str">
        <x:v>слабый; возможна лёгкая терпкость; партнёр: кислотное покалывание зависит от плода; специальные эффекты указаны в паспорте</x:v>
      </x:c>
      <x:c r="S410" s="28" t="str">
        <x:v>маловодная, богатая сахарами, пектином и сорбитолом; хорошо удерживает специи и алкоголь. Партнёр: водная и кислая; содержит протеазу бромелайн, разрушающую белки.</x:v>
      </x:c>
      <x:c r="T410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U41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Ананас относится к группе «Тропические фрукты» и даёт профиль «яркий фруктовый, конфетный, цитрусовый, зелёный и слегка сернистый»; типичные соединения или классы: метилгексаноат, этилгексаноат, этилбутират, метил-3-(метилтио)пропионат и другие сернистые следы.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выраженная сладость и кислотность; лёгкая терпкость сердцевины.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водная и кислая; содержит протеазу бромелайн, разрушающую белки.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V410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10" s="28" t="str">
        <x:v>мёд, цитрус или нейтральная жировая основа</x:v>
      </x:c>
      <x:c r="X410" s="28" t="str">
        <x:v>напиток, соус, десерт или горячее блюдо после пробной дегустации</x:v>
      </x:c>
      <x:c r="Y410" s="28" t="str">
        <x:v>напитки; еда; десерты; соусы/маринады</x:v>
      </x:c>
      <x:c r="Z410" s="28" t="str">
        <x:v>Средняя</x:v>
      </x:c>
      <x:c r="AA410" s="28" t="str">
        <x:v>The Art &amp; Science of Foodpairing.pdf</x:v>
      </x:c>
      <x:c r="AB410" s="28" t="str">
        <x:v>The Art &amp; Science of Foodpairing.pdf: 242</x:v>
      </x:c>
      <x:c r="AC410" s="28" t="str">
        <x:v>Ингредиент «Agen prunes» указан на странице профиля/сетки сочетаний «Pineapple».</x:v>
      </x:c>
      <x:c r="AD410" s="28" t="n">
        <x:v>1</x:v>
      </x:c>
      <x:c r="AE410" s="28" t="n">
        <x:v>1</x:v>
      </x:c>
      <x:c r="AF410" s="28" t="n">
        <x:f>IF(Z410="Высокая",3,IF(Z410="Средняя",2,1))+AD410*2+MIN(AE410,3)</x:f>
        <x:v>5</x:v>
      </x:c>
    </x:row>
    <x:row r="411" ht="62" customHeight="1">
      <x:c r="A411" s="28" t="str">
        <x:v>STN-0410</x:v>
      </x:c>
      <x:c r="B411" s="28" t="str">
        <x:v>чернослив</x:v>
      </x:c>
      <x:c r="C411" s="28" t="str">
        <x:v>Универсальные</x:v>
      </x:c>
      <x:c r="D411" s="28" t="str">
        <x:v>чернослив</x:v>
      </x:c>
      <x:c r="E411" s="28" t="str">
        <x:v>prune / dried plum</x:v>
      </x:c>
      <x:c r="F411" s="28" t="str">
        <x:v>Сушёные косточковые фрукты</x:v>
      </x:c>
      <x:c r="G411" s="28" t="str">
        <x:v>анис</x:v>
      </x:c>
      <x:c r="H411" s="28" t="str">
        <x:v>анис</x:v>
      </x:c>
      <x:c r="I411" s="28" t="str">
        <x:v>Специи и острые компоненты</x:v>
      </x:c>
      <x:c r="J411" s="28" t="str">
        <x:v>тёмно-фруктовый, карамельный, винный, слегка дымный и миндальный</x:v>
      </x:c>
      <x:c r="K411" s="28" t="str">
        <x:v>сладкий лакричный и пряный</x:v>
      </x:c>
      <x:c r="L411" s="28" t="str">
        <x:v>фурфурол, 5-метилфурфурол, мальтол, лактоны, бензальдегид, продукты термического распада сахаров</x:v>
      </x:c>
      <x:c r="M411" s="28" t="str">
        <x:v>анетол</x:v>
      </x:c>
      <x:c r="N411" s="28" t="str">
        <x:v>прямое семейное перекрытие не является главным механизмом</x:v>
      </x:c>
      <x:c r="O411" s="28" t="str">
        <x:v>надёжный единичный общий маркер не подтверждён; механизм не сводится к одной молекуле</x:v>
      </x:c>
      <x:c r="P411" s="28" t="str">
        <x:v>комплементарность ароматических семейств, вкусовой контраст и матричный эффект</x:v>
      </x:c>
      <x:c r="Q411" s="28" t="str">
        <x:v>Сладость и кислота фрукта смягчают остроту и горечь специи, а пряный компонент удлиняет ароматическое послевкусие.</x:v>
      </x:c>
      <x:c r="R411" s="28" t="str">
        <x:v>слабый; возможна лёгкая терпкость; партнёр: капсаицин, пиперин, гингеролы и камфорные терпены создают жжение, тепло или охлаждение</x:v>
      </x:c>
      <x:c r="S411" s="28" t="str">
        <x:v>маловодная, богатая сахарами, пектином и сорбитолом; хорошо удерживает специи и алкоголь. Партнёр: ароматические масла хорошо переходят в жир и этанол.</x:v>
      </x:c>
      <x:c r="T411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41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Анис относится к группе «Специи и острые компоненты» и даёт профиль «сладкий лакричный и пряный»; типичные соединения или классы: анетол.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411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W411" s="28" t="str">
        <x:v>мёд, цитрус или миндаль</x:v>
      </x:c>
      <x:c r="X411" s="28" t="str">
        <x:v>напиток, соус, десерт или горячее блюдо после пробной дегустации</x:v>
      </x:c>
      <x:c r="Y411" s="28" t="str">
        <x:v>напитки; еда; десерты; соусы/маринады</x:v>
      </x:c>
      <x:c r="Z411" s="28" t="str">
        <x:v>Гипотеза / практическая</x:v>
      </x:c>
      <x:c r="AA411" s="28" t="str">
        <x:v>Таблица сочетания(1).pdf</x:v>
      </x:c>
      <x:c r="AB411" s="28" t="str">
        <x:v>Таблица сочетания(1).pdf: 18</x:v>
      </x:c>
      <x:c r="AC411" s="28" t="str">
        <x:v>Пара указана в строке «Чернослив» → колонка «Травы и специи».</x:v>
      </x:c>
      <x:c r="AD411" s="28" t="n">
        <x:v>1</x:v>
      </x:c>
      <x:c r="AE411" s="28" t="n">
        <x:v>1</x:v>
      </x:c>
      <x:c r="AF411" s="28" t="n">
        <x:f>IF(Z411="Высокая",3,IF(Z411="Средняя",2,1))+AD411*2+MIN(AE411,3)</x:f>
        <x:v>4</x:v>
      </x:c>
    </x:row>
    <x:row r="412" ht="62" customHeight="1">
      <x:c r="A412" s="28" t="str">
        <x:v>STN-0411</x:v>
      </x:c>
      <x:c r="B412" s="28" t="str">
        <x:v>чернослив</x:v>
      </x:c>
      <x:c r="C412" s="28" t="str">
        <x:v>Десерты и выпечка</x:v>
      </x:c>
      <x:c r="D412" s="28" t="str">
        <x:v>чернослив</x:v>
      </x:c>
      <x:c r="E412" s="28" t="str">
        <x:v>prune / dried plum</x:v>
      </x:c>
      <x:c r="F412" s="28" t="str">
        <x:v>Сушёные косточковые фрукты</x:v>
      </x:c>
      <x:c r="G412" s="28" t="str">
        <x:v>апельсин</x:v>
      </x:c>
      <x:c r="H412" s="28" t="str">
        <x:v>апельсин</x:v>
      </x:c>
      <x:c r="I412" s="28" t="str">
        <x:v>Цитрусовые</x:v>
      </x:c>
      <x:c r="J412" s="28" t="str">
        <x:v>тёмно-фруктовый, карамельный, винный, слегка дымный и миндальный</x:v>
      </x:c>
      <x:c r="K412" s="28" t="str">
        <x:v>сладкий цитрусовый и цветочный</x:v>
      </x:c>
      <x:c r="L412" s="28" t="str">
        <x:v>фурфурол, 5-метилфурфурол, мальтол, лактоны, бензальдегид, продукты термического распада сахаров</x:v>
      </x:c>
      <x:c r="M412" s="28" t="str">
        <x:v>лимонен, линалоол, деканаль</x:v>
      </x:c>
      <x:c r="N412" s="28" t="str">
        <x:v>прямое семейное перекрытие не является главным механизмом</x:v>
      </x:c>
      <x:c r="O412" s="28" t="str">
        <x:v>надёжный единичный общий маркер не подтверждён; механизм не сводится к одной молекуле</x:v>
      </x:c>
      <x:c r="P412" s="28" t="str">
        <x:v>комплементарность ароматических семейств, вкусовой контраст и матричный эффект</x:v>
      </x:c>
      <x:c r="Q412" s="28" t="str">
        <x:v>Близкие фруктовые эфиры создают непрерывность, а различия в кислотности, терпкости и сладости формируют контраст.</x:v>
      </x:c>
      <x:c r="R412" s="28" t="str">
        <x:v>слабый; возможна лёгкая терпкость; партнёр: кислота даёт покалывание и ощущение свежести</x:v>
      </x:c>
      <x:c r="S412" s="28" t="str">
        <x:v>маловодная, богатая сахарами, пектином и сорбитолом; хорошо удерживает специи и алкоголь. Партнёр: сок водный и кислый, цедра содержит гидрофобные эфирные масла.</x:v>
      </x:c>
      <x:c r="T412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41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сок водный и кислый, цедра содержит гидрофобные эфирные масла.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412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12" s="28" t="str">
        <x:v>ваниль, мёд или розмарин</x:v>
      </x:c>
      <x:c r="X412" s="28" t="str">
        <x:v>сорбет, салат, джем, кордиал, лимонад, коктейль или фруктовый соус</x:v>
      </x:c>
      <x:c r="Y412" s="28" t="str">
        <x:v>напитки; десерты; соусы/маринады</x:v>
      </x:c>
      <x:c r="Z412" s="28" t="str">
        <x:v>Гипотеза / практическая</x:v>
      </x:c>
      <x:c r="AA412" s="28" t="str">
        <x:v>Таблица сочетания(1).pdf</x:v>
      </x:c>
      <x:c r="AB412" s="28" t="str">
        <x:v>Таблица сочетания(1).pdf: Таблица сочетания(1).pdf: 18 | Таблица сочетания(1).pdf: 18</x:v>
      </x:c>
      <x:c r="AC412" s="28" t="str">
        <x:v>Пара указана в таблице: «Чернослив» → колонка «Фрукты». Пара указана в строке «Чернослив» → колонка «Фрукты».</x:v>
      </x:c>
      <x:c r="AD412" s="28" t="n">
        <x:v>1</x:v>
      </x:c>
      <x:c r="AE412" s="28" t="n">
        <x:v>2</x:v>
      </x:c>
      <x:c r="AF412" s="28" t="n">
        <x:f>IF(Z412="Высокая",3,IF(Z412="Средняя",2,1))+AD412*2+MIN(AE412,3)</x:f>
        <x:v>5</x:v>
      </x:c>
    </x:row>
    <x:row r="413" ht="62" customHeight="1">
      <x:c r="A413" s="28" t="str">
        <x:v>STN-0412</x:v>
      </x:c>
      <x:c r="B413" s="28" t="str">
        <x:v>чернослив</x:v>
      </x:c>
      <x:c r="C413" s="28" t="str">
        <x:v>Универсальные</x:v>
      </x:c>
      <x:c r="D413" s="28" t="str">
        <x:v>чернослив</x:v>
      </x:c>
      <x:c r="E413" s="28" t="str">
        <x:v>prune / dried plum</x:v>
      </x:c>
      <x:c r="F413" s="28" t="str">
        <x:v>Сушёные косточковые фрукты</x:v>
      </x:c>
      <x:c r="G413" s="28" t="str">
        <x:v>артишок</x:v>
      </x:c>
      <x:c r="H413" s="28" t="str">
        <x:v>Artichoke</x:v>
      </x:c>
      <x:c r="I413" s="28" t="str">
        <x:v>Овощи и грибы</x:v>
      </x:c>
      <x:c r="J413" s="28" t="str">
        <x:v>тёмно-фруктовый, карамельный, винный, слегка дымный и миндальный</x:v>
      </x:c>
      <x:c r="K413" s="28" t="str">
        <x:v>зелёный, землистый, сернистый</x:v>
      </x:c>
      <x:c r="L413" s="28" t="str">
        <x:v>фурфурол, 5-метилфурфурол, мальтол, лактоны, бензальдегид, продукты термического распада сахаров</x:v>
      </x:c>
      <x:c r="M413" s="28" t="str">
        <x:v>C6-альдегиды, пиразины, сернистые соединения</x:v>
      </x:c>
      <x:c r="N413" s="28" t="str">
        <x:v>прямое семейное перекрытие не является главным механизмом</x:v>
      </x:c>
      <x:c r="O413" s="28" t="str">
        <x:v>надёжный единичный общий маркер не подтверждён; механизм не сводится к одной молекуле</x:v>
      </x:c>
      <x:c r="P413" s="28" t="str">
        <x:v>комплементарность ароматических семейств, вкусовой контраст и матричный эффект</x:v>
      </x:c>
      <x:c r="Q413" s="28" t="str">
        <x:v>Базовый фрукт даёт: высокая сладость, мягкая кислотность и плотная сухофруктовая насыщенность. Партнёр добавляет: растительный, иногда умами. Баланс корректируется сахаром, кислотой, солью и горечью.</x:v>
      </x:c>
      <x:c r="R413" s="28" t="str">
        <x:v>слабый; возможна лёгкая терпкость; партнёр: обычно отсутствует; зависит от конкретного продукта</x:v>
      </x:c>
      <x:c r="S413" s="28" t="str">
        <x:v>маловодная, богатая сахарами, пектином и сорбитолом; хорошо удерживает специи и алкоголь. Партнёр: высокая доля воды; нагрев меняет зелёный профиль.</x:v>
      </x:c>
      <x:c r="T413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41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Артишок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растительный, иногда умами.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высокая доля воды; нагрев меняет зелёный профиль.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413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13" s="28" t="str">
        <x:v>мёд, цитрус или нейтральная жировая основа</x:v>
      </x:c>
      <x:c r="X413" s="28" t="str">
        <x:v>напиток, соус, десерт или горячее блюдо после пробной дегустации</x:v>
      </x:c>
      <x:c r="Y413" s="28" t="str">
        <x:v>напитки; еда; десерты; соусы/маринады</x:v>
      </x:c>
      <x:c r="Z413" s="28" t="str">
        <x:v>Средняя</x:v>
      </x:c>
      <x:c r="AA413" s="28" t="str">
        <x:v>The Art &amp; Science of Foodpairing.pdf</x:v>
      </x:c>
      <x:c r="AB413" s="28" t="str">
        <x:v>The Art &amp; Science of Foodpairing.pdf: 328</x:v>
      </x:c>
      <x:c r="AC413" s="28" t="str">
        <x:v>Ингредиент «Agen prunes» указан на странице профиля/сетки сочетаний «Artichoke».</x:v>
      </x:c>
      <x:c r="AD413" s="28" t="n">
        <x:v>1</x:v>
      </x:c>
      <x:c r="AE413" s="28" t="n">
        <x:v>1</x:v>
      </x:c>
      <x:c r="AF413" s="28" t="n">
        <x:f>IF(Z413="Высокая",3,IF(Z413="Средняя",2,1))+AD413*2+MIN(AE413,3)</x:f>
        <x:v>5</x:v>
      </x:c>
    </x:row>
    <x:row r="414" ht="62" customHeight="1">
      <x:c r="A414" s="28" t="str">
        <x:v>STN-0413</x:v>
      </x:c>
      <x:c r="B414" s="28" t="str">
        <x:v>чернослив</x:v>
      </x:c>
      <x:c r="C414" s="28" t="str">
        <x:v>Универсальные</x:v>
      </x:c>
      <x:c r="D414" s="28" t="str">
        <x:v>чернослив</x:v>
      </x:c>
      <x:c r="E414" s="28" t="str">
        <x:v>prune / dried plum</x:v>
      </x:c>
      <x:c r="F414" s="28" t="str">
        <x:v>Сушёные косточковые фрукты</x:v>
      </x:c>
      <x:c r="G414" s="28" t="str">
        <x:v>базилик</x:v>
      </x:c>
      <x:c r="H414" s="28" t="str">
        <x:v>Basil</x:v>
      </x:c>
      <x:c r="I414" s="28" t="str">
        <x:v>Травы и цветы</x:v>
      </x:c>
      <x:c r="J414" s="28" t="str">
        <x:v>тёмно-фруктовый, карамельный, винный, слегка дымный и миндальный</x:v>
      </x:c>
      <x:c r="K414" s="28" t="str">
        <x:v>зелёный, цветочный и пряный</x:v>
      </x:c>
      <x:c r="L414" s="28" t="str">
        <x:v>фурфурол, 5-метилфурфурол, мальтол, лактоны, бензальдегид, продукты термического распада сахаров</x:v>
      </x:c>
      <x:c r="M414" s="28" t="str">
        <x:v>линалоол, эвгенол, метилхавикол</x:v>
      </x:c>
      <x:c r="N414" s="28" t="str">
        <x:v>прямое семейное перекрытие не является главным механизмом</x:v>
      </x:c>
      <x:c r="O414" s="28" t="str">
        <x:v>надёжный единичный общий маркер не подтверждён; механизм не сводится к одной молекуле</x:v>
      </x:c>
      <x:c r="P414" s="28" t="str">
        <x:v>комплементарность ароматических семейств, вкусовой контраст и матричный эффект</x:v>
      </x:c>
      <x:c r="Q414" s="28" t="str">
        <x:v>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414" s="28" t="str">
        <x:v>слабый; возможна лёгкая терпкость; партнёр: у мяты возможен холодящий эффект ментола; у некоторых трав — камфорность</x:v>
      </x:c>
      <x:c r="S414" s="28" t="str">
        <x:v>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</x:v>
      </x:c>
      <x:c r="T41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41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414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14" s="28" t="str">
        <x:v>мёд, цитрус или нейтральная жировая основа</x:v>
      </x:c>
      <x:c r="X414" s="28" t="str">
        <x:v>напиток, соус, десерт или горячее блюдо после пробной дегустации</x:v>
      </x:c>
      <x:c r="Y414" s="28" t="str">
        <x:v>напитки; еда; десерты; соусы/маринады</x:v>
      </x:c>
      <x:c r="Z414" s="28" t="str">
        <x:v>Средняя</x:v>
      </x:c>
      <x:c r="AA414" s="28" t="str">
        <x:v>The Art &amp; Science of Foodpairing.pdf</x:v>
      </x:c>
      <x:c r="AB414" s="28" t="str">
        <x:v>The Art &amp; Science of Foodpairing.pdf: 75</x:v>
      </x:c>
      <x:c r="AC414" s="28" t="str">
        <x:v>Ингредиент «Agen prunes» указан на странице профиля/сетки сочетаний «Basil».</x:v>
      </x:c>
      <x:c r="AD414" s="28" t="n">
        <x:v>1</x:v>
      </x:c>
      <x:c r="AE414" s="28" t="n">
        <x:v>1</x:v>
      </x:c>
      <x:c r="AF414" s="28" t="n">
        <x:f>IF(Z414="Высокая",3,IF(Z414="Средняя",2,1))+AD414*2+MIN(AE414,3)</x:f>
        <x:v>5</x:v>
      </x:c>
    </x:row>
    <x:row r="415" ht="62" customHeight="1">
      <x:c r="A415" s="28" t="str">
        <x:v>STN-0414</x:v>
      </x:c>
      <x:c r="B415" s="28" t="str">
        <x:v>чернослив</x:v>
      </x:c>
      <x:c r="C415" s="28" t="str">
        <x:v>Универсальные</x:v>
      </x:c>
      <x:c r="D415" s="28" t="str">
        <x:v>чернослив</x:v>
      </x:c>
      <x:c r="E415" s="28" t="str">
        <x:v>prune / dried plum</x:v>
      </x:c>
      <x:c r="F415" s="28" t="str">
        <x:v>Сушёные косточковые фрукты</x:v>
      </x:c>
      <x:c r="G415" s="28" t="str">
        <x:v>бри</x:v>
      </x:c>
      <x:c r="H415" s="28" t="str">
        <x:v>Brie</x:v>
      </x:c>
      <x:c r="I415" s="28" t="str">
        <x:v>Прочее</x:v>
      </x:c>
      <x:c r="J415" s="28" t="str">
        <x:v>тёмно-фруктовый, карамельный, винный, слегка дымный и миндальный</x:v>
      </x:c>
      <x:c r="K415" s="28" t="str">
        <x:v>ароматический профиль зависит от конкретного ингредиента</x:v>
      </x:c>
      <x:c r="L415" s="28" t="str">
        <x:v>фурфурол, 5-метилфурфурол, мальтол, лактоны, бензальдегид, продукты термического распада сахаров</x:v>
      </x:c>
      <x:c r="M415" s="28" t="str">
        <x:v>летучие соединения конкретного продукта</x:v>
      </x:c>
      <x:c r="N415" s="28" t="str">
        <x:v>прямое семейное перекрытие не является главным механизмом</x:v>
      </x:c>
      <x:c r="O415" s="28" t="str">
        <x:v>надёжный единичный общий маркер не подтверждён; механизм не сводится к одной молекуле</x:v>
      </x:c>
      <x:c r="P415" s="28" t="str">
        <x:v>комплементарность ароматических семейств, вкусовой контраст и матричный эффект</x:v>
      </x:c>
      <x:c r="Q415" s="28" t="str">
        <x:v>Базовый фрукт даёт: высокая сладость, мягкая кислотность и плотная сухофруктовая насыщенность. Партнёр добавляет: сочетание оценивается по балансу сладости, кислоты, соли, горечи и умами. Баланс корректируется сахаром, кислотой, солью и горечью.</x:v>
      </x:c>
      <x:c r="R415" s="28" t="str">
        <x:v>слабый; возможна лёгкая терпкость; партнёр: возможен в зависимости от состава</x:v>
      </x:c>
      <x:c r="S415" s="28" t="str">
        <x:v>маловодная, богатая сахарами, пектином и сорбитолом; хорошо удерживает специи и алкоголь. Партнёр: важны вода, жир, белок, сахар и температура.</x:v>
      </x:c>
      <x:c r="T415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U415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Бри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важны вода, жир, белок, сахар и температура.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V415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15" s="28" t="str">
        <x:v>мёд, цитрус или нейтральная жировая основа</x:v>
      </x:c>
      <x:c r="X415" s="28" t="str">
        <x:v>напиток, соус, десерт или горячее блюдо после пробной дегустации</x:v>
      </x:c>
      <x:c r="Y415" s="28" t="str">
        <x:v>напитки; еда; десерты; соусы/маринады</x:v>
      </x:c>
      <x:c r="Z415" s="28" t="str">
        <x:v>Средняя</x:v>
      </x:c>
      <x:c r="AA415" s="28" t="str">
        <x:v>The Art &amp; Science of Foodpairing.pdf</x:v>
      </x:c>
      <x:c r="AB415" s="28" t="str">
        <x:v>The Art &amp; Science of Foodpairing.pdf: 336</x:v>
      </x:c>
      <x:c r="AC415" s="28" t="str">
        <x:v>Ингредиент «Agen prunes» указан на странице профиля/сетки сочетаний «Brie».</x:v>
      </x:c>
      <x:c r="AD415" s="28" t="n">
        <x:v>1</x:v>
      </x:c>
      <x:c r="AE415" s="28" t="n">
        <x:v>1</x:v>
      </x:c>
      <x:c r="AF415" s="28" t="n">
        <x:f>IF(Z415="Высокая",3,IF(Z415="Средняя",2,1))+AD415*2+MIN(AE415,3)</x:f>
        <x:v>5</x:v>
      </x:c>
    </x:row>
    <x:row r="416" ht="62" customHeight="1">
      <x:c r="A416" s="28" t="str">
        <x:v>STN-0415</x:v>
      </x:c>
      <x:c r="B416" s="28" t="str">
        <x:v>чернослив</x:v>
      </x:c>
      <x:c r="C416" s="28" t="str">
        <x:v>Универсальные</x:v>
      </x:c>
      <x:c r="D416" s="28" t="str">
        <x:v>чернослив</x:v>
      </x:c>
      <x:c r="E416" s="28" t="str">
        <x:v>prune / dried plum</x:v>
      </x:c>
      <x:c r="F416" s="28" t="str">
        <x:v>Сушёные косточковые фрукты</x:v>
      </x:c>
      <x:c r="G416" s="28" t="str">
        <x:v>гвоздика</x:v>
      </x:c>
      <x:c r="H416" s="28" t="str">
        <x:v>Гвоздика | гвоздика</x:v>
      </x:c>
      <x:c r="I416" s="28" t="str">
        <x:v>Специи и острые компоненты</x:v>
      </x:c>
      <x:c r="J416" s="28" t="str">
        <x:v>тёмно-фруктовый, карамельный, винный, слегка дымный и миндальный</x:v>
      </x:c>
      <x:c r="K416" s="28" t="str">
        <x:v>тёплый, фенольный и пряный</x:v>
      </x:c>
      <x:c r="L416" s="28" t="str">
        <x:v>фурфурол, 5-метилфурфурол, мальтол, лактоны, бензальдегид, продукты термического распада сахаров</x:v>
      </x:c>
      <x:c r="M416" s="28" t="str">
        <x:v>эвгенол, эвгенилацетат</x:v>
      </x:c>
      <x:c r="N416" s="28" t="str">
        <x:v>прямое семейное перекрытие не является главным механизмом</x:v>
      </x:c>
      <x:c r="O416" s="28" t="str">
        <x:v>надёжный единичный общий маркер не подтверждён; механизм не сводится к одной молекуле</x:v>
      </x:c>
      <x:c r="P416" s="28" t="str">
        <x:v>комплементарность ароматических семейств, вкусовой контраст и матричный эффект</x:v>
      </x:c>
      <x:c r="Q416" s="28" t="str">
        <x:v>Сладость и кислота фрукта смягчают остроту и горечь специи, а пряный компонент удлиняет ароматическое послевкусие.</x:v>
      </x:c>
      <x:c r="R416" s="28" t="str">
        <x:v>слабый; возможна лёгкая терпкость; партнёр: капсаицин, пиперин, гингеролы и камфорные терпены создают жжение, тепло или охлаждение</x:v>
      </x:c>
      <x:c r="S416" s="28" t="str">
        <x:v>маловодная, богатая сахарами, пектином и сорбитолом; хорошо удерживает специи и алкоголь. Партнёр: ароматические масла хорошо переходят в жир и этанол.</x:v>
      </x:c>
      <x:c r="T416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416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Гвоздика относится к группе «Специи и острые компоненты» и даёт профиль «тёплый, фенольный и пряный»; типичные соединения или классы: эвгенол, эвгенилацетат.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416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W416" s="28" t="str">
        <x:v>мёд, цитрус или миндаль</x:v>
      </x:c>
      <x:c r="X416" s="28" t="str">
        <x:v>напиток, соус, десерт или горячее блюдо после пробной дегустации</x:v>
      </x:c>
      <x:c r="Y416" s="28" t="str">
        <x:v>напитки; еда; десерты; соусы/маринады</x:v>
      </x:c>
      <x:c r="Z416" s="28" t="str">
        <x:v>Гипотеза / практическая</x:v>
      </x:c>
      <x:c r="AA416" s="28" t="str">
        <x:v>Таблица сочетания(1).pdf</x:v>
      </x:c>
      <x:c r="AB416" s="28" t="str">
        <x:v>Таблица сочетания(1).pdf: 5 | Таблица сочетания(1).pdf: 18</x:v>
      </x:c>
      <x:c r="AC416" s="28" t="str">
        <x:v>Пара указана в строке «Гвоздика»: «чернослив» находится в колонке «Фрукты». Пара указана в строке «Чернослив» → колонка «Травы и специи».</x:v>
      </x:c>
      <x:c r="AD416" s="28" t="n">
        <x:v>1</x:v>
      </x:c>
      <x:c r="AE416" s="28" t="n">
        <x:v>2</x:v>
      </x:c>
      <x:c r="AF416" s="28" t="n">
        <x:f>IF(Z416="Высокая",3,IF(Z416="Средняя",2,1))+AD416*2+MIN(AE416,3)</x:f>
        <x:v>5</x:v>
      </x:c>
    </x:row>
    <x:row r="417" ht="62" customHeight="1">
      <x:c r="A417" s="28" t="str">
        <x:v>STN-0416</x:v>
      </x:c>
      <x:c r="B417" s="28" t="str">
        <x:v>чернослив</x:v>
      </x:c>
      <x:c r="C417" s="28" t="str">
        <x:v>Десерты и выпечка</x:v>
      </x:c>
      <x:c r="D417" s="28" t="str">
        <x:v>чернослив</x:v>
      </x:c>
      <x:c r="E417" s="28" t="str">
        <x:v>prune / dried plum</x:v>
      </x:c>
      <x:c r="F417" s="28" t="str">
        <x:v>Сушёные косточковые фрукты</x:v>
      </x:c>
      <x:c r="G417" s="28" t="str">
        <x:v>грецкий орех</x:v>
      </x:c>
      <x:c r="H417" s="28" t="str">
        <x:v>грецкий орех</x:v>
      </x:c>
      <x:c r="I417" s="28" t="str">
        <x:v>Орехи и семена</x:v>
      </x:c>
      <x:c r="J417" s="28" t="str">
        <x:v>тёмно-фруктовый, карамельный, винный, слегка дымный и миндальный</x:v>
      </x:c>
      <x:c r="K417" s="28" t="str">
        <x:v>ореховый, жареный, маслянистый и иногда миндальный</x:v>
      </x:c>
      <x:c r="L417" s="28" t="str">
        <x:v>фурфурол, 5-метилфурфурол, мальтол, лактоны, бензальдегид, продукты термического распада сахаров</x:v>
      </x:c>
      <x:c r="M417" s="28" t="str">
        <x:v>пиразины, бензальдегид, филбертон, жирные альдегиды</x:v>
      </x:c>
      <x:c r="N417" s="28" t="str">
        <x:v>миндальный</x:v>
      </x:c>
      <x:c r="O417" s="28" t="str">
        <x:v>бензальдегид</x:v>
      </x:c>
      <x:c r="P417" s="28" t="str">
        <x:v>прямое или классовое перекрытие характерных одорантов + вкусовой баланс</x:v>
      </x:c>
      <x:c r="Q417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417" s="28" t="str">
        <x:v>слабый; возможна лёгкая терпкость; партнёр: обычно отсутствует</x:v>
      </x:c>
      <x:c r="S417" s="28" t="str">
        <x:v>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</x:v>
      </x:c>
      <x:c r="T417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417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Грецкий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417" s="28" t="str">
        <x:v>легко сделать вкус тяжёлым и приторным; нужна кислота, соль, горечь или умами. Сильная обжарка и прогорклый жир перекрывают цветочный профиль.</x:v>
      </x:c>
      <x:c r="W417" s="28" t="str">
        <x:v>ваниль, шоколад или корица</x:v>
      </x:c>
      <x:c r="X417" s="28" t="str">
        <x:v>тарт, крем, мороженое, выпечка, сырная подача или начинка</x:v>
      </x:c>
      <x:c r="Y417" s="28" t="str">
        <x:v>десерты; еда</x:v>
      </x:c>
      <x:c r="Z417" s="28" t="str">
        <x:v>Гипотеза / практическая</x:v>
      </x:c>
      <x:c r="AA417" s="28" t="str">
        <x:v>Таблица сочетания(1).pdf</x:v>
      </x:c>
      <x:c r="AB417" s="28" t="str">
        <x:v>Таблица сочетания(1).pdf: 18</x:v>
      </x:c>
      <x:c r="AC417" s="28" t="str">
        <x:v>Пара указана в строке «Чернослив» → колонка «Другое».</x:v>
      </x:c>
      <x:c r="AD417" s="28" t="n">
        <x:v>1</x:v>
      </x:c>
      <x:c r="AE417" s="28" t="n">
        <x:v>1</x:v>
      </x:c>
      <x:c r="AF417" s="28" t="n">
        <x:f>IF(Z417="Высокая",3,IF(Z417="Средняя",2,1))+AD417*2+MIN(AE417,3)</x:f>
        <x:v>4</x:v>
      </x:c>
    </x:row>
    <x:row r="418" ht="62" customHeight="1">
      <x:c r="A418" s="28" t="str">
        <x:v>STN-0417</x:v>
      </x:c>
      <x:c r="B418" s="28" t="str">
        <x:v>чернослив</x:v>
      </x:c>
      <x:c r="C418" s="28" t="str">
        <x:v>Универсальные</x:v>
      </x:c>
      <x:c r="D418" s="28" t="str">
        <x:v>чернослив</x:v>
      </x:c>
      <x:c r="E418" s="28" t="str">
        <x:v>prune / dried plum</x:v>
      </x:c>
      <x:c r="F418" s="28" t="str">
        <x:v>Сушёные косточковые фрукты</x:v>
      </x:c>
      <x:c r="G418" s="28" t="str">
        <x:v>груша</x:v>
      </x:c>
      <x:c r="H418" s="28" t="str">
        <x:v>груша</x:v>
      </x:c>
      <x:c r="I418" s="28" t="str">
        <x:v>Семечковые фрукты</x:v>
      </x:c>
      <x:c r="J418" s="28" t="str">
        <x:v>тёмно-фруктовый, карамельный, винный, слегка дымный и миндальный</x:v>
      </x:c>
      <x:c r="K418" s="28" t="str">
        <x:v>сочный фруктовый, цветочный, медовый, зелёный; у зрелых сортов — винный и пряный</x:v>
      </x:c>
      <x:c r="L418" s="28" t="str">
        <x:v>фурфурол, 5-метилфурфурол, мальтол, лактоны, бензальдегид, продукты термического распада сахаров</x:v>
      </x:c>
      <x:c r="M418" s="28" t="str">
        <x:v>этил (E,Z)-2,4-декадиеноат («грушевый эфир»), гексилацетат, бутилацетат, гексаналь, линалоол</x:v>
      </x:c>
      <x:c r="N418" s="28" t="str">
        <x:v>фруктовый, винный</x:v>
      </x:c>
      <x:c r="O418" s="28" t="str">
        <x:v>надёжный единичный общий маркер не подтверждён; механизм не сводится к одной молекуле</x:v>
      </x:c>
      <x:c r="P418" s="28" t="str">
        <x:v>комплементарность ароматических семейств, вкусовой контраст и матричный эффект</x:v>
      </x:c>
      <x:c r="Q418" s="28" t="str">
        <x:v>Базовый фрукт даёт: высокая сладость, мягкая кислотность и плотная сухофруктовая насыщенность. Партнёр добавляет: мягкая сладость, умеренная кислотность, иногда лёгкая зернистость и терпкость. Баланс корректируется сахаром, кислотой, солью и горечью.</x:v>
      </x:c>
      <x:c r="R418" s="28" t="str">
        <x:v>слабый; возможна лёгкая терпкость; партнёр: кислотное покалывание зависит от плода; специальные эффекты указаны в паспорте</x:v>
      </x:c>
      <x:c r="S418" s="28" t="str">
        <x:v>маловодная, богатая сахарами, пектином и сорбитолом; хорошо удерживает специи и алкоголь. Партнёр: водная, богатая пектином и каменистыми клетками; летучие эфиры чувствительны к перегреву.</x:v>
      </x:c>
      <x:c r="T418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U418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Груша относится к группе «Семечковые фрукты» и даёт профиль «сочный фруктовый, цветочный, медовый, зелёный; у зрелых сортов — винный и пряный»; типичные соединения или классы: этил (E,Z)-2,4-декадиеноат («грушевый эфир»), гексилацетат, бутилацетат, гексаналь, линалоол. По доступным материалам нельзя уверенно свести совместимость к одной общей молекуле. Общие ароматические направления: фруктовый, винный. Базовый фрукт даёт: высокая сладость, мягкая кислотность и плотная сухофруктовая насыщенность. Партнёр добавляет: мягкая сладость, умеренная кислотность, иногда лёгкая зернистость и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водная, богатая пектином и каменистыми клетками; летучие эфиры чувствительны к перегреву.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V418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18" s="28" t="str">
        <x:v>мёд, цитрус или нейтральная жировая основа</x:v>
      </x:c>
      <x:c r="X418" s="28" t="str">
        <x:v>напиток, соус, десерт или горячее блюдо после пробной дегустации</x:v>
      </x:c>
      <x:c r="Y418" s="28" t="str">
        <x:v>напитки; еда; десерты; соусы/маринады</x:v>
      </x:c>
      <x:c r="Z418" s="28" t="str">
        <x:v>Гипотеза / практическая</x:v>
      </x:c>
      <x:c r="AA418" s="28" t="str">
        <x:v>Таблица сочетания(1).pdf</x:v>
      </x:c>
      <x:c r="AB418" s="28" t="str">
        <x:v>Таблица сочетания(1).pdf: Таблица сочетаний: 18 | Таблица сочетания(1).pdf: 18</x:v>
      </x:c>
      <x:c r="AC418" s="28" t="str">
        <x:v>Таблица сочетаний: В строке «Чернослив» ингредиент «груша» указан как рекомендуемое сочетание в колонке «Фрукты». Пара указана в строке «Чернослив» → колонка «Фрукты».</x:v>
      </x:c>
      <x:c r="AD418" s="28" t="n">
        <x:v>1</x:v>
      </x:c>
      <x:c r="AE418" s="28" t="n">
        <x:v>2</x:v>
      </x:c>
      <x:c r="AF418" s="28" t="n">
        <x:f>IF(Z418="Высокая",3,IF(Z418="Средняя",2,1))+AD418*2+MIN(AE418,3)</x:f>
        <x:v>5</x:v>
      </x:c>
    </x:row>
    <x:row r="419" ht="62" customHeight="1">
      <x:c r="A419" s="28" t="str">
        <x:v>STN-0418</x:v>
      </x:c>
      <x:c r="B419" s="28" t="str">
        <x:v>чернослив</x:v>
      </x:c>
      <x:c r="C419" s="28" t="str">
        <x:v>Еда и соусы</x:v>
      </x:c>
      <x:c r="D419" s="28" t="str">
        <x:v>чернослив</x:v>
      </x:c>
      <x:c r="E419" s="28" t="str">
        <x:v>prune / dried plum</x:v>
      </x:c>
      <x:c r="F419" s="28" t="str">
        <x:v>Сушёные косточковые фрукты</x:v>
      </x:c>
      <x:c r="G419" s="28" t="str">
        <x:v>доенджан</x:v>
      </x:c>
      <x:c r="H419" s="28" t="str">
        <x:v>Doenjang</x:v>
      </x:c>
      <x:c r="I419" s="28" t="str">
        <x:v>Ферментированные продукты, соусы и уксусы</x:v>
      </x:c>
      <x:c r="J419" s="28" t="str">
        <x:v>тёмно-фруктовый, карамельный, винный, слегка дымный и миндальный</x:v>
      </x:c>
      <x:c r="K419" s="28" t="str">
        <x:v>умами, ферментированный, солёный, кислый и иногда жареный</x:v>
      </x:c>
      <x:c r="L419" s="28" t="str">
        <x:v>фурфурол, 5-метилфурфурол, мальтол, лактоны, бензальдегид, продукты термического распада сахаров</x:v>
      </x:c>
      <x:c r="M419" s="28" t="str">
        <x:v>органические кислоты, эфиры, пиразины, сернистые соединения</x:v>
      </x:c>
      <x:c r="N419" s="28" t="str">
        <x:v>прямое семейное перекрытие не является главным механизмом</x:v>
      </x:c>
      <x:c r="O419" s="28" t="str">
        <x:v>надёжный единичный общий маркер не подтверждён; механизм не сводится к одной молекуле</x:v>
      </x:c>
      <x:c r="P419" s="28" t="str">
        <x:v>комплементарность ароматических семейств, вкусовой контраст и матричный эффект</x:v>
      </x:c>
      <x:c r="Q419" s="28" t="str">
        <x:v>Кислота, соль и умами усиливают контраст с фруктовой сладостью; сочетание работает в малой дозировке как приправа.</x:v>
      </x:c>
      <x:c r="R419" s="28" t="str">
        <x:v>слабый; возможна лёгкая терпкость; партнёр: уксусная кислота даёт резкое покалывание</x:v>
      </x:c>
      <x:c r="S419" s="28" t="str">
        <x:v>маловодная, богатая сахарами, пектином и сорбитолом; хорошо удерживает специи и алкоголь. Партнёр: часто водная и солёная; концентраты требуют малых доз.</x:v>
      </x:c>
      <x:c r="T419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U41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Доенджан относится к группе «Ферментированные продукты, соусы и уксусы» и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По доступным материалам нельзя уверенно свести совместимость к одной общей молекуле. Кислота, соль и умами усиливают контраст с фруктовой сладостью; сочетание работает в малой дозировке как приправа. Матрица пары: маловодная, богатая сахарами, пектином и сорбитолом; хорошо удерживает специи и алкоголь. Партнёр: часто водная и солёная; концентраты требуют малых доз.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V419" s="28" t="str">
        <x:v>легко сделать вкус тяжёлым и приторным; нужна кислота, соль, горечь или умами. Соль и кислота быстро становятся доминирующими; используйте как акцент.</x:v>
      </x:c>
      <x:c r="W419" s="28" t="str">
        <x:v>мёд, имбирь или соевый соус</x:v>
      </x:c>
      <x:c r="X419" s="28" t="str">
        <x:v>соус, глазировка, чатни, маринад, гарнир или основное блюдо</x:v>
      </x:c>
      <x:c r="Y419" s="28" t="str">
        <x:v>еда; соусы/маринады</x:v>
      </x:c>
      <x:c r="Z419" s="28" t="str">
        <x:v>Средняя</x:v>
      </x:c>
      <x:c r="AA419" s="28" t="str">
        <x:v>The Art &amp; Science of Foodpairing.pdf</x:v>
      </x:c>
      <x:c r="AB419" s="28" t="str">
        <x:v>The Art &amp; Science of Foodpairing.pdf: 247</x:v>
      </x:c>
      <x:c r="AC419" s="28" t="str">
        <x:v>Ингредиент «Agen prunes» указан на странице профиля/сетки сочетаний «Doenjang».</x:v>
      </x:c>
      <x:c r="AD419" s="28" t="n">
        <x:v>1</x:v>
      </x:c>
      <x:c r="AE419" s="28" t="n">
        <x:v>1</x:v>
      </x:c>
      <x:c r="AF419" s="28" t="n">
        <x:f>IF(Z419="Высокая",3,IF(Z419="Средняя",2,1))+AD419*2+MIN(AE419,3)</x:f>
        <x:v>5</x:v>
      </x:c>
    </x:row>
    <x:row r="420" ht="62" customHeight="1">
      <x:c r="A420" s="28" t="str">
        <x:v>STN-0419</x:v>
      </x:c>
      <x:c r="B420" s="28" t="str">
        <x:v>чернослив</x:v>
      </x:c>
      <x:c r="C420" s="28" t="str">
        <x:v>Десерты и выпечка</x:v>
      </x:c>
      <x:c r="D420" s="28" t="str">
        <x:v>чернослив</x:v>
      </x:c>
      <x:c r="E420" s="28" t="str">
        <x:v>prune / dried plum</x:v>
      </x:c>
      <x:c r="F420" s="28" t="str">
        <x:v>Сушёные косточковые фрукты</x:v>
      </x:c>
      <x:c r="G420" s="28" t="str">
        <x:v>изюм</x:v>
      </x:c>
      <x:c r="H420" s="28" t="str">
        <x:v>изюм</x:v>
      </x:c>
      <x:c r="I420" s="28" t="str">
        <x:v>Фрукты</x:v>
      </x:c>
      <x:c r="J420" s="28" t="str">
        <x:v>тёмно-фруктовый, карамельный, винный, слегка дымный и миндальный</x:v>
      </x:c>
      <x:c r="K420" s="28" t="str">
        <x:v>зелёный, фруктовый, цветочный</x:v>
      </x:c>
      <x:c r="L420" s="28" t="str">
        <x:v>фурфурол, 5-метилфурфурол, мальтол, лактоны, бензальдегид, продукты термического распада сахаров</x:v>
      </x:c>
      <x:c r="M420" s="28" t="str">
        <x:v>лактоны, терпены, эфиры</x:v>
      </x:c>
      <x:c r="N420" s="28" t="str">
        <x:v>фруктовый</x:v>
      </x:c>
      <x:c r="O420" s="28" t="str">
        <x:v>надёжный единичный общий маркер не подтверждён; механизм не сводится к одной молекуле</x:v>
      </x:c>
      <x:c r="P420" s="28" t="str">
        <x:v>комплементарность ароматических семейств, вкусовой контраст и матричный эффект</x:v>
      </x:c>
      <x:c r="Q420" s="28" t="str">
        <x:v>Близкие фруктовые эфиры создают непрерывность, а различия в кислотности, терпкости и сладости формируют контраст.</x:v>
      </x:c>
      <x:c r="R420" s="28" t="str">
        <x:v>слабый; возможна лёгкая терпкость; партнёр: обычно отсутствует; зависит от конкретного продукта</x:v>
      </x:c>
      <x:c r="S420" s="28" t="str">
        <x:v>маловодная, богатая сахарами, пектином и сорбитолом; хорошо удерживает специи и алкоголь. Партнёр: водная фруктовая матрица.</x:v>
      </x:c>
      <x:c r="T420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42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Изюм относится к группе «Фрукты» и даёт профиль «зелёный, фруктовый, цветочный»; типичные соединения или классы: лактоны, терпены, эфиры. По доступным материалам нельзя уверенно свести совместимость к одной общей молекуле. Общие ароматические направления: фруктовый.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водная фруктовая матрица.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420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20" s="28" t="str">
        <x:v>цитрус, мята или ваниль</x:v>
      </x:c>
      <x:c r="X420" s="28" t="str">
        <x:v>сорбет, салат, джем, кордиал, лимонад, коктейль или фруктовый соус</x:v>
      </x:c>
      <x:c r="Y420" s="28" t="str">
        <x:v>напитки; десерты; соусы/маринады</x:v>
      </x:c>
      <x:c r="Z420" s="28" t="str">
        <x:v>Гипотеза / практическая</x:v>
      </x:c>
      <x:c r="AA420" s="28" t="str">
        <x:v>Таблица сочетания(1).pdf</x:v>
      </x:c>
      <x:c r="AB420" s="28" t="str">
        <x:v>Таблица сочетания(1).pdf: 18</x:v>
      </x:c>
      <x:c r="AC420" s="28" t="str">
        <x:v>Пара указана в строке «Чернослив» → колонка «Фрукты».</x:v>
      </x:c>
      <x:c r="AD420" s="28" t="n">
        <x:v>1</x:v>
      </x:c>
      <x:c r="AE420" s="28" t="n">
        <x:v>1</x:v>
      </x:c>
      <x:c r="AF420" s="28" t="n">
        <x:f>IF(Z420="Высокая",3,IF(Z420="Средняя",2,1))+AD420*2+MIN(AE420,3)</x:f>
        <x:v>4</x:v>
      </x:c>
    </x:row>
    <x:row r="421" ht="62" customHeight="1">
      <x:c r="A421" s="28" t="str">
        <x:v>STN-0420</x:v>
      </x:c>
      <x:c r="B421" s="28" t="str">
        <x:v>чернослив</x:v>
      </x:c>
      <x:c r="C421" s="28" t="str">
        <x:v>Универсальные</x:v>
      </x:c>
      <x:c r="D421" s="28" t="str">
        <x:v>чернослив</x:v>
      </x:c>
      <x:c r="E421" s="28" t="str">
        <x:v>prune / dried plum</x:v>
      </x:c>
      <x:c r="F421" s="28" t="str">
        <x:v>Сушёные косточковые фрукты</x:v>
      </x:c>
      <x:c r="G421" s="28" t="str">
        <x:v>имбирь</x:v>
      </x:c>
      <x:c r="H421" s="28" t="str">
        <x:v>имбирь</x:v>
      </x:c>
      <x:c r="I421" s="28" t="str">
        <x:v>Специи и острые компоненты</x:v>
      </x:c>
      <x:c r="J421" s="28" t="str">
        <x:v>тёмно-фруктовый, карамельный, винный, слегка дымный и миндальный</x:v>
      </x:c>
      <x:c r="K421" s="28" t="str">
        <x:v>цитрусово-пряный, древесный и свежий</x:v>
      </x:c>
      <x:c r="L421" s="28" t="str">
        <x:v>фурфурол, 5-метилфурфурол, мальтол, лактоны, бензальдегид, продукты термического распада сахаров</x:v>
      </x:c>
      <x:c r="M421" s="28" t="str">
        <x:v>зингиберен, цитраль, гингеролы, шогаолы</x:v>
      </x:c>
      <x:c r="N421" s="28" t="str">
        <x:v>прямое семейное перекрытие не является главным механизмом</x:v>
      </x:c>
      <x:c r="O421" s="28" t="str">
        <x:v>надёжный единичный общий маркер не подтверждён; механизм не сводится к одной молекуле</x:v>
      </x:c>
      <x:c r="P421" s="28" t="str">
        <x:v>комплементарность ароматических семейств, вкусовой контраст и матричный эффект</x:v>
      </x:c>
      <x:c r="Q421" s="28" t="str">
        <x:v>Сладость и кислота фрукта смягчают остроту и горечь специи, а пряный компонент удлиняет ароматическое послевкусие.</x:v>
      </x:c>
      <x:c r="R421" s="28" t="str">
        <x:v>слабый; возможна лёгкая терпкость; партнёр: гингеролы и шогаолы создают тепло и жжение</x:v>
      </x:c>
      <x:c r="S421" s="28" t="str">
        <x:v>маловодная, богатая сахарами, пектином и сорбитолом; хорошо удерживает специи и алкоголь. Партнёр: ароматические масла хорошо переходят в жир и этанол.</x:v>
      </x:c>
      <x:c r="T421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42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421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W421" s="28" t="str">
        <x:v>мёд, цитрус или миндаль</x:v>
      </x:c>
      <x:c r="X421" s="28" t="str">
        <x:v>напиток, соус, десерт или горячее блюдо после пробной дегустации</x:v>
      </x:c>
      <x:c r="Y421" s="28" t="str">
        <x:v>напитки; еда; десерты; соусы/маринады</x:v>
      </x:c>
      <x:c r="Z421" s="28" t="str">
        <x:v>Гипотеза / практическая</x:v>
      </x:c>
      <x:c r="AA421" s="28" t="str">
        <x:v>Таблица сочетания(1).pdf</x:v>
      </x:c>
      <x:c r="AB421" s="28" t="str">
        <x:v>Таблица сочетания(1).pdf: 18</x:v>
      </x:c>
      <x:c r="AC421" s="28" t="str">
        <x:v>Пара указана в строке «Чернослив» → колонка «Травы и специи».</x:v>
      </x:c>
      <x:c r="AD421" s="28" t="n">
        <x:v>1</x:v>
      </x:c>
      <x:c r="AE421" s="28" t="n">
        <x:v>1</x:v>
      </x:c>
      <x:c r="AF421" s="28" t="n">
        <x:f>IF(Z421="Высокая",3,IF(Z421="Средняя",2,1))+AD421*2+MIN(AE421,3)</x:f>
        <x:v>4</x:v>
      </x:c>
    </x:row>
    <x:row r="422" ht="62" customHeight="1">
      <x:c r="A422" s="28" t="str">
        <x:v>STN-0421</x:v>
      </x:c>
      <x:c r="B422" s="28" t="str">
        <x:v>чернослив</x:v>
      </x:c>
      <x:c r="C422" s="28" t="str">
        <x:v>Универсальные</x:v>
      </x:c>
      <x:c r="D422" s="28" t="str">
        <x:v>чернослив</x:v>
      </x:c>
      <x:c r="E422" s="28" t="str">
        <x:v>prune / dried plum</x:v>
      </x:c>
      <x:c r="F422" s="28" t="str">
        <x:v>Сушёные косточковые фрукты</x:v>
      </x:c>
      <x:c r="G422" s="28" t="str">
        <x:v>инжир</x:v>
      </x:c>
      <x:c r="H422" s="28" t="str">
        <x:v>Инжир | инжир</x:v>
      </x:c>
      <x:c r="I422" s="28" t="str">
        <x:v>Субтропические фрукты</x:v>
      </x:c>
      <x:c r="J422" s="28" t="str">
        <x:v>тёмно-фруктовый, карамельный, винный, слегка дымный и миндальный</x:v>
      </x:c>
      <x:c r="K422" s="28" t="str">
        <x:v>медовый, зелёный, ягодный, цветочный, кокосово-лактонный</x:v>
      </x:c>
      <x:c r="L422" s="28" t="str">
        <x:v>фурфурол, 5-метилфурфурол, мальтол, лактоны, бензальдегид, продукты термического распада сахаров</x:v>
      </x:c>
      <x:c r="M422" s="28" t="str">
        <x:v>бензальдегид, линалоол, фуранеол, лактоны и зелёные альдегиды</x:v>
      </x:c>
      <x:c r="N422" s="28" t="str">
        <x:v>прямое семейное перекрытие не является главным механизмом</x:v>
      </x:c>
      <x:c r="O422" s="28" t="str">
        <x:v>бензальдегид</x:v>
      </x:c>
      <x:c r="P422" s="28" t="str">
        <x:v>прямое или классовое перекрытие характерных одорантов + вкусовой баланс</x:v>
      </x:c>
      <x:c r="Q422" s="28" t="str">
        <x:v>Базовый фрукт даёт: высокая сладость, мягкая кислотность и плотная сухофруктовая насыщенность. Партнёр добавляет: высокая сладость, низкая кислотность; семена дают хруст. Баланс корректируется сахаром, кислотой, солью и горечью.</x:v>
      </x:c>
      <x:c r="R422" s="28" t="str">
        <x:v>слабый; возможна лёгкая терпкость; партнёр: кислотное покалывание зависит от плода; специальные эффекты указаны в паспорте</x:v>
      </x:c>
      <x:c r="S422" s="28" t="str">
        <x:v>маловодная, богатая сахарами, пектином и сорбитолом; хорошо удерживает специи и алкоголь. Партнёр: пектиновая и сахаристая; сушёный инжир концентрирует сахар, фенолы и карамельные ноты.</x:v>
      </x:c>
      <x:c r="T422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U42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бензальдегид. Базовый фрукт даёт: высокая сладость, мягкая кислотность и плотная сухофруктовая насыщенность. Партнёр добавляет: высокая сладость, низкая кислотность; семена дают хруст.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пектиновая и сахаристая; сушёный инжир концентрирует сахар, фенолы и карамельные ноты.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V422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22" s="28" t="str">
        <x:v>мёд, цитрус или нейтральная жировая основа</x:v>
      </x:c>
      <x:c r="X422" s="28" t="str">
        <x:v>напиток, соус, десерт или горячее блюдо после пробной дегустации</x:v>
      </x:c>
      <x:c r="Y422" s="28" t="str">
        <x:v>напитки; еда; десерты; соусы/маринады</x:v>
      </x:c>
      <x:c r="Z422" s="28" t="str">
        <x:v>Гипотеза / практическая</x:v>
      </x:c>
      <x:c r="AA422" s="28" t="str">
        <x:v>Таблица сочетания(1).pdf</x:v>
      </x:c>
      <x:c r="AB422" s="28" t="str">
        <x:v>Таблица сочетания(1).pdf: Таблица сочетаний: 18, 8 | Таблица сочетания(1).pdf: 8 | Таблица сочетания(1).pdf: 18</x:v>
      </x:c>
      <x:c r="AC422" s="28" t="str">
        <x:v>Таблица сочетаний: В строке «Инжир» ингредиент «чернослив» указан как рекомендуемое сочетание в колонке «Фрукты». || Таблица сочетаний: В строке «Чернослив» ингредиент «инжир» указан как рекомендуемое сочетание в колонке «Фрукты». Пара указана в строке «Инжир»: «чернослив» находится в колонке «Фрукты». Пара указана в строке «Чернослив» → колонка «Фрукты».</x:v>
      </x:c>
      <x:c r="AD422" s="28" t="n">
        <x:v>1</x:v>
      </x:c>
      <x:c r="AE422" s="28" t="n">
        <x:v>3</x:v>
      </x:c>
      <x:c r="AF422" s="28" t="n">
        <x:f>IF(Z422="Высокая",3,IF(Z422="Средняя",2,1))+AD422*2+MIN(AE422,3)</x:f>
        <x:v>6</x:v>
      </x:c>
    </x:row>
    <x:row r="423" ht="62" customHeight="1">
      <x:c r="A423" s="28" t="str">
        <x:v>STN-0422</x:v>
      </x:c>
      <x:c r="B423" s="28" t="str">
        <x:v>чернослив</x:v>
      </x:c>
      <x:c r="C423" s="28" t="str">
        <x:v>Универсальные</x:v>
      </x:c>
      <x:c r="D423" s="28" t="str">
        <x:v>чернослив</x:v>
      </x:c>
      <x:c r="E423" s="28" t="str">
        <x:v>prune / dried plum</x:v>
      </x:c>
      <x:c r="F423" s="28" t="str">
        <x:v>Сушёные косточковые фрукты</x:v>
      </x:c>
      <x:c r="G423" s="28" t="str">
        <x:v>карамель</x:v>
      </x:c>
      <x:c r="H423" s="28" t="str">
        <x:v>карамель</x:v>
      </x:c>
      <x:c r="I423" s="28" t="str">
        <x:v>Сахара, мёд и кондитерские основы</x:v>
      </x:c>
      <x:c r="J423" s="28" t="str">
        <x:v>тёмно-фруктовый, карамельный, винный, слегка дымный и миндальный</x:v>
      </x:c>
      <x:c r="K423" s="28" t="str">
        <x:v>жжёный сахар, сливочный и жареный</x:v>
      </x:c>
      <x:c r="L423" s="28" t="str">
        <x:v>фурфурол, 5-метилфурфурол, мальтол, лактоны, бензальдегид, продукты термического распада сахаров</x:v>
      </x:c>
      <x:c r="M423" s="28" t="str">
        <x:v>мальтол, фурфурол, диацетил</x:v>
      </x:c>
      <x:c r="N423" s="28" t="str">
        <x:v>прямое семейное перекрытие не является главным механизмом</x:v>
      </x:c>
      <x:c r="O423" s="28" t="str">
        <x:v>фурфурол, мальтол</x:v>
      </x:c>
      <x:c r="P423" s="28" t="str">
        <x:v>прямое или классовое перекрытие характерных одорантов + вкусовой баланс</x:v>
      </x:c>
      <x:c r="Q423" s="28" t="str">
        <x:v>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</x:v>
      </x:c>
      <x:c r="R423" s="28" t="str">
        <x:v>слабый; возможна лёгкая терпкость; партнёр: отсутствует</x:v>
      </x:c>
      <x:c r="S423" s="28" t="str">
        <x:v>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</x:v>
      </x:c>
      <x:c r="T423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U42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В рабочих профилях пересекаются: фурфурол, мальтол. 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V423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23" s="28" t="str">
        <x:v>мёд, цитрус или нейтральная жировая основа</x:v>
      </x:c>
      <x:c r="X423" s="28" t="str">
        <x:v>напиток, соус, десерт или горячее блюдо после пробной дегустации</x:v>
      </x:c>
      <x:c r="Y423" s="28" t="str">
        <x:v>напитки; еда; десерты; соусы/маринады</x:v>
      </x:c>
      <x:c r="Z423" s="28" t="str">
        <x:v>Гипотеза / практическая</x:v>
      </x:c>
      <x:c r="AA423" s="28" t="str">
        <x:v>Таблица сочетания(1).pdf</x:v>
      </x:c>
      <x:c r="AB423" s="28" t="str">
        <x:v>Таблица сочетания(1).pdf: 18</x:v>
      </x:c>
      <x:c r="AC423" s="28" t="str">
        <x:v>Пара указана в строке «Чернослив» → колонка «Другое».</x:v>
      </x:c>
      <x:c r="AD423" s="28" t="n">
        <x:v>1</x:v>
      </x:c>
      <x:c r="AE423" s="28" t="n">
        <x:v>1</x:v>
      </x:c>
      <x:c r="AF423" s="28" t="n">
        <x:f>IF(Z423="Высокая",3,IF(Z423="Средняя",2,1))+AD423*2+MIN(AE423,3)</x:f>
        <x:v>4</x:v>
      </x:c>
    </x:row>
    <x:row r="424" ht="62" customHeight="1">
      <x:c r="A424" s="28" t="str">
        <x:v>STN-0423</x:v>
      </x:c>
      <x:c r="B424" s="28" t="str">
        <x:v>чернослив</x:v>
      </x:c>
      <x:c r="C424" s="28" t="str">
        <x:v>Десерты и выпечка</x:v>
      </x:c>
      <x:c r="D424" s="28" t="str">
        <x:v>чернослив</x:v>
      </x:c>
      <x:c r="E424" s="28" t="str">
        <x:v>prune / dried plum</x:v>
      </x:c>
      <x:c r="F424" s="28" t="str">
        <x:v>Сушёные косточковые фрукты</x:v>
      </x:c>
      <x:c r="G424" s="28" t="str">
        <x:v>картофель фри</x:v>
      </x:c>
      <x:c r="H424" s="28" t="str">
        <x:v>French fries</x:v>
      </x:c>
      <x:c r="I424" s="28" t="str">
        <x:v>Злаки и выпечка</x:v>
      </x:c>
      <x:c r="J424" s="28" t="str">
        <x:v>тёмно-фруктовый, карамельный, винный, слегка дымный и миндальный</x:v>
      </x:c>
      <x:c r="K424" s="28" t="str">
        <x:v>жареный, зерновой, солодовый</x:v>
      </x:c>
      <x:c r="L424" s="28" t="str">
        <x:v>фурфурол, 5-метилфурфурол, мальтол, лактоны, бензальдегид, продукты термического распада сахаров</x:v>
      </x:c>
      <x:c r="M424" s="28" t="str">
        <x:v>мальтол, пиразины, фураны</x:v>
      </x:c>
      <x:c r="N424" s="28" t="str">
        <x:v>прямое семейное перекрытие не является главным механизмом</x:v>
      </x:c>
      <x:c r="O424" s="28" t="str">
        <x:v>мальтол</x:v>
      </x:c>
      <x:c r="P424" s="28" t="str">
        <x:v>прямое или классовое перекрытие характерных одорантов + вкусовой баланс</x:v>
      </x:c>
      <x:c r="Q424" s="28" t="str">
        <x:v>Базовый фрукт даёт: высокая сладость, мягкая кислотность и плотная сухофруктовая насыщенность. Партнёр добавляет: крахмалистый, сладковатый. Баланс корректируется сахаром, кислотой, солью и горечью.</x:v>
      </x:c>
      <x:c r="R424" s="28" t="str">
        <x:v>слабый; возможна лёгкая терпкость; партнёр: обычно отсутствует; зависит от конкретного продукта</x:v>
      </x:c>
      <x:c r="S424" s="28" t="str">
        <x:v>маловодная, богатая сахарами, пектином и сорбитолом; хорошо удерживает специи и алкоголь. Партнёр: крахмал и сухая пористая матрица.</x:v>
      </x:c>
      <x:c r="T42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42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Картофель фри относится к группе «Злаки и выпечка» и даёт профиль «жареный, зерновой, солодовый»; типичные соединения или классы: мальтол, пиразины, фураны. В рабочих профилях пересекаются: мальтол. Базовый фрукт даёт: высокая сладость, мягкая кислотность и плотная сухофруктовая насыщенность. Партнёр добавляет: крахмалистый, сладковатый.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крахмал и сухая пористая матрица.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424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24" s="28" t="str">
        <x:v>сливочное масло, ваниль или орех</x:v>
      </x:c>
      <x:c r="X424" s="28" t="str">
        <x:v>тарт, крем, мороженое, выпечка, сырная подача или начинка</x:v>
      </x:c>
      <x:c r="Y424" s="28" t="str">
        <x:v>десерты; еда</x:v>
      </x:c>
      <x:c r="Z424" s="28" t="str">
        <x:v>Средняя</x:v>
      </x:c>
      <x:c r="AA424" s="28" t="str">
        <x:v>The Art &amp; Science of Foodpairing.pdf</x:v>
      </x:c>
      <x:c r="AB424" s="28" t="str">
        <x:v>The Art &amp; Science of Foodpairing.pdf: 196</x:v>
      </x:c>
      <x:c r="AC424" s="28" t="str">
        <x:v>Ингредиент «Agen prunes» указан на странице профиля/сетки сочетаний «French fries».</x:v>
      </x:c>
      <x:c r="AD424" s="28" t="n">
        <x:v>1</x:v>
      </x:c>
      <x:c r="AE424" s="28" t="n">
        <x:v>1</x:v>
      </x:c>
      <x:c r="AF424" s="28" t="n">
        <x:f>IF(Z424="Высокая",3,IF(Z424="Средняя",2,1))+AD424*2+MIN(AE424,3)</x:f>
        <x:v>5</x:v>
      </x:c>
    </x:row>
    <x:row r="425" ht="62" customHeight="1">
      <x:c r="A425" s="28" t="str">
        <x:v>STN-0424</x:v>
      </x:c>
      <x:c r="B425" s="28" t="str">
        <x:v>чернослив</x:v>
      </x:c>
      <x:c r="C425" s="28" t="str">
        <x:v>Универсальные</x:v>
      </x:c>
      <x:c r="D425" s="28" t="str">
        <x:v>чернослив</x:v>
      </x:c>
      <x:c r="E425" s="28" t="str">
        <x:v>prune / dried plum</x:v>
      </x:c>
      <x:c r="F425" s="28" t="str">
        <x:v>Сушёные косточковые фрукты</x:v>
      </x:c>
      <x:c r="G425" s="28" t="str">
        <x:v>каштан</x:v>
      </x:c>
      <x:c r="H425" s="28" t="str">
        <x:v>Каштан | каштан</x:v>
      </x:c>
      <x:c r="I425" s="28" t="str">
        <x:v>Прочее</x:v>
      </x:c>
      <x:c r="J425" s="28" t="str">
        <x:v>тёмно-фруктовый, карамельный, винный, слегка дымный и миндальный</x:v>
      </x:c>
      <x:c r="K425" s="28" t="str">
        <x:v>ароматический профиль зависит от конкретного ингредиента</x:v>
      </x:c>
      <x:c r="L425" s="28" t="str">
        <x:v>фурфурол, 5-метилфурфурол, мальтол, лактоны, бензальдегид, продукты термического распада сахаров</x:v>
      </x:c>
      <x:c r="M425" s="28" t="str">
        <x:v>летучие соединения конкретного продукта</x:v>
      </x:c>
      <x:c r="N425" s="28" t="str">
        <x:v>прямое семейное перекрытие не является главным механизмом</x:v>
      </x:c>
      <x:c r="O425" s="28" t="str">
        <x:v>надёжный единичный общий маркер не подтверждён; механизм не сводится к одной молекуле</x:v>
      </x:c>
      <x:c r="P425" s="28" t="str">
        <x:v>комплементарность ароматических семейств, вкусовой контраст и матричный эффект</x:v>
      </x:c>
      <x:c r="Q425" s="28" t="str">
        <x:v>Базовый фрукт даёт: высокая сладость, мягкая кислотность и плотная сухофруктовая насыщенность. Партнёр добавляет: сочетание оценивается по балансу сладости, кислоты, соли, горечи и умами. Баланс корректируется сахаром, кислотой, солью и горечью.</x:v>
      </x:c>
      <x:c r="R425" s="28" t="str">
        <x:v>слабый; возможна лёгкая терпкость; партнёр: возможен в зависимости от состава</x:v>
      </x:c>
      <x:c r="S425" s="28" t="str">
        <x:v>маловодная, богатая сахарами, пектином и сорбитолом; хорошо удерживает специи и алкоголь. Партнёр: важны вода, жир, белок, сахар и температура.</x:v>
      </x:c>
      <x:c r="T425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U425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Каштан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важны вода, жир, белок, сахар и температура.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V425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25" s="28" t="str">
        <x:v>мёд, цитрус или нейтральная жировая основа</x:v>
      </x:c>
      <x:c r="X425" s="28" t="str">
        <x:v>напиток, соус, десерт или горячее блюдо после пробной дегустации</x:v>
      </x:c>
      <x:c r="Y425" s="28" t="str">
        <x:v>напитки; еда; десерты; соусы/маринады</x:v>
      </x:c>
      <x:c r="Z425" s="28" t="str">
        <x:v>Гипотеза / практическая</x:v>
      </x:c>
      <x:c r="AA425" s="28" t="str">
        <x:v>Таблица сочетания(1).pdf</x:v>
      </x:c>
      <x:c r="AB425" s="28" t="str">
        <x:v>Таблица сочетания(1).pdf: 4 | Таблица сочетания(1).pdf: 18</x:v>
      </x:c>
      <x:c r="AC425" s="28" t="str">
        <x:v>Пара указана в строке «Каштан»: «чернослив» находится в колонке «Фрукты». Пара указана в строке «Чернослив» → колонка «Другое».</x:v>
      </x:c>
      <x:c r="AD425" s="28" t="n">
        <x:v>1</x:v>
      </x:c>
      <x:c r="AE425" s="28" t="n">
        <x:v>2</x:v>
      </x:c>
      <x:c r="AF425" s="28" t="n">
        <x:f>IF(Z425="Высокая",3,IF(Z425="Средняя",2,1))+AD425*2+MIN(AE425,3)</x:f>
        <x:v>5</x:v>
      </x:c>
    </x:row>
    <x:row r="426" ht="62" customHeight="1">
      <x:c r="A426" s="28" t="str">
        <x:v>STN-0425</x:v>
      </x:c>
      <x:c r="B426" s="28" t="str">
        <x:v>чернослив</x:v>
      </x:c>
      <x:c r="C426" s="28" t="str">
        <x:v>Универсальные</x:v>
      </x:c>
      <x:c r="D426" s="28" t="str">
        <x:v>чернослив</x:v>
      </x:c>
      <x:c r="E426" s="28" t="str">
        <x:v>prune / dried plum</x:v>
      </x:c>
      <x:c r="F426" s="28" t="str">
        <x:v>Сушёные косточковые фрукты</x:v>
      </x:c>
      <x:c r="G426" s="28" t="str">
        <x:v>кленовый сироп</x:v>
      </x:c>
      <x:c r="H426" s="28" t="str">
        <x:v>кленовый сироп</x:v>
      </x:c>
      <x:c r="I426" s="28" t="str">
        <x:v>Сахара, мёд и кондитерские основы</x:v>
      </x:c>
      <x:c r="J426" s="28" t="str">
        <x:v>тёмно-фруктовый, карамельный, винный, слегка дымный и миндальный</x:v>
      </x:c>
      <x:c r="K426" s="28" t="str">
        <x:v>медовый, карамельный, ванильный и жареный</x:v>
      </x:c>
      <x:c r="L426" s="28" t="str">
        <x:v>фурфурол, 5-метилфурфурол, мальтол, лактоны, бензальдегид, продукты термического распада сахаров</x:v>
      </x:c>
      <x:c r="M426" s="28" t="str">
        <x:v>мальтол, фуранеол, фурфурол, ванилин</x:v>
      </x:c>
      <x:c r="N426" s="28" t="str">
        <x:v>карамельный</x:v>
      </x:c>
      <x:c r="O426" s="28" t="str">
        <x:v>фурфурол, мальтол</x:v>
      </x:c>
      <x:c r="P426" s="28" t="str">
        <x:v>прямое или классовое перекрытие характерных одорантов + вкусовой баланс</x:v>
      </x:c>
      <x:c r="Q426" s="28" t="str">
        <x:v>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</x:v>
      </x:c>
      <x:c r="R426" s="28" t="str">
        <x:v>слабый; возможна лёгкая терпкость; партнёр: отсутствует</x:v>
      </x:c>
      <x:c r="S426" s="28" t="str">
        <x:v>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</x:v>
      </x:c>
      <x:c r="T426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U426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В рабочих профилях пересекаются: фурфурол, мальтол. Общие ароматические направления: карамельный. 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V426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26" s="28" t="str">
        <x:v>мёд, цитрус или нейтральная жировая основа</x:v>
      </x:c>
      <x:c r="X426" s="28" t="str">
        <x:v>напиток, соус, десерт или горячее блюдо после пробной дегустации</x:v>
      </x:c>
      <x:c r="Y426" s="28" t="str">
        <x:v>напитки; еда; десерты; соусы/маринады</x:v>
      </x:c>
      <x:c r="Z426" s="28" t="str">
        <x:v>Гипотеза / практическая</x:v>
      </x:c>
      <x:c r="AA426" s="28" t="str">
        <x:v>Таблица сочетания(1).pdf</x:v>
      </x:c>
      <x:c r="AB426" s="28" t="str">
        <x:v>Таблица сочетания(1).pdf: 18</x:v>
      </x:c>
      <x:c r="AC426" s="28" t="str">
        <x:v>Пара указана в строке «Чернослив» → колонка «Другое».</x:v>
      </x:c>
      <x:c r="AD426" s="28" t="n">
        <x:v>1</x:v>
      </x:c>
      <x:c r="AE426" s="28" t="n">
        <x:v>1</x:v>
      </x:c>
      <x:c r="AF426" s="28" t="n">
        <x:f>IF(Z426="Высокая",3,IF(Z426="Средняя",2,1))+AD426*2+MIN(AE426,3)</x:f>
        <x:v>4</x:v>
      </x:c>
    </x:row>
    <x:row r="427" ht="62" customHeight="1">
      <x:c r="A427" s="28" t="str">
        <x:v>STN-0426</x:v>
      </x:c>
      <x:c r="B427" s="28" t="str">
        <x:v>чернослив</x:v>
      </x:c>
      <x:c r="C427" s="28" t="str">
        <x:v>Универсальные</x:v>
      </x:c>
      <x:c r="D427" s="28" t="str">
        <x:v>чернослив</x:v>
      </x:c>
      <x:c r="E427" s="28" t="str">
        <x:v>prune / dried plum</x:v>
      </x:c>
      <x:c r="F427" s="28" t="str">
        <x:v>Сушёные косточковые фрукты</x:v>
      </x:c>
      <x:c r="G427" s="28" t="str">
        <x:v>кокос</x:v>
      </x:c>
      <x:c r="H427" s="28" t="str">
        <x:v>Coconut</x:v>
      </x:c>
      <x:c r="I427" s="28" t="str">
        <x:v>Тропические фрукты и жирные матрицы</x:v>
      </x:c>
      <x:c r="J427" s="28" t="str">
        <x:v>тёмно-фруктовый, карамельный, винный, слегка дымный и миндальный</x:v>
      </x:c>
      <x:c r="K427" s="28" t="str">
        <x:v>сливочный, молочный, ореховый, сладкий и древесный</x:v>
      </x:c>
      <x:c r="L427" s="28" t="str">
        <x:v>фурфурол, 5-метилфурфурол, мальтол, лактоны, бензальдегид, продукты термического распада сахаров</x:v>
      </x:c>
      <x:c r="M427" s="28" t="str">
        <x:v>γ-ноналактон, γ-окталактон, δ-декалактон, жирные кислоты; при обжарке — пиразины и фураны</x:v>
      </x:c>
      <x:c r="N427" s="28" t="str">
        <x:v>прямое семейное перекрытие не является главным механизмом</x:v>
      </x:c>
      <x:c r="O427" s="28" t="str">
        <x:v>надёжный единичный общий маркер не подтверждён; механизм не сводится к одной молекуле</x:v>
      </x:c>
      <x:c r="P427" s="28" t="str">
        <x:v>комплементарность ароматических семейств, вкусовой контраст и матричный эффект</x:v>
      </x:c>
      <x:c r="Q427" s="28" t="str">
        <x:v>Базовый фрукт даёт: высокая сладость, мягкая кислотность и плотная сухофруктовая насыщенность. Партнёр добавляет: мягкая сладость; кокосовая вода минеральнее, мякоть и молоко жирнее. Баланс корректируется сахаром, кислотой, солью и горечью.</x:v>
      </x:c>
      <x:c r="R427" s="28" t="str">
        <x:v>слабый; возможна лёгкая терпкость; партнёр: кислотное покалывание зависит от плода; специальные эффекты указаны в паспорте</x:v>
      </x:c>
      <x:c r="S427" s="28" t="str">
        <x:v>маловодная, богатая сахарами, пектином и сорбитолом; хорошо удерживает специи и алкоголь. Партнёр: богатая жиром эмульсия; хорошо растворяет гидрофобные терпены, специи и ароматические масла.</x:v>
      </x:c>
      <x:c r="T427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U427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богатая жиром эмульсия; хорошо растворяет гидрофобные терпены, специи и ароматические масла.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V427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27" s="28" t="str">
        <x:v>мёд, цитрус или нейтральная жировая основа</x:v>
      </x:c>
      <x:c r="X427" s="28" t="str">
        <x:v>напиток, соус, десерт или горячее блюдо после пробной дегустации</x:v>
      </x:c>
      <x:c r="Y427" s="28" t="str">
        <x:v>напитки; еда; десерты; соусы/маринады</x:v>
      </x:c>
      <x:c r="Z427" s="28" t="str">
        <x:v>Средняя</x:v>
      </x:c>
      <x:c r="AA427" s="28" t="str">
        <x:v>The Art &amp; Science of Foodpairing.pdf</x:v>
      </x:c>
      <x:c r="AB427" s="28" t="str">
        <x:v>The Art &amp; Science of Foodpairing.pdf: 135</x:v>
      </x:c>
      <x:c r="AC427" s="28" t="str">
        <x:v>Ингредиент «Agen prunes» указан на странице профиля/сетки сочетаний «Coconut».</x:v>
      </x:c>
      <x:c r="AD427" s="28" t="n">
        <x:v>1</x:v>
      </x:c>
      <x:c r="AE427" s="28" t="n">
        <x:v>1</x:v>
      </x:c>
      <x:c r="AF427" s="28" t="n">
        <x:f>IF(Z427="Высокая",3,IF(Z427="Средняя",2,1))+AD427*2+MIN(AE427,3)</x:f>
        <x:v>5</x:v>
      </x:c>
    </x:row>
    <x:row r="428" ht="62" customHeight="1">
      <x:c r="A428" s="28" t="str">
        <x:v>STN-0427</x:v>
      </x:c>
      <x:c r="B428" s="28" t="str">
        <x:v>чернослив</x:v>
      </x:c>
      <x:c r="C428" s="28" t="str">
        <x:v>Универсальные</x:v>
      </x:c>
      <x:c r="D428" s="28" t="str">
        <x:v>чернослив</x:v>
      </x:c>
      <x:c r="E428" s="28" t="str">
        <x:v>prune / dried plum</x:v>
      </x:c>
      <x:c r="F428" s="28" t="str">
        <x:v>Сушёные косточковые фрукты</x:v>
      </x:c>
      <x:c r="G428" s="28" t="str">
        <x:v>корица</x:v>
      </x:c>
      <x:c r="H428" s="28" t="str">
        <x:v>корица</x:v>
      </x:c>
      <x:c r="I428" s="28" t="str">
        <x:v>Специи и острые компоненты</x:v>
      </x:c>
      <x:c r="J428" s="28" t="str">
        <x:v>тёмно-фруктовый, карамельный, винный, слегка дымный и миндальный</x:v>
      </x:c>
      <x:c r="K428" s="28" t="str">
        <x:v>тёплый, древесный и сладко-пряный</x:v>
      </x:c>
      <x:c r="L428" s="28" t="str">
        <x:v>фурфурол, 5-метилфурфурол, мальтол, лактоны, бензальдегид, продукты термического распада сахаров</x:v>
      </x:c>
      <x:c r="M428" s="28" t="str">
        <x:v>коричный альдегид, эвгенол</x:v>
      </x:c>
      <x:c r="N428" s="28" t="str">
        <x:v>прямое семейное перекрытие не является главным механизмом</x:v>
      </x:c>
      <x:c r="O428" s="28" t="str">
        <x:v>надёжный единичный общий маркер не подтверждён; механизм не сводится к одной молекуле</x:v>
      </x:c>
      <x:c r="P428" s="28" t="str">
        <x:v>комплементарность ароматических семейств, вкусовой контраст и матричный эффект</x:v>
      </x:c>
      <x:c r="Q428" s="28" t="str">
        <x:v>Сладость и кислота фрукта смягчают остроту и горечь специи, а пряный компонент удлиняет ароматическое послевкусие.</x:v>
      </x:c>
      <x:c r="R428" s="28" t="str">
        <x:v>слабый; возможна лёгкая терпкость; партнёр: капсаицин, пиперин, гингеролы и камфорные терпены создают жжение, тепло или охлаждение</x:v>
      </x:c>
      <x:c r="S428" s="28" t="str">
        <x:v>маловодная, богатая сахарами, пектином и сорбитолом; хорошо удерживает специи и алкоголь. Партнёр: ароматические масла хорошо переходят в жир и этанол.</x:v>
      </x:c>
      <x:c r="T428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U428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V428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W428" s="28" t="str">
        <x:v>мёд, цитрус или миндаль</x:v>
      </x:c>
      <x:c r="X428" s="28" t="str">
        <x:v>напиток, соус, десерт или горячее блюдо после пробной дегустации</x:v>
      </x:c>
      <x:c r="Y428" s="28" t="str">
        <x:v>напитки; еда; десерты; соусы/маринады</x:v>
      </x:c>
      <x:c r="Z428" s="28" t="str">
        <x:v>Гипотеза / практическая</x:v>
      </x:c>
      <x:c r="AA428" s="28" t="str">
        <x:v>Таблица сочетания(1).pdf</x:v>
      </x:c>
      <x:c r="AB428" s="28" t="str">
        <x:v>Таблица сочетания(1).pdf: 18</x:v>
      </x:c>
      <x:c r="AC428" s="28" t="str">
        <x:v>Пара указана в строке «Чернослив» → колонка «Травы и специи».</x:v>
      </x:c>
      <x:c r="AD428" s="28" t="n">
        <x:v>1</x:v>
      </x:c>
      <x:c r="AE428" s="28" t="n">
        <x:v>1</x:v>
      </x:c>
      <x:c r="AF428" s="28" t="n">
        <x:f>IF(Z428="Высокая",3,IF(Z428="Средняя",2,1))+AD428*2+MIN(AE428,3)</x:f>
        <x:v>4</x:v>
      </x:c>
    </x:row>
    <x:row r="429" ht="62" customHeight="1">
      <x:c r="A429" s="28" t="str">
        <x:v>STN-0428</x:v>
      </x:c>
      <x:c r="B429" s="28" t="str">
        <x:v>чернослив</x:v>
      </x:c>
      <x:c r="C429" s="28" t="str">
        <x:v>Десерты и выпечка</x:v>
      </x:c>
      <x:c r="D429" s="28" t="str">
        <x:v>чернослив</x:v>
      </x:c>
      <x:c r="E429" s="28" t="str">
        <x:v>prune / dried plum</x:v>
      </x:c>
      <x:c r="F429" s="28" t="str">
        <x:v>Сушёные косточковые фрукты</x:v>
      </x:c>
      <x:c r="G429" s="28" t="str">
        <x:v>лимон</x:v>
      </x:c>
      <x:c r="H429" s="28" t="str">
        <x:v>лимон</x:v>
      </x:c>
      <x:c r="I429" s="28" t="str">
        <x:v>Цитрусовые</x:v>
      </x:c>
      <x:c r="J429" s="28" t="str">
        <x:v>тёмно-фруктовый, карамельный, винный, слегка дымный и миндальный</x:v>
      </x:c>
      <x:c r="K429" s="28" t="str">
        <x:v>яркий цитрусовый и свежий</x:v>
      </x:c>
      <x:c r="L429" s="28" t="str">
        <x:v>фурфурол, 5-метилфурфурол, мальтол, лактоны, бензальдегид, продукты термического распада сахаров</x:v>
      </x:c>
      <x:c r="M429" s="28" t="str">
        <x:v>лимонен, цитраль, β-пинен</x:v>
      </x:c>
      <x:c r="N429" s="28" t="str">
        <x:v>прямое семейное перекрытие не является главным механизмом</x:v>
      </x:c>
      <x:c r="O429" s="28" t="str">
        <x:v>надёжный единичный общий маркер не подтверждён; механизм не сводится к одной молекуле</x:v>
      </x:c>
      <x:c r="P429" s="28" t="str">
        <x:v>комплементарность ароматических семейств, вкусовой контраст и матричный эффект</x:v>
      </x:c>
      <x:c r="Q429" s="28" t="str">
        <x:v>Близкие фруктовые эфиры создают непрерывность, а различия в кислотности, терпкости и сладости формируют контраст.</x:v>
      </x:c>
      <x:c r="R429" s="28" t="str">
        <x:v>слабый; возможна лёгкая терпкость; партнёр: кислота даёт покалывание и ощущение свежести</x:v>
      </x:c>
      <x:c r="S429" s="28" t="str">
        <x:v>маловодная, богатая сахарами, пектином и сорбитолом; хорошо удерживает специи и алкоголь. Партнёр: сок водный и кислый, цедра содержит гидрофобные эфирные масла.</x:v>
      </x:c>
      <x:c r="T429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42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сок водный и кислый, цедра содержит гидрофобные эфирные масла.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429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29" s="28" t="str">
        <x:v>ваниль, мёд или розмарин</x:v>
      </x:c>
      <x:c r="X429" s="28" t="str">
        <x:v>сорбет, салат, джем, кордиал, лимонад, коктейль или фруктовый соус</x:v>
      </x:c>
      <x:c r="Y429" s="28" t="str">
        <x:v>напитки; десерты; соусы/маринады</x:v>
      </x:c>
      <x:c r="Z429" s="28" t="str">
        <x:v>Гипотеза / практическая</x:v>
      </x:c>
      <x:c r="AA429" s="28" t="str">
        <x:v>Таблица сочетания(1).pdf</x:v>
      </x:c>
      <x:c r="AB429" s="28" t="str">
        <x:v>Таблица сочетания(1).pdf: Таблица сочетания(1).pdf: 18 | Таблица сочетания(1).pdf: 18</x:v>
      </x:c>
      <x:c r="AC429" s="28" t="str">
        <x:v>Пара указана в таблице: «Чернослив» → колонка «Фрукты». Пара указана в строке «Чернослив» → колонка «Фрукты».</x:v>
      </x:c>
      <x:c r="AD429" s="28" t="n">
        <x:v>1</x:v>
      </x:c>
      <x:c r="AE429" s="28" t="n">
        <x:v>2</x:v>
      </x:c>
      <x:c r="AF429" s="28" t="n">
        <x:f>IF(Z429="Высокая",3,IF(Z429="Средняя",2,1))+AD429*2+MIN(AE429,3)</x:f>
        <x:v>5</x:v>
      </x:c>
    </x:row>
    <x:row r="430" ht="62" customHeight="1">
      <x:c r="A430" s="28" t="str">
        <x:v>STN-0429</x:v>
      </x:c>
      <x:c r="B430" s="28" t="str">
        <x:v>чернослив</x:v>
      </x:c>
      <x:c r="C430" s="28" t="str">
        <x:v>Универсальные</x:v>
      </x:c>
      <x:c r="D430" s="28" t="str">
        <x:v>чернослив</x:v>
      </x:c>
      <x:c r="E430" s="28" t="str">
        <x:v>prune / dried plum</x:v>
      </x:c>
      <x:c r="F430" s="28" t="str">
        <x:v>Сушёные косточковые фрукты</x:v>
      </x:c>
      <x:c r="G430" s="28" t="str">
        <x:v>мед</x:v>
      </x:c>
      <x:c r="H430" s="28" t="str">
        <x:v>мёд</x:v>
      </x:c>
      <x:c r="I430" s="28" t="str">
        <x:v>Сахара, мёд и кондитерские основы</x:v>
      </x:c>
      <x:c r="J430" s="28" t="str">
        <x:v>тёмно-фруктовый, карамельный, винный, слегка дымный и миндальный</x:v>
      </x:c>
      <x:c r="K430" s="28" t="str">
        <x:v>цветочный, восковой и карамельный</x:v>
      </x:c>
      <x:c r="L430" s="28" t="str">
        <x:v>фурфурол, 5-метилфурфурол, мальтол, лактоны, бензальдегид, продукты термического распада сахаров</x:v>
      </x:c>
      <x:c r="M430" s="28" t="str">
        <x:v>фенилуксусная кислота, фураны, терпены, зависящие от ботанического происхождения</x:v>
      </x:c>
      <x:c r="N430" s="28" t="str">
        <x:v>карамельный</x:v>
      </x:c>
      <x:c r="O430" s="28" t="str">
        <x:v>надёжный единичный общий маркер не подтверждён; механизм не сводится к одной молекуле</x:v>
      </x:c>
      <x:c r="P430" s="28" t="str">
        <x:v>комплементарность ароматических семейств, вкусовой контраст и матричный эффект</x:v>
      </x:c>
      <x:c r="Q430" s="28" t="str">
        <x:v>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</x:v>
      </x:c>
      <x:c r="R430" s="28" t="str">
        <x:v>слабый; возможна лёгкая терпкость; партнёр: отсутствует</x:v>
      </x:c>
      <x:c r="S430" s="28" t="str">
        <x:v>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</x:v>
      </x:c>
      <x:c r="T430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U43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карамельный. 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V430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30" s="28" t="str">
        <x:v>мёд, цитрус или нейтральная жировая основа</x:v>
      </x:c>
      <x:c r="X430" s="28" t="str">
        <x:v>напиток, соус, десерт или горячее блюдо после пробной дегустации</x:v>
      </x:c>
      <x:c r="Y430" s="28" t="str">
        <x:v>напитки; еда; десерты; соусы/маринады</x:v>
      </x:c>
      <x:c r="Z430" s="28" t="str">
        <x:v>Гипотеза / практическая</x:v>
      </x:c>
      <x:c r="AA430" s="28" t="str">
        <x:v>Таблица сочетания(1).pdf</x:v>
      </x:c>
      <x:c r="AB430" s="28" t="str">
        <x:v>Таблица сочетания(1).pdf: 18</x:v>
      </x:c>
      <x:c r="AC430" s="28" t="str">
        <x:v>Пара указана в строке «Чернослив» → колонка «Другое».</x:v>
      </x:c>
      <x:c r="AD430" s="28" t="n">
        <x:v>1</x:v>
      </x:c>
      <x:c r="AE430" s="28" t="n">
        <x:v>1</x:v>
      </x:c>
      <x:c r="AF430" s="28" t="n">
        <x:f>IF(Z430="Высокая",3,IF(Z430="Средняя",2,1))+AD430*2+MIN(AE430,3)</x:f>
        <x:v>4</x:v>
      </x:c>
    </x:row>
    <x:row r="431" ht="62" customHeight="1">
      <x:c r="A431" s="28" t="str">
        <x:v>STN-0430</x:v>
      </x:c>
      <x:c r="B431" s="28" t="str">
        <x:v>чернослив</x:v>
      </x:c>
      <x:c r="C431" s="28" t="str">
        <x:v>Десерты и выпечка</x:v>
      </x:c>
      <x:c r="D431" s="28" t="str">
        <x:v>чернослив</x:v>
      </x:c>
      <x:c r="E431" s="28" t="str">
        <x:v>prune / dried plum</x:v>
      </x:c>
      <x:c r="F431" s="28" t="str">
        <x:v>Сушёные косточковые фрукты</x:v>
      </x:c>
      <x:c r="G431" s="28" t="str">
        <x:v>миндаль</x:v>
      </x:c>
      <x:c r="H431" s="28" t="str">
        <x:v>миндаль</x:v>
      </x:c>
      <x:c r="I431" s="28" t="str">
        <x:v>Орехи и семена</x:v>
      </x:c>
      <x:c r="J431" s="28" t="str">
        <x:v>тёмно-фруктовый, карамельный, винный, слегка дымный и миндальный</x:v>
      </x:c>
      <x:c r="K431" s="28" t="str">
        <x:v>марципановый и ореховый</x:v>
      </x:c>
      <x:c r="L431" s="28" t="str">
        <x:v>фурфурол, 5-метилфурфурол, мальтол, лактоны, бензальдегид, продукты термического распада сахаров</x:v>
      </x:c>
      <x:c r="M431" s="28" t="str">
        <x:v>бензальдегид, пиразины после обжарки</x:v>
      </x:c>
      <x:c r="N431" s="28" t="str">
        <x:v>прямое семейное перекрытие не является главным механизмом</x:v>
      </x:c>
      <x:c r="O431" s="28" t="str">
        <x:v>бензальдегид</x:v>
      </x:c>
      <x:c r="P431" s="28" t="str">
        <x:v>прямое или классовое перекрытие характерных одорантов + вкусовой баланс</x:v>
      </x:c>
      <x:c r="Q431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431" s="28" t="str">
        <x:v>слабый; возможна лёгкая терпкость; партнёр: обычно отсутствует</x:v>
      </x:c>
      <x:c r="S431" s="28" t="str">
        <x:v>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</x:v>
      </x:c>
      <x:c r="T431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43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Миндаль относится к группе «Орехи и семена» и даёт профиль «марципановый и ореховый»; типичные соединения или классы: бензальдегид, пиразины после обжарки.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431" s="28" t="str">
        <x:v>легко сделать вкус тяжёлым и приторным; нужна кислота, соль, горечь или умами. Сильная обжарка и прогорклый жир перекрывают цветочный профиль.</x:v>
      </x:c>
      <x:c r="W431" s="28" t="str">
        <x:v>ваниль, шоколад или корица</x:v>
      </x:c>
      <x:c r="X431" s="28" t="str">
        <x:v>тарт, крем, мороженое, выпечка, сырная подача или начинка</x:v>
      </x:c>
      <x:c r="Y431" s="28" t="str">
        <x:v>десерты; еда</x:v>
      </x:c>
      <x:c r="Z431" s="28" t="str">
        <x:v>Гипотеза / практическая</x:v>
      </x:c>
      <x:c r="AA431" s="28" t="str">
        <x:v>Таблица сочетания(1).pdf</x:v>
      </x:c>
      <x:c r="AB431" s="28" t="str">
        <x:v>Таблица сочетания(1).pdf: 18</x:v>
      </x:c>
      <x:c r="AC431" s="28" t="str">
        <x:v>Пара указана в строке «Чернослив» → колонка «Другое».</x:v>
      </x:c>
      <x:c r="AD431" s="28" t="n">
        <x:v>1</x:v>
      </x:c>
      <x:c r="AE431" s="28" t="n">
        <x:v>1</x:v>
      </x:c>
      <x:c r="AF431" s="28" t="n">
        <x:f>IF(Z431="Высокая",3,IF(Z431="Средняя",2,1))+AD431*2+MIN(AE431,3)</x:f>
        <x:v>4</x:v>
      </x:c>
    </x:row>
    <x:row r="432" ht="62" customHeight="1">
      <x:c r="A432" s="28" t="str">
        <x:v>STN-0431</x:v>
      </x:c>
      <x:c r="B432" s="28" t="str">
        <x:v>чернослив</x:v>
      </x:c>
      <x:c r="C432" s="28" t="str">
        <x:v>Универсальные</x:v>
      </x:c>
      <x:c r="D432" s="28" t="str">
        <x:v>чернослив</x:v>
      </x:c>
      <x:c r="E432" s="28" t="str">
        <x:v>prune / dried plum</x:v>
      </x:c>
      <x:c r="F432" s="28" t="str">
        <x:v>Сушёные косточковые фрукты</x:v>
      </x:c>
      <x:c r="G432" s="28" t="str">
        <x:v>мята</x:v>
      </x:c>
      <x:c r="H432" s="28" t="str">
        <x:v>мята</x:v>
      </x:c>
      <x:c r="I432" s="28" t="str">
        <x:v>Травы и цветы</x:v>
      </x:c>
      <x:c r="J432" s="28" t="str">
        <x:v>тёмно-фруктовый, карамельный, винный, слегка дымный и миндальный</x:v>
      </x:c>
      <x:c r="K432" s="28" t="str">
        <x:v>свежий мятный</x:v>
      </x:c>
      <x:c r="L432" s="28" t="str">
        <x:v>фурфурол, 5-метилфурфурол, мальтол, лактоны, бензальдегид, продукты термического распада сахаров</x:v>
      </x:c>
      <x:c r="M432" s="28" t="str">
        <x:v>ментол, ментон</x:v>
      </x:c>
      <x:c r="N432" s="28" t="str">
        <x:v>прямое семейное перекрытие не является главным механизмом</x:v>
      </x:c>
      <x:c r="O432" s="28" t="str">
        <x:v>надёжный единичный общий маркер не подтверждён; механизм не сводится к одной молекуле</x:v>
      </x:c>
      <x:c r="P432" s="28" t="str">
        <x:v>комплементарность ароматических семейств, вкусовой контраст и матричный эффект</x:v>
      </x:c>
      <x:c r="Q432" s="28" t="str">
        <x:v>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432" s="28" t="str">
        <x:v>слабый; возможна лёгкая терпкость; партнёр: ментол активирует холодовые рецепторы</x:v>
      </x:c>
      <x:c r="S432" s="28" t="str">
        <x:v>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</x:v>
      </x:c>
      <x:c r="T432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43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432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32" s="28" t="str">
        <x:v>мёд, цитрус или нейтральная жировая основа</x:v>
      </x:c>
      <x:c r="X432" s="28" t="str">
        <x:v>напиток, соус, десерт или горячее блюдо после пробной дегустации</x:v>
      </x:c>
      <x:c r="Y432" s="28" t="str">
        <x:v>напитки; еда; десерты; соусы/маринады</x:v>
      </x:c>
      <x:c r="Z432" s="28" t="str">
        <x:v>Гипотеза / практическая</x:v>
      </x:c>
      <x:c r="AA432" s="28" t="str">
        <x:v>Таблица сочетания(1).pdf</x:v>
      </x:c>
      <x:c r="AB432" s="28" t="str">
        <x:v>Таблица сочетания(1).pdf: 18</x:v>
      </x:c>
      <x:c r="AC432" s="28" t="str">
        <x:v>Пара указана в строке «Чернослив» → колонка «Травы и специи».</x:v>
      </x:c>
      <x:c r="AD432" s="28" t="n">
        <x:v>1</x:v>
      </x:c>
      <x:c r="AE432" s="28" t="n">
        <x:v>1</x:v>
      </x:c>
      <x:c r="AF432" s="28" t="n">
        <x:f>IF(Z432="Высокая",3,IF(Z432="Средняя",2,1))+AD432*2+MIN(AE432,3)</x:f>
        <x:v>4</x:v>
      </x:c>
    </x:row>
    <x:row r="433" ht="62" customHeight="1">
      <x:c r="A433" s="28" t="str">
        <x:v>STN-0432</x:v>
      </x:c>
      <x:c r="B433" s="28" t="str">
        <x:v>чернослив</x:v>
      </x:c>
      <x:c r="C433" s="28" t="str">
        <x:v>Десерты и выпечка</x:v>
      </x:c>
      <x:c r="D433" s="28" t="str">
        <x:v>чернослив</x:v>
      </x:c>
      <x:c r="E433" s="28" t="str">
        <x:v>prune / dried plum</x:v>
      </x:c>
      <x:c r="F433" s="28" t="str">
        <x:v>Сушёные косточковые фрукты</x:v>
      </x:c>
      <x:c r="G433" s="28" t="str">
        <x:v>пекан</x:v>
      </x:c>
      <x:c r="H433" s="28" t="str">
        <x:v>пекан</x:v>
      </x:c>
      <x:c r="I433" s="28" t="str">
        <x:v>Орехи и семена</x:v>
      </x:c>
      <x:c r="J433" s="28" t="str">
        <x:v>тёмно-фруктовый, карамельный, винный, слегка дымный и миндальный</x:v>
      </x:c>
      <x:c r="K433" s="28" t="str">
        <x:v>ореховый, жареный, маслянистый и иногда миндальный</x:v>
      </x:c>
      <x:c r="L433" s="28" t="str">
        <x:v>фурфурол, 5-метилфурфурол, мальтол, лактоны, бензальдегид, продукты термического распада сахаров</x:v>
      </x:c>
      <x:c r="M433" s="28" t="str">
        <x:v>пиразины, бензальдегид, филбертон, жирные альдегиды</x:v>
      </x:c>
      <x:c r="N433" s="28" t="str">
        <x:v>миндальный</x:v>
      </x:c>
      <x:c r="O433" s="28" t="str">
        <x:v>бензальдегид</x:v>
      </x:c>
      <x:c r="P433" s="28" t="str">
        <x:v>прямое или классовое перекрытие характерных одорантов + вкусовой баланс</x:v>
      </x:c>
      <x:c r="Q433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433" s="28" t="str">
        <x:v>слабый; возможна лёгкая терпкость; партнёр: обычно отсутствует</x:v>
      </x:c>
      <x:c r="S433" s="28" t="str">
        <x:v>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</x:v>
      </x:c>
      <x:c r="T433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43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Пекан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433" s="28" t="str">
        <x:v>легко сделать вкус тяжёлым и приторным; нужна кислота, соль, горечь или умами. Сильная обжарка и прогорклый жир перекрывают цветочный профиль.</x:v>
      </x:c>
      <x:c r="W433" s="28" t="str">
        <x:v>ваниль, шоколад или корица</x:v>
      </x:c>
      <x:c r="X433" s="28" t="str">
        <x:v>тарт, крем, мороженое, выпечка, сырная подача или начинка</x:v>
      </x:c>
      <x:c r="Y433" s="28" t="str">
        <x:v>десерты; еда</x:v>
      </x:c>
      <x:c r="Z433" s="28" t="str">
        <x:v>Гипотеза / практическая</x:v>
      </x:c>
      <x:c r="AA433" s="28" t="str">
        <x:v>Таблица сочетания(1).pdf</x:v>
      </x:c>
      <x:c r="AB433" s="28" t="str">
        <x:v>Таблица сочетания(1).pdf: 18</x:v>
      </x:c>
      <x:c r="AC433" s="28" t="str">
        <x:v>Пара указана в строке «Чернослив» → колонка «Другое».</x:v>
      </x:c>
      <x:c r="AD433" s="28" t="n">
        <x:v>1</x:v>
      </x:c>
      <x:c r="AE433" s="28" t="n">
        <x:v>1</x:v>
      </x:c>
      <x:c r="AF433" s="28" t="n">
        <x:f>IF(Z433="Высокая",3,IF(Z433="Средняя",2,1))+AD433*2+MIN(AE433,3)</x:f>
        <x:v>4</x:v>
      </x:c>
    </x:row>
    <x:row r="434" ht="62" customHeight="1">
      <x:c r="A434" s="28" t="str">
        <x:v>STN-0433</x:v>
      </x:c>
      <x:c r="B434" s="28" t="str">
        <x:v>чернослив</x:v>
      </x:c>
      <x:c r="C434" s="28" t="str">
        <x:v>Универсальные</x:v>
      </x:c>
      <x:c r="D434" s="28" t="str">
        <x:v>чернослив</x:v>
      </x:c>
      <x:c r="E434" s="28" t="str">
        <x:v>prune / dried plum</x:v>
      </x:c>
      <x:c r="F434" s="28" t="str">
        <x:v>Сушёные косточковые фрукты</x:v>
      </x:c>
      <x:c r="G434" s="28" t="str">
        <x:v>розмарин</x:v>
      </x:c>
      <x:c r="H434" s="28" t="str">
        <x:v>розмарин</x:v>
      </x:c>
      <x:c r="I434" s="28" t="str">
        <x:v>Травы и цветы</x:v>
      </x:c>
      <x:c r="J434" s="28" t="str">
        <x:v>тёмно-фруктовый, карамельный, винный, слегка дымный и миндальный</x:v>
      </x:c>
      <x:c r="K434" s="28" t="str">
        <x:v>хвойный, камфорный и древесный</x:v>
      </x:c>
      <x:c r="L434" s="28" t="str">
        <x:v>фурфурол, 5-метилфурфурол, мальтол, лактоны, бензальдегид, продукты термического распада сахаров</x:v>
      </x:c>
      <x:c r="M434" s="28" t="str">
        <x:v>1,8-цинеол, камфора, α-пинен</x:v>
      </x:c>
      <x:c r="N434" s="28" t="str">
        <x:v>прямое семейное перекрытие не является главным механизмом</x:v>
      </x:c>
      <x:c r="O434" s="28" t="str">
        <x:v>надёжный единичный общий маркер не подтверждён; механизм не сводится к одной молекуле</x:v>
      </x:c>
      <x:c r="P434" s="28" t="str">
        <x:v>комплементарность ароматических семейств, вкусовой контраст и матричный эффект</x:v>
      </x:c>
      <x:c r="Q434" s="28" t="str">
        <x:v>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</x:v>
      </x:c>
      <x:c r="R434" s="28" t="str">
        <x:v>слабый; возможна лёгкая терпкость; партнёр: у мяты возможен холодящий эффект ментола; у некоторых трав — камфорность</x:v>
      </x:c>
      <x:c r="S434" s="28" t="str">
        <x:v>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</x:v>
      </x:c>
      <x:c r="T43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U43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Розмарин относится к группе «Травы и цветы» и даёт профиль «хвойный, камфорный и древесный»; типичные соединения или классы: 1,8-цинеол, камфора, α-пинен.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V434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34" s="28" t="str">
        <x:v>мёд, цитрус или нейтральная жировая основа</x:v>
      </x:c>
      <x:c r="X434" s="28" t="str">
        <x:v>напиток, соус, десерт или горячее блюдо после пробной дегустации</x:v>
      </x:c>
      <x:c r="Y434" s="28" t="str">
        <x:v>напитки; еда; десерты; соусы/маринады</x:v>
      </x:c>
      <x:c r="Z434" s="28" t="str">
        <x:v>Гипотеза / практическая</x:v>
      </x:c>
      <x:c r="AA434" s="28" t="str">
        <x:v>Таблица сочетания(1).pdf</x:v>
      </x:c>
      <x:c r="AB434" s="28" t="str">
        <x:v>Таблица сочетания(1).pdf: 18</x:v>
      </x:c>
      <x:c r="AC434" s="28" t="str">
        <x:v>Пара указана в строке «Чернослив» → колонка «Травы и специи».</x:v>
      </x:c>
      <x:c r="AD434" s="28" t="n">
        <x:v>1</x:v>
      </x:c>
      <x:c r="AE434" s="28" t="n">
        <x:v>1</x:v>
      </x:c>
      <x:c r="AF434" s="28" t="n">
        <x:f>IF(Z434="Высокая",3,IF(Z434="Средняя",2,1))+AD434*2+MIN(AE434,3)</x:f>
        <x:v>4</x:v>
      </x:c>
    </x:row>
    <x:row r="435" ht="62" customHeight="1">
      <x:c r="A435" s="28" t="str">
        <x:v>STN-0434</x:v>
      </x:c>
      <x:c r="B435" s="28" t="str">
        <x:v>чернослив</x:v>
      </x:c>
      <x:c r="C435" s="28" t="str">
        <x:v>Универсальные</x:v>
      </x:c>
      <x:c r="D435" s="28" t="str">
        <x:v>чернослив</x:v>
      </x:c>
      <x:c r="E435" s="28" t="str">
        <x:v>prune / dried plum</x:v>
      </x:c>
      <x:c r="F435" s="28" t="str">
        <x:v>Сушёные косточковые фрукты</x:v>
      </x:c>
      <x:c r="G435" s="28" t="str">
        <x:v>свиная корейка</x:v>
      </x:c>
      <x:c r="H435" s="28" t="str">
        <x:v>Pork loin chop</x:v>
      </x:c>
      <x:c r="I435" s="28" t="str">
        <x:v>Прочее</x:v>
      </x:c>
      <x:c r="J435" s="28" t="str">
        <x:v>тёмно-фруктовый, карамельный, винный, слегка дымный и миндальный</x:v>
      </x:c>
      <x:c r="K435" s="28" t="str">
        <x:v>комплексный профиль, зависящий от продукта</x:v>
      </x:c>
      <x:c r="L435" s="28" t="str">
        <x:v>фурфурол, 5-метилфурфурол, мальтол, лактоны, бензальдегид, продукты термического распада сахаров</x:v>
      </x:c>
      <x:c r="M435" s="28" t="str">
        <x:v>нужен профиль конкретного ингредиента</x:v>
      </x:c>
      <x:c r="N435" s="28" t="str">
        <x:v>прямое семейное перекрытие не является главным механизмом</x:v>
      </x:c>
      <x:c r="O435" s="28" t="str">
        <x:v>надёжный единичный общий маркер не подтверждён; механизм не сводится к одной молекуле</x:v>
      </x:c>
      <x:c r="P435" s="28" t="str">
        <x:v>комплементарность ароматических семейств, вкусовой контраст и матричный эффект</x:v>
      </x:c>
      <x:c r="Q435" s="28" t="str">
        <x:v>Базовый фрукт даёт: высокая сладость, мягкая кислотность и плотная сухофруктовая насыщенность. Партнёр добавляет: баланс зависит от продукта. Баланс корректируется сахаром, кислотой, солью и горечью.</x:v>
      </x:c>
      <x:c r="R435" s="28" t="str">
        <x:v>слабый; возможна лёгкая терпкость; партнёр: нет данных</x:v>
      </x:c>
      <x:c r="S435" s="28" t="str">
        <x:v>маловодная, богатая сахарами, пектином и сорбитолом; хорошо удерживает специи и алкоголь. Партнёр: матрица зависит от формы продукта.</x:v>
      </x:c>
      <x:c r="T435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U435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баланс зависит от продукта.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матрица зависит от формы продукта.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V435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35" s="28" t="str">
        <x:v>мёд, цитрус или нейтральная жировая основа</x:v>
      </x:c>
      <x:c r="X435" s="28" t="str">
        <x:v>напиток, соус, десерт или горячее блюдо после пробной дегустации</x:v>
      </x:c>
      <x:c r="Y435" s="28" t="str">
        <x:v>напитки; еда; десерты; соусы/маринады</x:v>
      </x:c>
      <x:c r="Z435" s="28" t="str">
        <x:v>Средняя</x:v>
      </x:c>
      <x:c r="AA435" s="28" t="str">
        <x:v>The Art &amp; Science of Foodpairing.pdf</x:v>
      </x:c>
      <x:c r="AB435" s="28" t="str">
        <x:v>The Art &amp; Science of Foodpairing.pdf: 186</x:v>
      </x:c>
      <x:c r="AC435" s="28" t="str">
        <x:v>Ингредиент «Agen prunes» указан на странице профиля/сетки сочетаний «Pork loin chop».</x:v>
      </x:c>
      <x:c r="AD435" s="28" t="n">
        <x:v>1</x:v>
      </x:c>
      <x:c r="AE435" s="28" t="n">
        <x:v>1</x:v>
      </x:c>
      <x:c r="AF435" s="28" t="n">
        <x:f>IF(Z435="Высокая",3,IF(Z435="Средняя",2,1))+AD435*2+MIN(AE435,3)</x:f>
        <x:v>5</x:v>
      </x:c>
    </x:row>
    <x:row r="436" ht="62" customHeight="1">
      <x:c r="A436" s="28" t="str">
        <x:v>STN-0435</x:v>
      </x:c>
      <x:c r="B436" s="28" t="str">
        <x:v>чернослив</x:v>
      </x:c>
      <x:c r="C436" s="28" t="str">
        <x:v>Десерты и выпечка</x:v>
      </x:c>
      <x:c r="D436" s="28" t="str">
        <x:v>чернослив</x:v>
      </x:c>
      <x:c r="E436" s="28" t="str">
        <x:v>prune / dried plum</x:v>
      </x:c>
      <x:c r="F436" s="28" t="str">
        <x:v>Сушёные косточковые фрукты</x:v>
      </x:c>
      <x:c r="G436" s="28" t="str">
        <x:v>смородина</x:v>
      </x:c>
      <x:c r="H436" s="28" t="str">
        <x:v>смородина</x:v>
      </x:c>
      <x:c r="I436" s="28" t="str">
        <x:v>Ягоды</x:v>
      </x:c>
      <x:c r="J436" s="28" t="str">
        <x:v>тёмно-фруктовый, карамельный, винный, слегка дымный и миндальный</x:v>
      </x:c>
      <x:c r="K436" s="28" t="str">
        <x:v>красно-фруктовый, цветочный, зелёный и иногда сернистый</x:v>
      </x:c>
      <x:c r="L436" s="28" t="str">
        <x:v>фурфурол, 5-метилфурфурол, мальтол, лактоны, бензальдегид, продукты термического распада сахаров</x:v>
      </x:c>
      <x:c r="M436" s="28" t="str">
        <x:v>фуранеол, эфиры, иононы, зелёные альдегиды</x:v>
      </x:c>
      <x:c r="N436" s="28" t="str">
        <x:v>фруктовый</x:v>
      </x:c>
      <x:c r="O436" s="28" t="str">
        <x:v>надёжный единичный общий маркер не подтверждён; механизм не сводится к одной молекуле</x:v>
      </x:c>
      <x:c r="P436" s="28" t="str">
        <x:v>комплементарность ароматических семейств, вкусовой контраст и матричный эффект</x:v>
      </x:c>
      <x:c r="Q436" s="28" t="str">
        <x:v>Близкие фруктовые эфиры создают непрерывность, а различия в кислотности, терпкости и сладости формируют контраст.</x:v>
      </x:c>
      <x:c r="R436" s="28" t="str">
        <x:v>слабый; возможна лёгкая терпкость; партнёр: обычно слабый; кислота усиливает свежесть</x:v>
      </x:c>
      <x:c r="S436" s="28" t="str">
        <x:v>маловодная, богатая сахарами, пектином и сорбитолом; хорошо удерживает специи и алкоголь. Партнёр: водная пектиновая; антоцианы влияют на цвет, но не являются главными одорантами.</x:v>
      </x:c>
      <x:c r="T436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436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фруктовый.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водная пектиновая; антоцианы влияют на цвет, но не являются главными одорантами.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436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36" s="28" t="str">
        <x:v>ваниль, мята или миндаль</x:v>
      </x:c>
      <x:c r="X436" s="28" t="str">
        <x:v>сорбет, салат, джем, кордиал, лимонад, коктейль или фруктовый соус</x:v>
      </x:c>
      <x:c r="Y436" s="28" t="str">
        <x:v>напитки; десерты; соусы/маринады</x:v>
      </x:c>
      <x:c r="Z436" s="28" t="str">
        <x:v>Гипотеза / практическая</x:v>
      </x:c>
      <x:c r="AA436" s="28" t="str">
        <x:v>Таблица сочетания(1).pdf</x:v>
      </x:c>
      <x:c r="AB436" s="28" t="str">
        <x:v>Таблица сочетания(1).pdf: Таблица сочетаний: 18 | Таблица сочетания(1).pdf: 18</x:v>
      </x:c>
      <x:c r="AC436" s="28" t="str">
        <x:v>Чернослив: смородина Пара указана в строке «Чернослив» → колонка «Фрукты».</x:v>
      </x:c>
      <x:c r="AD436" s="28" t="n">
        <x:v>1</x:v>
      </x:c>
      <x:c r="AE436" s="28" t="n">
        <x:v>2</x:v>
      </x:c>
      <x:c r="AF436" s="28" t="n">
        <x:f>IF(Z436="Высокая",3,IF(Z436="Средняя",2,1))+AD436*2+MIN(AE436,3)</x:f>
        <x:v>5</x:v>
      </x:c>
    </x:row>
    <x:row r="437" ht="62" customHeight="1">
      <x:c r="A437" s="28" t="str">
        <x:v>STN-0436</x:v>
      </x:c>
      <x:c r="B437" s="28" t="str">
        <x:v>чернослив</x:v>
      </x:c>
      <x:c r="C437" s="28" t="str">
        <x:v>Универсальные</x:v>
      </x:c>
      <x:c r="D437" s="28" t="str">
        <x:v>чернослив</x:v>
      </x:c>
      <x:c r="E437" s="28" t="str">
        <x:v>prune / dried plum</x:v>
      </x:c>
      <x:c r="F437" s="28" t="str">
        <x:v>Сушёные косточковые фрукты</x:v>
      </x:c>
      <x:c r="G437" s="28" t="str">
        <x:v>темный шоколад</x:v>
      </x:c>
      <x:c r="H437" s="28" t="str">
        <x:v>тёмный шоколад</x:v>
      </x:c>
      <x:c r="I437" s="28" t="str">
        <x:v>Чай, кофе и какао</x:v>
      </x:c>
      <x:c r="J437" s="28" t="str">
        <x:v>тёмно-фруктовый, карамельный, винный, слегка дымный и миндальный</x:v>
      </x:c>
      <x:c r="K437" s="28" t="str">
        <x:v>какао, жареный, ореховый и фруктовый</x:v>
      </x:c>
      <x:c r="L437" s="28" t="str">
        <x:v>фурфурол, 5-метилфурфурол, мальтол, лактоны, бензальдегид, продукты термического распада сахаров</x:v>
      </x:c>
      <x:c r="M437" s="28" t="str">
        <x:v>пиразины, альдегиды Стреккера, фураны</x:v>
      </x:c>
      <x:c r="N437" s="28" t="str">
        <x:v>фруктовый</x:v>
      </x:c>
      <x:c r="O437" s="28" t="str">
        <x:v>надёжный единичный общий маркер не подтверждён; механизм не сводится к одной молекуле</x:v>
      </x:c>
      <x:c r="P437" s="28" t="str">
        <x:v>комплементарность ароматических семейств, вкусовой контраст и матричный эффект</x:v>
      </x:c>
      <x:c r="Q437" s="28" t="str">
        <x:v>Базовый фрукт даёт: высокая сладость, мягкая кислотность и плотная сухофруктовая насыщенность. Партнёр добавляет: горечь, терпкость и жареная сладость. Баланс корректируется сахаром, кислотой, солью и горечью.</x:v>
      </x:c>
      <x:c r="R437" s="28" t="str">
        <x:v>слабый; возможна лёгкая терпкость; партнёр: кофеин и терпкость создают сухость, но прямой тройничный эффект умерен</x:v>
      </x:c>
      <x:c r="S437" s="28" t="str">
        <x:v>маловодная, богатая сахарами, пектином и сорбитолом; хорошо удерживает специи и алкоголь. Партнёр: водные настои извлекают полифенолы; жир и сахар смягчают горечь.</x:v>
      </x:c>
      <x:c r="T437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U437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Темный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горечь, терпкость и жареная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водные настои извлекают полифенолы; жир и сахар смягчают горечь.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V437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37" s="28" t="str">
        <x:v>мёд, цитрус или нейтральная жировая основа</x:v>
      </x:c>
      <x:c r="X437" s="28" t="str">
        <x:v>напиток, соус, десерт или горячее блюдо после пробной дегустации</x:v>
      </x:c>
      <x:c r="Y437" s="28" t="str">
        <x:v>напитки; еда; десерты; соусы/маринады</x:v>
      </x:c>
      <x:c r="Z437" s="28" t="str">
        <x:v>Гипотеза / практическая</x:v>
      </x:c>
      <x:c r="AA437" s="28" t="str">
        <x:v>Таблица сочетания(1).pdf</x:v>
      </x:c>
      <x:c r="AB437" s="28" t="str">
        <x:v>Таблица сочетания(1).pdf: 18</x:v>
      </x:c>
      <x:c r="AC437" s="28" t="str">
        <x:v>Пара указана в строке «Чернослив» → колонка «Другое».</x:v>
      </x:c>
      <x:c r="AD437" s="28" t="n">
        <x:v>1</x:v>
      </x:c>
      <x:c r="AE437" s="28" t="n">
        <x:v>1</x:v>
      </x:c>
      <x:c r="AF437" s="28" t="n">
        <x:f>IF(Z437="Высокая",3,IF(Z437="Средняя",2,1))+AD437*2+MIN(AE437,3)</x:f>
        <x:v>4</x:v>
      </x:c>
    </x:row>
    <x:row r="438" ht="62" customHeight="1">
      <x:c r="A438" s="28" t="str">
        <x:v>STN-0437</x:v>
      </x:c>
      <x:c r="B438" s="28" t="str">
        <x:v>чернослив</x:v>
      </x:c>
      <x:c r="C438" s="28" t="str">
        <x:v>Универсальные</x:v>
      </x:c>
      <x:c r="D438" s="28" t="str">
        <x:v>чернослив</x:v>
      </x:c>
      <x:c r="E438" s="28" t="str">
        <x:v>prune / dried plum</x:v>
      </x:c>
      <x:c r="F438" s="28" t="str">
        <x:v>Сушёные косточковые фрукты</x:v>
      </x:c>
      <x:c r="G438" s="28" t="str">
        <x:v>финик</x:v>
      </x:c>
      <x:c r="H438" s="28" t="str">
        <x:v>Финик | финик</x:v>
      </x:c>
      <x:c r="I438" s="28" t="str">
        <x:v>Сухофрукты и тропические плоды</x:v>
      </x:c>
      <x:c r="J438" s="28" t="str">
        <x:v>тёмно-фруктовый, карамельный, винный, слегка дымный и миндальный</x:v>
      </x:c>
      <x:c r="K438" s="28" t="str">
        <x:v>медовый, карамельный, сухофруктовый, ореховый и пряный</x:v>
      </x:c>
      <x:c r="L438" s="28" t="str">
        <x:v>фурфурол, 5-метилфурфурол, мальтол, лактоны, бензальдегид, продукты термического распада сахаров</x:v>
      </x:c>
      <x:c r="M438" s="28" t="str">
        <x:v>фураны, альдегиды Стреккера, фенольные соединения и продукты карамелизации</x:v>
      </x:c>
      <x:c r="N438" s="28" t="str">
        <x:v>фруктовый, карамельный</x:v>
      </x:c>
      <x:c r="O438" s="28" t="str">
        <x:v>надёжный единичный общий маркер не подтверждён; механизм не сводится к одной молекуле</x:v>
      </x:c>
      <x:c r="P438" s="28" t="str">
        <x:v>комплементарность ароматических семейств, вкусовой контраст и матричный эффект</x:v>
      </x:c>
      <x:c r="Q438" s="28" t="str">
        <x:v>Базовый фрукт даёт: высокая сладость, мягкая кислотность и плотная сухофруктовая насыщенность. Партнёр добавляет: очень высокая сладость, низкая кислотность. Баланс корректируется сахаром, кислотой, солью и горечью.</x:v>
      </x:c>
      <x:c r="R438" s="28" t="str">
        <x:v>слабый; возможна лёгкая терпкость; партнёр: кислотное покалывание зависит от плода; специальные эффекты указаны в паспорте</x:v>
      </x:c>
      <x:c r="S438" s="28" t="str">
        <x:v>маловодная, богатая сахарами, пектином и сорбитолом; хорошо удерживает специи и алкоголь. Партнёр: плотная сахаристая и вязкая; хорошо связывает жир и специи.</x:v>
      </x:c>
      <x:c r="T438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U438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Финик относится к группе «Сухофрукты и тропические плоды» и даёт профиль «медовый, карамельный, сухофруктовый, ореховый и пряный»; типичные соединения или классы: фураны, альдегиды Стреккера, фенольные соединения и продукты карамелизации. По доступным материалам нельзя уверенно свести совместимость к одной общей молекуле. Общие ароматические направления: фруктовый, карамельный. Базовый фрукт даёт: высокая сладость, мягкая кислотность и плотная сухофруктовая насыщенность. Партнёр добавляет: очень высокая сладость, низкая кислотность.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плотная сахаристая и вязкая; хорошо связывает жир и специи.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V438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38" s="28" t="str">
        <x:v>мёд, цитрус или нейтральная жировая основа</x:v>
      </x:c>
      <x:c r="X438" s="28" t="str">
        <x:v>напиток, соус, десерт или горячее блюдо после пробной дегустации</x:v>
      </x:c>
      <x:c r="Y438" s="28" t="str">
        <x:v>напитки; еда; десерты; соусы/маринады</x:v>
      </x:c>
      <x:c r="Z438" s="28" t="str">
        <x:v>Гипотеза / практическая</x:v>
      </x:c>
      <x:c r="AA438" s="28" t="str">
        <x:v>Таблица сочетания(1).pdf</x:v>
      </x:c>
      <x:c r="AB438" s="28" t="str">
        <x:v>Таблица сочетания(1).pdf: Таблица сочетаний: 18, 7 | Таблица сочетания(1).pdf: 7 | Таблица сочетания(1).pdf: 18</x:v>
      </x:c>
      <x:c r="AC438" s="28" t="str">
        <x:v>Таблица сочетаний: В строке «Финик» ингредиент «чернослив» указан как рекомендуемое сочетание в колонке «Фрукты». || Таблица сочетаний: В строке «Чернослив» ингредиент «финик» указан как рекомендуемое сочетание в колонке «Фрукты». Пара указана в строке «Финик»: «чернослив» находится в колонке «Фрукты». Пара указана в строке «Чернослив» → колонка «Фрукты».</x:v>
      </x:c>
      <x:c r="AD438" s="28" t="n">
        <x:v>1</x:v>
      </x:c>
      <x:c r="AE438" s="28" t="n">
        <x:v>3</x:v>
      </x:c>
      <x:c r="AF438" s="28" t="n">
        <x:f>IF(Z438="Высокая",3,IF(Z438="Средняя",2,1))+AD438*2+MIN(AE438,3)</x:f>
        <x:v>6</x:v>
      </x:c>
    </x:row>
    <x:row r="439" ht="62" customHeight="1">
      <x:c r="A439" s="28" t="str">
        <x:v>STN-0438</x:v>
      </x:c>
      <x:c r="B439" s="28" t="str">
        <x:v>чернослив</x:v>
      </x:c>
      <x:c r="C439" s="28" t="str">
        <x:v>Десерты и выпечка</x:v>
      </x:c>
      <x:c r="D439" s="28" t="str">
        <x:v>чернослив</x:v>
      </x:c>
      <x:c r="E439" s="28" t="str">
        <x:v>prune / dried plum</x:v>
      </x:c>
      <x:c r="F439" s="28" t="str">
        <x:v>Сушёные косточковые фрукты</x:v>
      </x:c>
      <x:c r="G439" s="28" t="str">
        <x:v>фисташка</x:v>
      </x:c>
      <x:c r="H439" s="28" t="str">
        <x:v>фисташка</x:v>
      </x:c>
      <x:c r="I439" s="28" t="str">
        <x:v>Орехи и семена</x:v>
      </x:c>
      <x:c r="J439" s="28" t="str">
        <x:v>тёмно-фруктовый, карамельный, винный, слегка дымный и миндальный</x:v>
      </x:c>
      <x:c r="K439" s="28" t="str">
        <x:v>ореховый, жареный, маслянистый и иногда миндальный</x:v>
      </x:c>
      <x:c r="L439" s="28" t="str">
        <x:v>фурфурол, 5-метилфурфурол, мальтол, лактоны, бензальдегид, продукты термического распада сахаров</x:v>
      </x:c>
      <x:c r="M439" s="28" t="str">
        <x:v>пиразины, бензальдегид, филбертон, жирные альдегиды</x:v>
      </x:c>
      <x:c r="N439" s="28" t="str">
        <x:v>миндальный</x:v>
      </x:c>
      <x:c r="O439" s="28" t="str">
        <x:v>бензальдегид</x:v>
      </x:c>
      <x:c r="P439" s="28" t="str">
        <x:v>прямое или классовое перекрытие характерных одорантов + вкусовой баланс</x:v>
      </x:c>
      <x:c r="Q439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439" s="28" t="str">
        <x:v>слабый; возможна лёгкая терпкость; партнёр: обычно отсутствует</x:v>
      </x:c>
      <x:c r="S439" s="28" t="str">
        <x:v>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</x:v>
      </x:c>
      <x:c r="T439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43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Фисташка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439" s="28" t="str">
        <x:v>легко сделать вкус тяжёлым и приторным; нужна кислота, соль, горечь или умами. Сильная обжарка и прогорклый жир перекрывают цветочный профиль.</x:v>
      </x:c>
      <x:c r="W439" s="28" t="str">
        <x:v>ваниль, шоколад или корица</x:v>
      </x:c>
      <x:c r="X439" s="28" t="str">
        <x:v>тарт, крем, мороженое, выпечка, сырная подача или начинка</x:v>
      </x:c>
      <x:c r="Y439" s="28" t="str">
        <x:v>десерты; еда</x:v>
      </x:c>
      <x:c r="Z439" s="28" t="str">
        <x:v>Гипотеза / практическая</x:v>
      </x:c>
      <x:c r="AA439" s="28" t="str">
        <x:v>Таблица сочетания(1).pdf</x:v>
      </x:c>
      <x:c r="AB439" s="28" t="str">
        <x:v>Таблица сочетания(1).pdf: 18</x:v>
      </x:c>
      <x:c r="AC439" s="28" t="str">
        <x:v>Пара указана в строке «Чернослив» → колонка «Другое».</x:v>
      </x:c>
      <x:c r="AD439" s="28" t="n">
        <x:v>1</x:v>
      </x:c>
      <x:c r="AE439" s="28" t="n">
        <x:v>1</x:v>
      </x:c>
      <x:c r="AF439" s="28" t="n">
        <x:f>IF(Z439="Высокая",3,IF(Z439="Средняя",2,1))+AD439*2+MIN(AE439,3)</x:f>
        <x:v>4</x:v>
      </x:c>
    </x:row>
    <x:row r="440" ht="62" customHeight="1">
      <x:c r="A440" s="28" t="str">
        <x:v>STN-0439</x:v>
      </x:c>
      <x:c r="B440" s="28" t="str">
        <x:v>чернослив</x:v>
      </x:c>
      <x:c r="C440" s="28" t="str">
        <x:v>Десерты и выпечка</x:v>
      </x:c>
      <x:c r="D440" s="28" t="str">
        <x:v>чернослив</x:v>
      </x:c>
      <x:c r="E440" s="28" t="str">
        <x:v>prune / dried plum</x:v>
      </x:c>
      <x:c r="F440" s="28" t="str">
        <x:v>Сушёные косточковые фрукты</x:v>
      </x:c>
      <x:c r="G440" s="28" t="str">
        <x:v>фундук</x:v>
      </x:c>
      <x:c r="H440" s="28" t="str">
        <x:v>фундук</x:v>
      </x:c>
      <x:c r="I440" s="28" t="str">
        <x:v>Орехи и семена</x:v>
      </x:c>
      <x:c r="J440" s="28" t="str">
        <x:v>тёмно-фруктовый, карамельный, винный, слегка дымный и миндальный</x:v>
      </x:c>
      <x:c r="K440" s="28" t="str">
        <x:v>жареный ореховый и маслянистый</x:v>
      </x:c>
      <x:c r="L440" s="28" t="str">
        <x:v>фурфурол, 5-метилфурфурол, мальтол, лактоны, бензальдегид, продукты термического распада сахаров</x:v>
      </x:c>
      <x:c r="M440" s="28" t="str">
        <x:v>филбертон, пиразины</x:v>
      </x:c>
      <x:c r="N440" s="28" t="str">
        <x:v>прямое семейное перекрытие не является главным механизмом</x:v>
      </x:c>
      <x:c r="O440" s="28" t="str">
        <x:v>надёжный единичный общий маркер не подтверждён; механизм не сводится к одной молекуле</x:v>
      </x:c>
      <x:c r="P440" s="28" t="str">
        <x:v>комплементарность ароматических семейств, вкусовой контраст и матричный эффект</x:v>
      </x:c>
      <x:c r="Q440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440" s="28" t="str">
        <x:v>слабый; возможна лёгкая терпкость; партнёр: обычно отсутствует</x:v>
      </x:c>
      <x:c r="S440" s="28" t="str">
        <x:v>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</x:v>
      </x:c>
      <x:c r="T440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44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Фундук относится к группе «Орехи и семена» и даёт профиль «жареный ореховый и маслянистый»; типичные соединения или классы: филбертон, пиразины. По доступным материалам нельзя уверенно свести совместимость к одной общей молекуле. Жирность и жареная горечь ореха округляют кислотность фрукта; миндально-косточковый оттенок создаёт особенно связный профиль. Матрица пары: 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440" s="28" t="str">
        <x:v>легко сделать вкус тяжёлым и приторным; нужна кислота, соль, горечь или умами. Сильная обжарка и прогорклый жир перекрывают цветочный профиль.</x:v>
      </x:c>
      <x:c r="W440" s="28" t="str">
        <x:v>ваниль, шоколад или корица</x:v>
      </x:c>
      <x:c r="X440" s="28" t="str">
        <x:v>тарт, крем, мороженое, выпечка, сырная подача или начинка</x:v>
      </x:c>
      <x:c r="Y440" s="28" t="str">
        <x:v>десерты; еда</x:v>
      </x:c>
      <x:c r="Z440" s="28" t="str">
        <x:v>Гипотеза / практическая</x:v>
      </x:c>
      <x:c r="AA440" s="28" t="str">
        <x:v>Таблица сочетания(1).pdf</x:v>
      </x:c>
      <x:c r="AB440" s="28" t="str">
        <x:v>Таблица сочетания(1).pdf: 18</x:v>
      </x:c>
      <x:c r="AC440" s="28" t="str">
        <x:v>Пара указана в строке «Чернослив» → колонка «Другое».</x:v>
      </x:c>
      <x:c r="AD440" s="28" t="n">
        <x:v>1</x:v>
      </x:c>
      <x:c r="AE440" s="28" t="n">
        <x:v>1</x:v>
      </x:c>
      <x:c r="AF440" s="28" t="n">
        <x:f>IF(Z440="Высокая",3,IF(Z440="Средняя",2,1))+AD440*2+MIN(AE440,3)</x:f>
        <x:v>4</x:v>
      </x:c>
    </x:row>
    <x:row r="441" ht="62" customHeight="1">
      <x:c r="A441" s="28" t="str">
        <x:v>STN-0440</x:v>
      </x:c>
      <x:c r="B441" s="28" t="str">
        <x:v>чернослив</x:v>
      </x:c>
      <x:c r="C441" s="28" t="str">
        <x:v>Десерты и выпечка</x:v>
      </x:c>
      <x:c r="D441" s="28" t="str">
        <x:v>чернослив</x:v>
      </x:c>
      <x:c r="E441" s="28" t="str">
        <x:v>prune / dried plum</x:v>
      </x:c>
      <x:c r="F441" s="28" t="str">
        <x:v>Сушёные косточковые фрукты</x:v>
      </x:c>
      <x:c r="G441" s="28" t="str">
        <x:v>черная смородина</x:v>
      </x:c>
      <x:c r="H441" s="28" t="str">
        <x:v>Чёрная смородина</x:v>
      </x:c>
      <x:c r="I441" s="28" t="str">
        <x:v>Ягоды</x:v>
      </x:c>
      <x:c r="J441" s="28" t="str">
        <x:v>тёмно-фруктовый, карамельный, винный, слегка дымный и миндальный</x:v>
      </x:c>
      <x:c r="K441" s="28" t="str">
        <x:v>красно-фруктовый, цветочный, зелёный и иногда сернистый</x:v>
      </x:c>
      <x:c r="L441" s="28" t="str">
        <x:v>фурфурол, 5-метилфурфурол, мальтол, лактоны, бензальдегид, продукты термического распада сахаров</x:v>
      </x:c>
      <x:c r="M441" s="28" t="str">
        <x:v>фуранеол, эфиры, иононы, зелёные альдегиды</x:v>
      </x:c>
      <x:c r="N441" s="28" t="str">
        <x:v>фруктовый</x:v>
      </x:c>
      <x:c r="O441" s="28" t="str">
        <x:v>надёжный единичный общий маркер не подтверждён; механизм не сводится к одной молекуле</x:v>
      </x:c>
      <x:c r="P441" s="28" t="str">
        <x:v>комплементарность ароматических семейств, вкусовой контраст и матричный эффект</x:v>
      </x:c>
      <x:c r="Q441" s="28" t="str">
        <x:v>Близкие фруктовые эфиры создают непрерывность, а различия в кислотности, терпкости и сладости формируют контраст.</x:v>
      </x:c>
      <x:c r="R441" s="28" t="str">
        <x:v>слабый; возможна лёгкая терпкость; партнёр: обычно слабый; кислота усиливает свежесть</x:v>
      </x:c>
      <x:c r="S441" s="28" t="str">
        <x:v>маловодная, богатая сахарами, пектином и сорбитолом; хорошо удерживает специи и алкоголь. Партнёр: водная пектиновая; антоцианы влияют на цвет, но не являются главными одорантами.</x:v>
      </x:c>
      <x:c r="T441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44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Черная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фруктовый.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водная пектиновая; антоцианы влияют на цвет, но не являются главными одорантами.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441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41" s="28" t="str">
        <x:v>ваниль, мята или миндаль</x:v>
      </x:c>
      <x:c r="X441" s="28" t="str">
        <x:v>сорбет, салат, джем, кордиал, лимонад, коктейль или фруктовый соус</x:v>
      </x:c>
      <x:c r="Y441" s="28" t="str">
        <x:v>напитки; десерты; соусы/маринады</x:v>
      </x:c>
      <x:c r="Z441" s="28" t="str">
        <x:v>Гипотеза / практическая</x:v>
      </x:c>
      <x:c r="AA441" s="28" t="str">
        <x:v>Таблица сочетания(1).pdf</x:v>
      </x:c>
      <x:c r="AB441" s="28" t="str">
        <x:v>Таблица сочетания(1).pdf: Таблица сочетаний: 2 | Таблица сочетания(1).pdf: 2</x:v>
      </x:c>
      <x:c r="AC441" s="28" t="str">
        <x:v>Чёрная смородина: чернослив Пара указана в строке «Чёрная смородина»: «чернослив» находится в колонке «Фрукты».</x:v>
      </x:c>
      <x:c r="AD441" s="28" t="n">
        <x:v>1</x:v>
      </x:c>
      <x:c r="AE441" s="28" t="n">
        <x:v>2</x:v>
      </x:c>
      <x:c r="AF441" s="28" t="n">
        <x:f>IF(Z441="Высокая",3,IF(Z441="Средняя",2,1))+AD441*2+MIN(AE441,3)</x:f>
        <x:v>5</x:v>
      </x:c>
    </x:row>
    <x:row r="442" ht="62" customHeight="1">
      <x:c r="A442" s="28" t="str">
        <x:v>STN-0441</x:v>
      </x:c>
      <x:c r="B442" s="28" t="str">
        <x:v>чернослив</x:v>
      </x:c>
      <x:c r="C442" s="28" t="str">
        <x:v>Еда и соусы</x:v>
      </x:c>
      <x:c r="D442" s="28" t="str">
        <x:v>чернослив</x:v>
      </x:c>
      <x:c r="E442" s="28" t="str">
        <x:v>prune / dried plum</x:v>
      </x:c>
      <x:c r="F442" s="28" t="str">
        <x:v>Сушёные косточковые фрукты</x:v>
      </x:c>
      <x:c r="G442" s="28" t="str">
        <x:v>черный трюфель</x:v>
      </x:c>
      <x:c r="H442" s="28" t="str">
        <x:v>Black truffle</x:v>
      </x:c>
      <x:c r="I442" s="28" t="str">
        <x:v>Грибы и трюфели</x:v>
      </x:c>
      <x:c r="J442" s="28" t="str">
        <x:v>тёмно-фруктовый, карамельный, винный, слегка дымный и миндальный</x:v>
      </x:c>
      <x:c r="K442" s="28" t="str">
        <x:v>землистый, грибной, ореховый и умами</x:v>
      </x:c>
      <x:c r="L442" s="28" t="str">
        <x:v>фурфурол, 5-метилфурфурол, мальтол, лактоны, бензальдегид, продукты термического распада сахаров</x:v>
      </x:c>
      <x:c r="M442" s="28" t="str">
        <x:v>1-октен-3-ол, 1-октен-3-он, сернистые соединения</x:v>
      </x:c>
      <x:c r="N442" s="28" t="str">
        <x:v>прямое семейное перекрытие не является главным механизмом</x:v>
      </x:c>
      <x:c r="O442" s="28" t="str">
        <x:v>надёжный единичный общий маркер не подтверждён; механизм не сводится к одной молекуле</x:v>
      </x:c>
      <x:c r="P442" s="28" t="str">
        <x:v>комплементарность ароматических семейств, вкусовой контраст и матричный эффект</x:v>
      </x:c>
      <x:c r="Q442" s="28" t="str">
        <x:v>Базовый фрукт даёт: высокая сладость, мягкая кислотность и плотная сухофруктовая насыщенность. Партнёр добавляет: умами и лёгкая горечь. Баланс корректируется сахаром, кислотой, солью и горечью.</x:v>
      </x:c>
      <x:c r="R442" s="28" t="str">
        <x:v>слабый; возможна лёгкая терпкость; партнёр: нет выраженного</x:v>
      </x:c>
      <x:c r="S442" s="28" t="str">
        <x:v>маловодная, богатая сахарами, пектином и сорбитолом; хорошо удерживает специи и алкоголь. Партнёр: вода и клетчатка; обжарка создаёт новые жареные молекулы.</x:v>
      </x:c>
      <x:c r="T442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U44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Черный трюфель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умами и лёгкая горечь.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вода и клетчатка; обжарка создаёт новые жареные молекулы.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V442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42" s="28" t="str">
        <x:v>сливочное масло, тимьян или твёрдый сыр</x:v>
      </x:c>
      <x:c r="X442" s="28" t="str">
        <x:v>соус, глазировка, чатни, маринад, гарнир или основное блюдо</x:v>
      </x:c>
      <x:c r="Y442" s="28" t="str">
        <x:v>еда; соусы/маринады</x:v>
      </x:c>
      <x:c r="Z442" s="28" t="str">
        <x:v>Средняя</x:v>
      </x:c>
      <x:c r="AA442" s="28" t="str">
        <x:v>The Art &amp; Science of Foodpairing.pdf</x:v>
      </x:c>
      <x:c r="AB442" s="28" t="str">
        <x:v>The Art &amp; Science of Foodpairing.pdf: 193</x:v>
      </x:c>
      <x:c r="AC442" s="28" t="str">
        <x:v>Ингредиент «Agen prunes» указан на странице профиля/сетки сочетаний «Black truffle».</x:v>
      </x:c>
      <x:c r="AD442" s="28" t="n">
        <x:v>1</x:v>
      </x:c>
      <x:c r="AE442" s="28" t="n">
        <x:v>1</x:v>
      </x:c>
      <x:c r="AF442" s="28" t="n">
        <x:f>IF(Z442="Высокая",3,IF(Z442="Средняя",2,1))+AD442*2+MIN(AE442,3)</x:f>
        <x:v>5</x:v>
      </x:c>
    </x:row>
    <x:row r="443" ht="62" customHeight="1">
      <x:c r="A443" s="28" t="str">
        <x:v>STN-0442</x:v>
      </x:c>
      <x:c r="B443" s="28" t="str">
        <x:v>чернослив</x:v>
      </x:c>
      <x:c r="C443" s="28" t="str">
        <x:v>Универсальные</x:v>
      </x:c>
      <x:c r="D443" s="28" t="str">
        <x:v>чернослив</x:v>
      </x:c>
      <x:c r="E443" s="28" t="str">
        <x:v>prune / dried plum</x:v>
      </x:c>
      <x:c r="F443" s="28" t="str">
        <x:v>Сушёные косточковые фрукты</x:v>
      </x:c>
      <x:c r="G443" s="28" t="str">
        <x:v>шоколад</x:v>
      </x:c>
      <x:c r="H443" s="28" t="str">
        <x:v>Chocolate</x:v>
      </x:c>
      <x:c r="I443" s="28" t="str">
        <x:v>Чай, кофе и какао</x:v>
      </x:c>
      <x:c r="J443" s="28" t="str">
        <x:v>тёмно-фруктовый, карамельный, винный, слегка дымный и миндальный</x:v>
      </x:c>
      <x:c r="K443" s="28" t="str">
        <x:v>какао, жареный, ореховый и фруктовый</x:v>
      </x:c>
      <x:c r="L443" s="28" t="str">
        <x:v>фурфурол, 5-метилфурфурол, мальтол, лактоны, бензальдегид, продукты термического распада сахаров</x:v>
      </x:c>
      <x:c r="M443" s="28" t="str">
        <x:v>пиразины, альдегиды Стреккера, фураны</x:v>
      </x:c>
      <x:c r="N443" s="28" t="str">
        <x:v>фруктовый</x:v>
      </x:c>
      <x:c r="O443" s="28" t="str">
        <x:v>надёжный единичный общий маркер не подтверждён; механизм не сводится к одной молекуле</x:v>
      </x:c>
      <x:c r="P443" s="28" t="str">
        <x:v>комплементарность ароматических семейств, вкусовой контраст и матричный эффект</x:v>
      </x:c>
      <x:c r="Q443" s="28" t="str">
        <x:v>Базовый фрукт даёт: высокая сладость, мягкая кислотность и плотная сухофруктовая насыщенность. Партнёр добавляет: горечь, терпкость и жареная сладость. Баланс корректируется сахаром, кислотой, солью и горечью.</x:v>
      </x:c>
      <x:c r="R443" s="28" t="str">
        <x:v>слабый; возможна лёгкая терпкость; партнёр: кофеин и терпкость создают сухость, но прямой тройничный эффект умерен</x:v>
      </x:c>
      <x:c r="S443" s="28" t="str">
        <x:v>маловодная, богатая сахарами, пектином и сорбитолом; хорошо удерживает специи и алкоголь. Партнёр: водные настои извлекают полифенолы; жир и сахар смягчают горечь.</x:v>
      </x:c>
      <x:c r="T443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U44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горечь, терпкость и жареная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водные настои извлекают полифенолы; жир и сахар смягчают горечь.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V443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43" s="28" t="str">
        <x:v>мёд, цитрус или нейтральная жировая основа</x:v>
      </x:c>
      <x:c r="X443" s="28" t="str">
        <x:v>напиток, соус, десерт или горячее блюдо после пробной дегустации</x:v>
      </x:c>
      <x:c r="Y443" s="28" t="str">
        <x:v>напитки; еда; десерты; соусы/маринады</x:v>
      </x:c>
      <x:c r="Z443" s="28" t="str">
        <x:v>Средняя</x:v>
      </x:c>
      <x:c r="AA443" s="28" t="str">
        <x:v>The Art &amp; Science of Foodpairing.pdf</x:v>
      </x:c>
      <x:c r="AB443" s="28" t="str">
        <x:v>The Art &amp; Science of Foodpairing.pdf: 62</x:v>
      </x:c>
      <x:c r="AC443" s="28" t="str">
        <x:v>Ингредиент «Agen prunes» указан на странице профиля/сетки сочетаний «Chocolate».</x:v>
      </x:c>
      <x:c r="AD443" s="28" t="n">
        <x:v>1</x:v>
      </x:c>
      <x:c r="AE443" s="28" t="n">
        <x:v>1</x:v>
      </x:c>
      <x:c r="AF443" s="28" t="n">
        <x:f>IF(Z443="Высокая",3,IF(Z443="Средняя",2,1))+AD443*2+MIN(AE443,3)</x:f>
        <x:v>5</x:v>
      </x:c>
    </x:row>
    <x:row r="444" ht="62" customHeight="1">
      <x:c r="A444" s="28" t="str">
        <x:v>STN-0443</x:v>
      </x:c>
      <x:c r="B444" s="28" t="str">
        <x:v>чернослив</x:v>
      </x:c>
      <x:c r="C444" s="28" t="str">
        <x:v>Универсальные</x:v>
      </x:c>
      <x:c r="D444" s="28" t="str">
        <x:v>чернослив</x:v>
      </x:c>
      <x:c r="E444" s="28" t="str">
        <x:v>prune / dried plum</x:v>
      </x:c>
      <x:c r="F444" s="28" t="str">
        <x:v>Сушёные косточковые фрукты</x:v>
      </x:c>
      <x:c r="G444" s="28" t="str">
        <x:v>яблоко</x:v>
      </x:c>
      <x:c r="H444" s="28" t="str">
        <x:v>яблоко</x:v>
      </x:c>
      <x:c r="I444" s="28" t="str">
        <x:v>Семечковые фрукты</x:v>
      </x:c>
      <x:c r="J444" s="28" t="str">
        <x:v>тёмно-фруктовый, карамельный, винный, слегка дымный и миндальный</x:v>
      </x:c>
      <x:c r="K444" s="28" t="str">
        <x:v>свежий фруктовый, зелёный, цветочный, пряный; профиль сильно зависит от сорта и зрелости</x:v>
      </x:c>
      <x:c r="L444" s="28" t="str">
        <x:v>фурфурол, 5-метилфурфурол, мальтол, лактоны, бензальдегид, продукты термического распада сахаров</x:v>
      </x:c>
      <x:c r="M444" s="28" t="str">
        <x:v>гексилацетат, бутил ацетат, этил-2-метилбутират, гексаналь, транс-2-гексеналь, β-дамасценон</x:v>
      </x:c>
      <x:c r="N444" s="28" t="str">
        <x:v>фруктовый</x:v>
      </x:c>
      <x:c r="O444" s="28" t="str">
        <x:v>надёжный единичный общий маркер не подтверждён; механизм не сводится к одной молекуле</x:v>
      </x:c>
      <x:c r="P444" s="28" t="str">
        <x:v>комплементарность ароматических семейств, вкусовой контраст и матричный эффект</x:v>
      </x:c>
      <x:c r="Q444" s="28" t="str">
        <x:v>Базовый фрукт даёт: высокая сладость, мягкая кислотность и плотная сухофруктовая насыщенность. Партнёр добавляет: сладость и яблочная кислота; иногда лёгкая терпкость кожицы. Баланс корректируется сахаром, кислотой, солью и горечью.</x:v>
      </x:c>
      <x:c r="R444" s="28" t="str">
        <x:v>слабый; возможна лёгкая терпкость; партнёр: кислотное покалывание зависит от плода; специальные эффекты указаны в паспорте</x:v>
      </x:c>
      <x:c r="S444" s="28" t="str">
        <x:v>маловодная, богатая сахарами, пектином и сорбитолом; хорошо удерживает специи и алкоголь. Партнёр: водная, с пектином; низкое содержание жира; ароматические эфиры быстро теряются после разрезания.</x:v>
      </x:c>
      <x:c r="T44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U44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Яблоко относится к группе «Семечковые фрукты» и даёт профиль «свежий фруктовый, зелёный, цветочный, пряный; профиль сильно зависит от сорта и зрелости»; типичные соединения или классы: гексилацетат, бутил ацетат, этил-2-метилбутират, гексаналь, транс-2-гексеналь, β-дамасценон.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сладость и яблочная кислота; иногда лёгкая терпкость кожицы.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водная, с пектином; низкое содержание жира; ароматические эфиры быстро теряются после разрезания.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V444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W444" s="28" t="str">
        <x:v>мёд, цитрус или нейтральная жировая основа</x:v>
      </x:c>
      <x:c r="X444" s="28" t="str">
        <x:v>напиток, соус, десерт или горячее блюдо после пробной дегустации</x:v>
      </x:c>
      <x:c r="Y444" s="28" t="str">
        <x:v>напитки; еда; десерты; соусы/маринады</x:v>
      </x:c>
      <x:c r="Z444" s="28" t="str">
        <x:v>Гипотеза / практическая</x:v>
      </x:c>
      <x:c r="AA444" s="28" t="str">
        <x:v>Таблица сочетания(1).pdf</x:v>
      </x:c>
      <x:c r="AB444" s="28" t="str">
        <x:v>Таблица сочетания(1).pdf: Таблица сочетаний: 18 | Таблица сочетания(1).pdf: 18</x:v>
      </x:c>
      <x:c r="AC444" s="28" t="str">
        <x:v>Таблица сочетаний: В строке «Чернослив» ингредиент «яблоко» указан как рекомендуемое сочетание в колонке «Фрукты». Пара указана в строке «Чернослив» → колонка «Фрукты».</x:v>
      </x:c>
      <x:c r="AD444" s="28" t="n">
        <x:v>1</x:v>
      </x:c>
      <x:c r="AE444" s="28" t="n">
        <x:v>2</x:v>
      </x:c>
      <x:c r="AF444" s="28" t="n">
        <x:f>IF(Z444="Высокая",3,IF(Z444="Средняя",2,1))+AD444*2+MIN(AE444,3)</x:f>
        <x:v>5</x:v>
      </x:c>
    </x:row>
    <x:row r="445" ht="62" customHeight="1">
      <x:c r="A445" s="28" t="str">
        <x:v>STN-0444</x:v>
      </x:c>
      <x:c r="B445" s="28" t="str">
        <x:v>уме</x:v>
      </x:c>
      <x:c r="C445" s="28" t="str">
        <x:v>Универсальные</x:v>
      </x:c>
      <x:c r="D445" s="28" t="str">
        <x:v>уме</x:v>
      </x:c>
      <x:c r="E445" s="28" t="str">
        <x:v>Japanese plum (ume)</x:v>
      </x:c>
      <x:c r="F445" s="28" t="str">
        <x:v>Косточковые фрукты и ферментированные производные</x:v>
      </x:c>
      <x:c r="G445" s="28" t="str">
        <x:v>авокадо</x:v>
      </x:c>
      <x:c r="H445" s="28" t="str">
        <x:v>Avocado</x:v>
      </x:c>
      <x:c r="I445" s="28" t="str">
        <x:v>Тропические фрукты и жирные матрицы</x:v>
      </x:c>
      <x:c r="J445" s="28" t="str">
        <x:v>зелёный, кислый, цветочный, миндальный и солоновато-ферментированный в обработанных продуктах</x:v>
      </x:c>
      <x:c r="K445" s="28" t="str">
        <x:v>зелёный, травянистый, ореховый, маслянистый и слегка грибной</x:v>
      </x:c>
      <x:c r="L445" s="28" t="str">
        <x:v>бензальдегид, фруктовые эфиры, линалоол, C6-альдегиды, органические кислоты</x:v>
      </x:c>
      <x:c r="M445" s="28" t="str">
        <x:v>гексаналь, (E)-2-гексеналь, 1-гексен-3-он, спирты и продукты окисления липидов</x:v>
      </x:c>
      <x:c r="N445" s="28" t="str">
        <x:v>зелёный</x:v>
      </x:c>
      <x:c r="O445" s="28" t="str">
        <x:v>надёжный единичный общий маркер не подтверждён; механизм не сводится к одной молекуле</x:v>
      </x:c>
      <x:c r="P445" s="28" t="str">
        <x:v>комплементарность ароматических семейств, вкусовой контраст и матричный эффект</x:v>
      </x:c>
      <x:c r="Q445" s="28" t="str">
        <x:v>Базовый фрукт даёт: высокая кислотность; у умэбоси — соль и выраженная ферментированная умами-нота. Партнёр добавляет: мягкий, жирный, почти несладкий; лёгкая растительная горечь. Баланс корректируется сахаром, кислотой, солью и горечью.</x:v>
      </x:c>
      <x:c r="R445" s="28" t="str">
        <x:v>кислотность и соль активно стимулируют слюноотделение; партнёр: кислотное покалывание зависит от плода; специальные эффекты указаны в паспорте</x:v>
      </x:c>
      <x:c r="S445" s="28" t="str">
        <x:v>водная и кислотная; в умэбоси — концентрированная соль и полифенолы. Партнёр: высокожировая эмульсия; хорошо растворяет гидрофобные ароматические молекулы.</x:v>
      </x:c>
      <x:c r="T445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U445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Общие ароматические направления: зелёный. Базовый фрукт даёт: высокая кислотность; у умэбоси — соль и выраженная ферментированная умами-нота. Партнёр добавляет: мягкий, жирный, почти несладкий; лёгкая растительная горечь. Баланс корректируется сахаром, кислотой, солью и горечью. Матрица пары: водная и кислотная; в умэбоси — концентрированная соль и полифенолы. Партнёр: высокожировая эмульсия; хорошо растворяет гидрофобные ароматические молекулы.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V445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W445" s="28" t="str">
        <x:v>мёд, цитрус или нейтральная жировая основа</x:v>
      </x:c>
      <x:c r="X445" s="28" t="str">
        <x:v>напиток, соус, десерт или горячее блюдо после пробной дегустации</x:v>
      </x:c>
      <x:c r="Y445" s="28" t="str">
        <x:v>напитки; еда; десерты; соусы/маринады</x:v>
      </x:c>
      <x:c r="Z445" s="28" t="str">
        <x:v>Средняя</x:v>
      </x:c>
      <x:c r="AA445" s="28" t="str">
        <x:v>The Art &amp; Science of Foodpairing.pdf</x:v>
      </x:c>
      <x:c r="AB445" s="28" t="str">
        <x:v>The Art &amp; Science of Foodpairing.pdf: 354</x:v>
      </x:c>
      <x:c r="AC445" s="28" t="str">
        <x:v>Ингредиент «Japanese plum (ume)» указан на странице профиля/сетки сочетаний «Avocado».</x:v>
      </x:c>
      <x:c r="AD445" s="28" t="n">
        <x:v>1</x:v>
      </x:c>
      <x:c r="AE445" s="28" t="n">
        <x:v>1</x:v>
      </x:c>
      <x:c r="AF445" s="28" t="n">
        <x:f>IF(Z445="Высокая",3,IF(Z445="Средняя",2,1))+AD445*2+MIN(AE445,3)</x:f>
        <x:v>5</x:v>
      </x:c>
    </x:row>
    <x:row r="446" ht="62" customHeight="1">
      <x:c r="A446" s="28" t="str">
        <x:v>STN-0445</x:v>
      </x:c>
      <x:c r="B446" s="28" t="str">
        <x:v>уме</x:v>
      </x:c>
      <x:c r="C446" s="28" t="str">
        <x:v>Десерты и выпечка</x:v>
      </x:c>
      <x:c r="D446" s="28" t="str">
        <x:v>уме</x:v>
      </x:c>
      <x:c r="E446" s="28" t="str">
        <x:v>Japanese plum (ume)</x:v>
      </x:c>
      <x:c r="F446" s="28" t="str">
        <x:v>Косточковые фрукты и ферментированные производные</x:v>
      </x:c>
      <x:c r="G446" s="28" t="str">
        <x:v>голубика</x:v>
      </x:c>
      <x:c r="H446" s="28" t="str">
        <x:v>Blueberry</x:v>
      </x:c>
      <x:c r="I446" s="28" t="str">
        <x:v>Ягоды</x:v>
      </x:c>
      <x:c r="J446" s="28" t="str">
        <x:v>зелёный, кислый, цветочный, миндальный и солоновато-ферментированный в обработанных продуктах</x:v>
      </x:c>
      <x:c r="K446" s="28" t="str">
        <x:v>красно-фруктовый, цветочный, зелёный и иногда сернистый</x:v>
      </x:c>
      <x:c r="L446" s="28" t="str">
        <x:v>бензальдегид, фруктовые эфиры, линалоол, C6-альдегиды, органические кислоты</x:v>
      </x:c>
      <x:c r="M446" s="28" t="str">
        <x:v>фуранеол, эфиры, иононы, зелёные альдегиды</x:v>
      </x:c>
      <x:c r="N446" s="28" t="str">
        <x:v>цветочный, зелёный</x:v>
      </x:c>
      <x:c r="O446" s="28" t="str">
        <x:v>эфиры</x:v>
      </x:c>
      <x:c r="P446" s="28" t="str">
        <x:v>прямое или классовое перекрытие характерных одорантов + вкусовой баланс</x:v>
      </x:c>
      <x:c r="Q446" s="28" t="str">
        <x:v>Близкие фруктовые эфиры создают непрерывность, а различия в кислотности, терпкости и сладости формируют контраст.</x:v>
      </x:c>
      <x:c r="R446" s="28" t="str">
        <x:v>кислотность и соль активно стимулируют слюноотделение; партнёр: обычно слабый; кислота усиливает свежесть</x:v>
      </x:c>
      <x:c r="S446" s="28" t="str">
        <x:v>водная и кислотная; в умэбоси — концентрированная соль и полифенолы. Партнёр: водная пектиновая; антоцианы влияют на цвет, но не являются главными одорантами.</x:v>
      </x:c>
      <x:c r="T446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446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водная пектиновая; антоцианы влияют на цвет, но не являются главными одорантами.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446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W446" s="28" t="str">
        <x:v>ваниль, мята или миндаль</x:v>
      </x:c>
      <x:c r="X446" s="28" t="str">
        <x:v>сорбет, салат, джем, кордиал, лимонад, коктейль или фруктовый соус</x:v>
      </x:c>
      <x:c r="Y446" s="28" t="str">
        <x:v>напитки; десерты; соусы/маринады</x:v>
      </x:c>
      <x:c r="Z446" s="28" t="str">
        <x:v>Средняя</x:v>
      </x:c>
      <x:c r="AA446" s="28" t="str">
        <x:v>The Art &amp; Science of Foodpairing.pdf</x:v>
      </x:c>
      <x:c r="AB446" s="28" t="str">
        <x:v>The Art &amp; Science of Foodpairing.pdf: The Art &amp; Science of Foodpairing: 205 | The Art &amp; Science of Foodpairing.pdf: 205</x:v>
      </x:c>
      <x:c r="AC446" s="28" t="str">
        <x:v>Ingredient pairings with Blueberry: Japanese plum (ume) Ингредиент «Japanese plum (ume)» указан на странице профиля/сетки сочетаний «Blueberry».</x:v>
      </x:c>
      <x:c r="AD446" s="28" t="n">
        <x:v>1</x:v>
      </x:c>
      <x:c r="AE446" s="28" t="n">
        <x:v>2</x:v>
      </x:c>
      <x:c r="AF446" s="28" t="n">
        <x:f>IF(Z446="Высокая",3,IF(Z446="Средняя",2,1))+AD446*2+MIN(AE446,3)</x:f>
        <x:v>6</x:v>
      </x:c>
    </x:row>
    <x:row r="447" ht="62" customHeight="1">
      <x:c r="A447" s="28" t="str">
        <x:v>STN-0446</x:v>
      </x:c>
      <x:c r="B447" s="28" t="str">
        <x:v>уме</x:v>
      </x:c>
      <x:c r="C447" s="28" t="str">
        <x:v>Десерты и выпечка</x:v>
      </x:c>
      <x:c r="D447" s="28" t="str">
        <x:v>уме</x:v>
      </x:c>
      <x:c r="E447" s="28" t="str">
        <x:v>Japanese plum (ume)</x:v>
      </x:c>
      <x:c r="F447" s="28" t="str">
        <x:v>Косточковые фрукты и ферментированные производные</x:v>
      </x:c>
      <x:c r="G447" s="28" t="str">
        <x:v>грейпфрут</x:v>
      </x:c>
      <x:c r="H447" s="28" t="str">
        <x:v>Grapefruit</x:v>
      </x:c>
      <x:c r="I447" s="28" t="str">
        <x:v>Цитрусовые</x:v>
      </x:c>
      <x:c r="J447" s="28" t="str">
        <x:v>зелёный, кислый, цветочный, миндальный и солоновато-ферментированный в обработанных продуктах</x:v>
      </x:c>
      <x:c r="K447" s="28" t="str">
        <x:v>цитрусовый, свежий, зелёный и цветочный</x:v>
      </x:c>
      <x:c r="L447" s="28" t="str">
        <x:v>бензальдегид, фруктовые эфиры, линалоол, C6-альдегиды, органические кислоты</x:v>
      </x:c>
      <x:c r="M447" s="28" t="str">
        <x:v>лимонен, цитраль, линалоол, γ-терпинен</x:v>
      </x:c>
      <x:c r="N447" s="28" t="str">
        <x:v>цветочный, зелёный</x:v>
      </x:c>
      <x:c r="O447" s="28" t="str">
        <x:v>линалоол</x:v>
      </x:c>
      <x:c r="P447" s="28" t="str">
        <x:v>прямое или классовое перекрытие характерных одорантов + вкусовой баланс</x:v>
      </x:c>
      <x:c r="Q447" s="28" t="str">
        <x:v>Близкие фруктовые эфиры создают непрерывность, а различия в кислотности, терпкости и сладости формируют контраст.</x:v>
      </x:c>
      <x:c r="R447" s="28" t="str">
        <x:v>кислотность и соль активно стимулируют слюноотделение; партнёр: кислота даёт покалывание и ощущение свежести</x:v>
      </x:c>
      <x:c r="S447" s="28" t="str">
        <x:v>водная и кислотная; в умэбоси — концентрированная соль и полифенолы. Партнёр: сок водный и кислый, цедра содержит гидрофобные эфирные масла.</x:v>
      </x:c>
      <x:c r="T447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447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Грейпфрут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сок водный и кислый, цедра содержит гидрофобные эфирные масла.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447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W447" s="28" t="str">
        <x:v>ваниль, мёд или розмарин</x:v>
      </x:c>
      <x:c r="X447" s="28" t="str">
        <x:v>сорбет, салат, джем, кордиал, лимонад, коктейль или фруктовый соус</x:v>
      </x:c>
      <x:c r="Y447" s="28" t="str">
        <x:v>напитки; десерты; соусы/маринады</x:v>
      </x:c>
      <x:c r="Z447" s="28" t="str">
        <x:v>Средняя</x:v>
      </x:c>
      <x:c r="AA447" s="28" t="str">
        <x:v>The Art &amp; Science of Foodpairing.pdf</x:v>
      </x:c>
      <x:c r="AB447" s="28" t="str">
        <x:v>The Art &amp; Science of Foodpairing.pdf: 359</x:v>
      </x:c>
      <x:c r="AC447" s="28" t="str">
        <x:v>Ингредиент «Japanese plum (ume)» указан на странице профиля/сетки сочетаний «Grapefruit».</x:v>
      </x:c>
      <x:c r="AD447" s="28" t="n">
        <x:v>1</x:v>
      </x:c>
      <x:c r="AE447" s="28" t="n">
        <x:v>1</x:v>
      </x:c>
      <x:c r="AF447" s="28" t="n">
        <x:f>IF(Z447="Высокая",3,IF(Z447="Средняя",2,1))+AD447*2+MIN(AE447,3)</x:f>
        <x:v>5</x:v>
      </x:c>
    </x:row>
    <x:row r="448" ht="62" customHeight="1">
      <x:c r="A448" s="28" t="str">
        <x:v>STN-0447</x:v>
      </x:c>
      <x:c r="B448" s="28" t="str">
        <x:v>уме</x:v>
      </x:c>
      <x:c r="C448" s="28" t="str">
        <x:v>Еда и соусы</x:v>
      </x:c>
      <x:c r="D448" s="28" t="str">
        <x:v>уме</x:v>
      </x:c>
      <x:c r="E448" s="28" t="str">
        <x:v>Japanese plum (ume)</x:v>
      </x:c>
      <x:c r="F448" s="28" t="str">
        <x:v>Косточковые фрукты и ферментированные производные</x:v>
      </x:c>
      <x:c r="G448" s="28" t="str">
        <x:v>запеченный морской язык</x:v>
      </x:c>
      <x:c r="H448" s="28" t="str">
        <x:v>Baked Dover sole</x:v>
      </x:c>
      <x:c r="I448" s="28" t="str">
        <x:v>Рыба и морепродукты</x:v>
      </x:c>
      <x:c r="J448" s="28" t="str">
        <x:v>зелёный, кислый, цветочный, миндальный и солоновато-ферментированный в обработанных продуктах</x:v>
      </x:c>
      <x:c r="K448" s="28" t="str">
        <x:v>морской, солёный, умами, иногда йодистый и жареный</x:v>
      </x:c>
      <x:c r="L448" s="28" t="str">
        <x:v>бензальдегид, фруктовые эфиры, линалоол, C6-альдегиды, органические кислоты</x:v>
      </x:c>
      <x:c r="M448" s="28" t="str">
        <x:v>амины, бромфенолы, альдегиды жирных кислот, сернистые соединения</x:v>
      </x:c>
      <x:c r="N448" s="28" t="str">
        <x:v>прямое семейное перекрытие не является главным механизмом</x:v>
      </x:c>
      <x:c r="O448" s="28" t="str">
        <x:v>надёжный единичный общий маркер не подтверждён; механизм не сводится к одной молекуле</x:v>
      </x:c>
      <x:c r="P448" s="28" t="str">
        <x:v>комплементарность ароматических семейств, вкусовой контраст и матричный эффект</x:v>
      </x:c>
      <x:c r="Q448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448" s="28" t="str">
        <x:v>кислотность и соль активно стимулируют слюноотделение; партнёр: нет выраженного</x:v>
      </x:c>
      <x:c r="S448" s="28" t="str">
        <x:v>водная и кислотная; в умэбоси — концентрированная соль и полифенолы. Партнёр: водно-белковая матрица; жирная рыба лучше удерживает лактоны.</x:v>
      </x:c>
      <x:c r="T448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U448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Запеченный морской язык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водная и кислотная; в умэбоси — концентрированная соль и полифенолы. Партнёр: водно-белковая матрица; жирная рыба лучше удерживает лактоны.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V448" s="28" t="str">
        <x:v>легко пересолить или сделать кислоту агрессивной; дозировать как приправу. Сильная сладость и длительный контакт с кислотой могут замаскировать морской вкус и изменить белковую текстуру.</x:v>
      </x:c>
      <x:c r="W448" s="28" t="str">
        <x:v>цитрус, укроп или оливковое масло</x:v>
      </x:c>
      <x:c r="X448" s="28" t="str">
        <x:v>соус, глазировка, чатни, маринад, гарнир или основное блюдо</x:v>
      </x:c>
      <x:c r="Y448" s="28" t="str">
        <x:v>еда; соусы/маринады</x:v>
      </x:c>
      <x:c r="Z448" s="28" t="str">
        <x:v>Средняя</x:v>
      </x:c>
      <x:c r="AA448" s="28" t="str">
        <x:v>The Art &amp; Science of Foodpairing.pdf</x:v>
      </x:c>
      <x:c r="AB448" s="28" t="str">
        <x:v>The Art &amp; Science of Foodpairing.pdf: 104</x:v>
      </x:c>
      <x:c r="AC448" s="28" t="str">
        <x:v>Ингредиент «Japanese plum (ume)» указан на странице профиля/сетки сочетаний «Baked Dover sole».</x:v>
      </x:c>
      <x:c r="AD448" s="28" t="n">
        <x:v>1</x:v>
      </x:c>
      <x:c r="AE448" s="28" t="n">
        <x:v>1</x:v>
      </x:c>
      <x:c r="AF448" s="28" t="n">
        <x:f>IF(Z448="Высокая",3,IF(Z448="Средняя",2,1))+AD448*2+MIN(AE448,3)</x:f>
        <x:v>5</x:v>
      </x:c>
    </x:row>
    <x:row r="449" ht="62" customHeight="1">
      <x:c r="A449" s="28" t="str">
        <x:v>STN-0448</x:v>
      </x:c>
      <x:c r="B449" s="28" t="str">
        <x:v>уме</x:v>
      </x:c>
      <x:c r="C449" s="28" t="str">
        <x:v>Десерты и выпечка</x:v>
      </x:c>
      <x:c r="D449" s="28" t="str">
        <x:v>уме</x:v>
      </x:c>
      <x:c r="E449" s="28" t="str">
        <x:v>Japanese plum (ume)</x:v>
      </x:c>
      <x:c r="F449" s="28" t="str">
        <x:v>Косточковые фрукты и ферментированные производные</x:v>
      </x:c>
      <x:c r="G449" s="28" t="str">
        <x:v>клубника</x:v>
      </x:c>
      <x:c r="H449" s="28" t="str">
        <x:v>Strawberry</x:v>
      </x:c>
      <x:c r="I449" s="28" t="str">
        <x:v>Ягоды</x:v>
      </x:c>
      <x:c r="J449" s="28" t="str">
        <x:v>зелёный, кислый, цветочный, миндальный и солоновато-ферментированный в обработанных продуктах</x:v>
      </x:c>
      <x:c r="K449" s="28" t="str">
        <x:v>красно-фруктовый, цветочный, зелёный и иногда сернистый</x:v>
      </x:c>
      <x:c r="L449" s="28" t="str">
        <x:v>бензальдегид, фруктовые эфиры, линалоол, C6-альдегиды, органические кислоты</x:v>
      </x:c>
      <x:c r="M449" s="28" t="str">
        <x:v>фуранеол, эфиры, иононы, зелёные альдегиды</x:v>
      </x:c>
      <x:c r="N449" s="28" t="str">
        <x:v>цветочный, зелёный</x:v>
      </x:c>
      <x:c r="O449" s="28" t="str">
        <x:v>эфиры</x:v>
      </x:c>
      <x:c r="P449" s="28" t="str">
        <x:v>прямое или классовое перекрытие характерных одорантов + вкусовой баланс</x:v>
      </x:c>
      <x:c r="Q449" s="28" t="str">
        <x:v>Близкие фруктовые эфиры создают непрерывность, а различия в кислотности, терпкости и сладости формируют контраст.</x:v>
      </x:c>
      <x:c r="R449" s="28" t="str">
        <x:v>кислотность и соль активно стимулируют слюноотделение; партнёр: обычно слабый; кислота усиливает свежесть</x:v>
      </x:c>
      <x:c r="S449" s="28" t="str">
        <x:v>водная и кислотная; в умэбоси — концентрированная соль и полифенолы. Партнёр: водная пектиновая; антоцианы влияют на цвет, но не являются главными одорантами.</x:v>
      </x:c>
      <x:c r="T449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U449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водная пектиновая; антоцианы влияют на цвет, но не являются главными одорантами.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V449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W449" s="28" t="str">
        <x:v>ваниль, мята или миндаль</x:v>
      </x:c>
      <x:c r="X449" s="28" t="str">
        <x:v>сорбет, салат, джем, кордиал, лимонад, коктейль или фруктовый соус</x:v>
      </x:c>
      <x:c r="Y449" s="28" t="str">
        <x:v>напитки; десерты; соусы/маринады</x:v>
      </x:c>
      <x:c r="Z449" s="28" t="str">
        <x:v>Средняя</x:v>
      </x:c>
      <x:c r="AA449" s="28" t="str">
        <x:v>The Art &amp; Science of Foodpairing.pdf</x:v>
      </x:c>
      <x:c r="AB449" s="28" t="str">
        <x:v>The Art &amp; Science of Foodpairing.pdf: The Art &amp; Science of Foodpairing: 71 | The Art &amp; Science of Foodpairing.pdf: 71</x:v>
      </x:c>
      <x:c r="AC449" s="28" t="str">
        <x:v>Ingredient pairings with Strawberry: Japanese plum (ume) Ингредиент «Japanese plum (ume)» указан на странице профиля/сетки сочетаний «Strawberry».</x:v>
      </x:c>
      <x:c r="AD449" s="28" t="n">
        <x:v>1</x:v>
      </x:c>
      <x:c r="AE449" s="28" t="n">
        <x:v>2</x:v>
      </x:c>
      <x:c r="AF449" s="28" t="n">
        <x:f>IF(Z449="Высокая",3,IF(Z449="Средняя",2,1))+AD449*2+MIN(AE449,3)</x:f>
        <x:v>6</x:v>
      </x:c>
    </x:row>
    <x:row r="450" ht="62" customHeight="1">
      <x:c r="A450" s="28" t="str">
        <x:v>STN-0449</x:v>
      </x:c>
      <x:c r="B450" s="28" t="str">
        <x:v>уме</x:v>
      </x:c>
      <x:c r="C450" s="28" t="str">
        <x:v>Универсальные</x:v>
      </x:c>
      <x:c r="D450" s="28" t="str">
        <x:v>уме</x:v>
      </x:c>
      <x:c r="E450" s="28" t="str">
        <x:v>Japanese plum (ume)</x:v>
      </x:c>
      <x:c r="F450" s="28" t="str">
        <x:v>Косточковые фрукты и ферментированные производные</x:v>
      </x:c>
      <x:c r="G450" s="28" t="str">
        <x:v>кокос</x:v>
      </x:c>
      <x:c r="H450" s="28" t="str">
        <x:v>Coconut</x:v>
      </x:c>
      <x:c r="I450" s="28" t="str">
        <x:v>Тропические фрукты и жирные матрицы</x:v>
      </x:c>
      <x:c r="J450" s="28" t="str">
        <x:v>зелёный, кислый, цветочный, миндальный и солоновато-ферментированный в обработанных продуктах</x:v>
      </x:c>
      <x:c r="K450" s="28" t="str">
        <x:v>сливочный, молочный, ореховый, сладкий и древесный</x:v>
      </x:c>
      <x:c r="L450" s="28" t="str">
        <x:v>бензальдегид, фруктовые эфиры, линалоол, C6-альдегиды, органические кислоты</x:v>
      </x:c>
      <x:c r="M450" s="28" t="str">
        <x:v>γ-ноналактон, γ-окталактон, δ-декалактон, жирные кислоты; при обжарке — пиразины и фураны</x:v>
      </x:c>
      <x:c r="N450" s="28" t="str">
        <x:v>прямое семейное перекрытие не является главным механизмом</x:v>
      </x:c>
      <x:c r="O450" s="28" t="str">
        <x:v>надёжный единичный общий маркер не подтверждён; механизм не сводится к одной молекуле</x:v>
      </x:c>
      <x:c r="P450" s="28" t="str">
        <x:v>комплементарность ароматических семейств, вкусовой контраст и матричный эффект</x:v>
      </x:c>
      <x:c r="Q450" s="28" t="str">
        <x:v>Базовый фрукт даёт: высокая кислотность; у умэбоси — соль и выраженная ферментированная умами-нота. Партнёр добавляет: мягкая сладость; кокосовая вода минеральнее, мякоть и молоко жирнее. Баланс корректируется сахаром, кислотой, солью и горечью.</x:v>
      </x:c>
      <x:c r="R450" s="28" t="str">
        <x:v>кислотность и соль активно стимулируют слюноотделение; партнёр: кислотное покалывание зависит от плода; специальные эффекты указаны в паспорте</x:v>
      </x:c>
      <x:c r="S450" s="28" t="str">
        <x:v>водная и кислотная; в умэбоси — концентрированная соль и полифенолы. Партнёр: богатая жиром эмульсия; хорошо растворяет гидрофобные терпены, специи и ароматические масла.</x:v>
      </x:c>
      <x:c r="T450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U450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По доступным материалам нельзя уверенно свести совместимость к одной общей молекуле. Базовый фрукт даёт: высокая кислотность; у умэбоси — соль и выраженная ферментированная умами-нота.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водная и кислотная; в умэбоси — концентрированная соль и полифенолы. Партнёр: богатая жиром эмульсия; хорошо растворяет гидрофобные терпены, специи и ароматические масла.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V450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W450" s="28" t="str">
        <x:v>мёд, цитрус или нейтральная жировая основа</x:v>
      </x:c>
      <x:c r="X450" s="28" t="str">
        <x:v>напиток, соус, десерт или горячее блюдо после пробной дегустации</x:v>
      </x:c>
      <x:c r="Y450" s="28" t="str">
        <x:v>напитки; еда; десерты; соусы/маринады</x:v>
      </x:c>
      <x:c r="Z450" s="28" t="str">
        <x:v>Средняя</x:v>
      </x:c>
      <x:c r="AA450" s="28" t="str">
        <x:v>The Art &amp; Science of Foodpairing.pdf</x:v>
      </x:c>
      <x:c r="AB450" s="28" t="str">
        <x:v>The Art &amp; Science of Foodpairing.pdf: 134 | The Art &amp; Science of Foodpairing.pdf: 135</x:v>
      </x:c>
      <x:c r="AC450" s="28" t="str">
        <x:v>Ингредиент «Japanese plum (ume)» указан на странице профиля/сетки сочетаний «Coconut».</x:v>
      </x:c>
      <x:c r="AD450" s="28" t="n">
        <x:v>1</x:v>
      </x:c>
      <x:c r="AE450" s="28" t="n">
        <x:v>2</x:v>
      </x:c>
      <x:c r="AF450" s="28" t="n">
        <x:f>IF(Z450="Высокая",3,IF(Z450="Средняя",2,1))+AD450*2+MIN(AE450,3)</x:f>
        <x:v>6</x:v>
      </x:c>
    </x:row>
    <x:row r="451" ht="62" customHeight="1">
      <x:c r="A451" s="28" t="str">
        <x:v>STN-0450</x:v>
      </x:c>
      <x:c r="B451" s="28" t="str">
        <x:v>уме</x:v>
      </x:c>
      <x:c r="C451" s="28" t="str">
        <x:v>Десерты и выпечка</x:v>
      </x:c>
      <x:c r="D451" s="28" t="str">
        <x:v>уме</x:v>
      </x:c>
      <x:c r="E451" s="28" t="str">
        <x:v>Japanese plum (ume)</x:v>
      </x:c>
      <x:c r="F451" s="28" t="str">
        <x:v>Косточковые фрукты и ферментированные производные</x:v>
      </x:c>
      <x:c r="G451" s="28" t="str">
        <x:v>лимон</x:v>
      </x:c>
      <x:c r="H451" s="28" t="str">
        <x:v>Lemon</x:v>
      </x:c>
      <x:c r="I451" s="28" t="str">
        <x:v>Цитрусовые</x:v>
      </x:c>
      <x:c r="J451" s="28" t="str">
        <x:v>зелёный, кислый, цветочный, миндальный и солоновато-ферментированный в обработанных продуктах</x:v>
      </x:c>
      <x:c r="K451" s="28" t="str">
        <x:v>яркий цитрусовый и свежий</x:v>
      </x:c>
      <x:c r="L451" s="28" t="str">
        <x:v>бензальдегид, фруктовые эфиры, линалоол, C6-альдегиды, органические кислоты</x:v>
      </x:c>
      <x:c r="M451" s="28" t="str">
        <x:v>лимонен, цитраль, β-пинен</x:v>
      </x:c>
      <x:c r="N451" s="28" t="str">
        <x:v>прямое семейное перекрытие не является главным механизмом</x:v>
      </x:c>
      <x:c r="O451" s="28" t="str">
        <x:v>надёжный единичный общий маркер не подтверждён; механизм не сводится к одной молекуле</x:v>
      </x:c>
      <x:c r="P451" s="28" t="str">
        <x:v>комплементарность ароматических семейств, вкусовой контраст и матричный эффект</x:v>
      </x:c>
      <x:c r="Q451" s="28" t="str">
        <x:v>Близкие фруктовые эфиры создают непрерывность, а различия в кислотности, терпкости и сладости формируют контраст.</x:v>
      </x:c>
      <x:c r="R451" s="28" t="str">
        <x:v>кислотность и соль активно стимулируют слюноотделение; партнёр: кислота даёт покалывание и ощущение свежести</x:v>
      </x:c>
      <x:c r="S451" s="28" t="str">
        <x:v>водная и кислотная; в умэбоси — концентрированная соль и полифенолы. Партнёр: сок водный и кислый, цедра содержит гидрофобные эфирные масла.</x:v>
      </x:c>
      <x:c r="T451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U451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сок водный и кислый, цедра содержит гидрофобные эфирные масла.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V451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W451" s="28" t="str">
        <x:v>ваниль, мёд или розмарин</x:v>
      </x:c>
      <x:c r="X451" s="28" t="str">
        <x:v>сорбет, салат, джем, кордиал, лимонад, коктейль или фруктовый соус</x:v>
      </x:c>
      <x:c r="Y451" s="28" t="str">
        <x:v>напитки; десерты; соусы/маринады</x:v>
      </x:c>
      <x:c r="Z451" s="28" t="str">
        <x:v>Средняя</x:v>
      </x:c>
      <x:c r="AA451" s="28" t="str">
        <x:v>The Art &amp; Science of Foodpairing.pdf</x:v>
      </x:c>
      <x:c r="AB451" s="28" t="str">
        <x:v>The Art &amp; Science of Foodpairing.pdf: 88</x:v>
      </x:c>
      <x:c r="AC451" s="28" t="str">
        <x:v>Ингредиент «Japanese plum (ume)» указан на странице профиля/сетки сочетаний «Lemon».</x:v>
      </x:c>
      <x:c r="AD451" s="28" t="n">
        <x:v>1</x:v>
      </x:c>
      <x:c r="AE451" s="28" t="n">
        <x:v>1</x:v>
      </x:c>
      <x:c r="AF451" s="28" t="n">
        <x:f>IF(Z451="Высокая",3,IF(Z451="Средняя",2,1))+AD451*2+MIN(AE451,3)</x:f>
        <x:v>5</x:v>
      </x:c>
    </x:row>
    <x:row r="452" ht="62" customHeight="1">
      <x:c r="A452" s="28" t="str">
        <x:v>STN-0451</x:v>
      </x:c>
      <x:c r="B452" s="28" t="str">
        <x:v>уме</x:v>
      </x:c>
      <x:c r="C452" s="28" t="str">
        <x:v>Универсальные</x:v>
      </x:c>
      <x:c r="D452" s="28" t="str">
        <x:v>уме</x:v>
      </x:c>
      <x:c r="E452" s="28" t="str">
        <x:v>Japanese plum (ume)</x:v>
      </x:c>
      <x:c r="F452" s="28" t="str">
        <x:v>Косточковые фрукты и ферментированные производные</x:v>
      </x:c>
      <x:c r="G452" s="28" t="str">
        <x:v>оливковое масло</x:v>
      </x:c>
      <x:c r="H452" s="28" t="str">
        <x:v>Olive oil</x:v>
      </x:c>
      <x:c r="I452" s="28" t="str">
        <x:v>Молочные продукты и сыры</x:v>
      </x:c>
      <x:c r="J452" s="28" t="str">
        <x:v>зелёный, кислый, цветочный, миндальный и солоновато-ферментированный в обработанных продуктах</x:v>
      </x:c>
      <x:c r="K452" s="28" t="str">
        <x:v>масляный, молочный, сливочный, сырный</x:v>
      </x:c>
      <x:c r="L452" s="28" t="str">
        <x:v>бензальдегид, фруктовые эфиры, линалоол, C6-альдегиды, органические кислоты</x:v>
      </x:c>
      <x:c r="M452" s="28" t="str">
        <x:v>диацетил, жирные кислоты, лактоны</x:v>
      </x:c>
      <x:c r="N452" s="28" t="str">
        <x:v>прямое семейное перекрытие не является главным механизмом</x:v>
      </x:c>
      <x:c r="O452" s="28" t="str">
        <x:v>надёжный единичный общий маркер не подтверждён; механизм не сводится к одной молекуле</x:v>
      </x:c>
      <x:c r="P452" s="28" t="str">
        <x:v>комплементарность ароматических семейств, вкусовой контраст и матричный эффект</x:v>
      </x:c>
      <x:c r="Q452" s="28" t="str">
        <x:v>Базовый фрукт даёт: высокая кислотность; у умэбоси — соль и выраженная ферментированная умами-нота. Партнёр добавляет: жирный, кислый/солёный. Баланс корректируется сахаром, кислотой, солью и горечью.</x:v>
      </x:c>
      <x:c r="R452" s="28" t="str">
        <x:v>кислотность и соль активно стимулируют слюноотделение; партнёр: обычно отсутствует; зависит от конкретного продукта</x:v>
      </x:c>
      <x:c r="S452" s="28" t="str">
        <x:v>водная и кислотная; в умэбоси — концентрированная соль и полифенолы. Партнёр: жировая и белковая матрица смягчает кислотность.</x:v>
      </x:c>
      <x:c r="T452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452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высокая кислотность; у умэбоси — соль и выраженная ферментированная умами-нота. Партнёр добавляет: жирный, кислый/солёный. Баланс корректируется сахаром, кислотой, солью и горечью. Матрица пары: водная и кислотная; в умэбоси — концентрированная соль и полифенолы. Партнёр: жировая и белковая матрица смягчает кислотность.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452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W452" s="28" t="str">
        <x:v>мёд, цитрус или нейтральная жировая основа</x:v>
      </x:c>
      <x:c r="X452" s="28" t="str">
        <x:v>напиток, соус, десерт или горячее блюдо после пробной дегустации</x:v>
      </x:c>
      <x:c r="Y452" s="28" t="str">
        <x:v>напитки; еда; десерты; соусы/маринады</x:v>
      </x:c>
      <x:c r="Z452" s="28" t="str">
        <x:v>Средняя</x:v>
      </x:c>
      <x:c r="AA452" s="28" t="str">
        <x:v>The Art &amp; Science of Foodpairing.pdf</x:v>
      </x:c>
      <x:c r="AB452" s="28" t="str">
        <x:v>The Art &amp; Science of Foodpairing.pdf: 173</x:v>
      </x:c>
      <x:c r="AC452" s="28" t="str">
        <x:v>Ингредиент «Japanese plum (ume)» указан на странице профиля/сетки сочетаний «Olive oil».</x:v>
      </x:c>
      <x:c r="AD452" s="28" t="n">
        <x:v>1</x:v>
      </x:c>
      <x:c r="AE452" s="28" t="n">
        <x:v>1</x:v>
      </x:c>
      <x:c r="AF452" s="28" t="n">
        <x:f>IF(Z452="Высокая",3,IF(Z452="Средняя",2,1))+AD452*2+MIN(AE452,3)</x:f>
        <x:v>5</x:v>
      </x:c>
    </x:row>
    <x:row r="453" ht="62" customHeight="1">
      <x:c r="A453" s="28" t="str">
        <x:v>STN-0452</x:v>
      </x:c>
      <x:c r="B453" s="28" t="str">
        <x:v>уме</x:v>
      </x:c>
      <x:c r="C453" s="28" t="str">
        <x:v>Универсальные</x:v>
      </x:c>
      <x:c r="D453" s="28" t="str">
        <x:v>уме</x:v>
      </x:c>
      <x:c r="E453" s="28" t="str">
        <x:v>Japanese plum (ume)</x:v>
      </x:c>
      <x:c r="F453" s="28" t="str">
        <x:v>Косточковые фрукты и ферментированные производные</x:v>
      </x:c>
      <x:c r="G453" s="28" t="str">
        <x:v>отварная морковь</x:v>
      </x:c>
      <x:c r="H453" s="28" t="str">
        <x:v>Boiled carrot</x:v>
      </x:c>
      <x:c r="I453" s="28" t="str">
        <x:v>Овощи</x:v>
      </x:c>
      <x:c r="J453" s="28" t="str">
        <x:v>зелёный, кислый, цветочный, миндальный и солоновато-ферментированный в обработанных продуктах</x:v>
      </x:c>
      <x:c r="K453" s="28" t="str">
        <x:v>зелёный, землистый, растительный, иногда сернистый</x:v>
      </x:c>
      <x:c r="L453" s="28" t="str">
        <x:v>бензальдегид, фруктовые эфиры, линалоол, C6-альдегиды, органические кислоты</x:v>
      </x:c>
      <x:c r="M453" s="28" t="str">
        <x:v>C6-альдегиды, метоксипиразины, геосмин (землистые), сернистые соединения</x:v>
      </x:c>
      <x:c r="N453" s="28" t="str">
        <x:v>зелёный</x:v>
      </x:c>
      <x:c r="O453" s="28" t="str">
        <x:v>c6-альдегиды</x:v>
      </x:c>
      <x:c r="P453" s="28" t="str">
        <x:v>прямое или классовое перекрытие характерных одорантов + вкусовой баланс</x:v>
      </x:c>
      <x:c r="Q453" s="28" t="str">
        <x:v>Базовый фрукт даёт: высокая кислотность; у умэбоси — соль и выраженная ферментированная умами-нота. Партнёр добавляет: сладковатый, горьковатый, умами. Баланс корректируется сахаром, кислотой, солью и горечью.</x:v>
      </x:c>
      <x:c r="R453" s="28" t="str">
        <x:v>кислотность и соль активно стимулируют слюноотделение; партнёр: нет выраженного</x:v>
      </x:c>
      <x:c r="S453" s="28" t="str">
        <x:v>водная и кислотная; в умэбоси — концентрированная соль и полифенолы. Партнёр: водная/крахмальная матрица; масло помогает распределить цедру.</x:v>
      </x:c>
      <x:c r="T453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U453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Отварная морковь относится к группе «Овощи» и даёт профиль «зелёный, землистый, растительный, иногда сернистый»; типичные соединения или классы: C6-альдегиды, метоксипиразины, геосмин (землистые), сернистые соединения. В рабочих профилях пересекаются: c6-альдегиды. Общие ароматические направления: зелёный. Базовый фрукт даёт: высокая кислотность; у умэбоси — соль и выраженная ферментированная умами-нота. Партнёр добавляет: сладковатый, горьковатый, умами. Баланс корректируется сахаром, кислотой, солью и горечью. Матрица пары: водная и кислотная; в умэбоси — концентрированная соль и полифенолы. Партнёр: водная/крахмальная матрица; масло помогает распределить цедру.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V453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W453" s="28" t="str">
        <x:v>мёд, цитрус или нейтральная жировая основа</x:v>
      </x:c>
      <x:c r="X453" s="28" t="str">
        <x:v>напиток, соус, десерт или горячее блюдо после пробной дегустации</x:v>
      </x:c>
      <x:c r="Y453" s="28" t="str">
        <x:v>напитки; еда; десерты; соусы/маринады</x:v>
      </x:c>
      <x:c r="Z453" s="28" t="str">
        <x:v>Средняя</x:v>
      </x:c>
      <x:c r="AA453" s="28" t="str">
        <x:v>The Art &amp; Science of Foodpairing.pdf</x:v>
      </x:c>
      <x:c r="AB453" s="28" t="str">
        <x:v>The Art &amp; Science of Foodpairing.pdf: 232</x:v>
      </x:c>
      <x:c r="AC453" s="28" t="str">
        <x:v>Ингредиент «Japanese plum (ume)» указан на странице профиля/сетки сочетаний «Boiled carrot».</x:v>
      </x:c>
      <x:c r="AD453" s="28" t="n">
        <x:v>1</x:v>
      </x:c>
      <x:c r="AE453" s="28" t="n">
        <x:v>1</x:v>
      </x:c>
      <x:c r="AF453" s="28" t="n">
        <x:f>IF(Z453="Высокая",3,IF(Z453="Средняя",2,1))+AD453*2+MIN(AE453,3)</x:f>
        <x:v>5</x:v>
      </x:c>
    </x:row>
    <x:row r="454" ht="62" customHeight="1">
      <x:c r="A454" s="28" t="str">
        <x:v>STN-0453</x:v>
      </x:c>
      <x:c r="B454" s="28" t="str">
        <x:v>уме</x:v>
      </x:c>
      <x:c r="C454" s="28" t="str">
        <x:v>Напитки</x:v>
      </x:c>
      <x:c r="D454" s="28" t="str">
        <x:v>уме</x:v>
      </x:c>
      <x:c r="E454" s="28" t="str">
        <x:v>Japanese plum (ume)</x:v>
      </x:c>
      <x:c r="F454" s="28" t="str">
        <x:v>Косточковые фрукты и ферментированные производные</x:v>
      </x:c>
      <x:c r="G454" s="28" t="str">
        <x:v>текила бланко</x:v>
      </x:c>
      <x:c r="H454" s="28" t="str">
        <x:v>Blanco tequila</x:v>
      </x:c>
      <x:c r="I454" s="28" t="str">
        <x:v>Алкогольные напитки</x:v>
      </x:c>
      <x:c r="J454" s="28" t="str">
        <x:v>зелёный, кислый, цветочный, миндальный и солоновато-ферментированный в обработанных продуктах</x:v>
      </x:c>
      <x:c r="K454" s="28" t="str">
        <x:v>спиртовой, эфирный, фруктовый или древесный в зависимости от напитка</x:v>
      </x:c>
      <x:c r="L454" s="28" t="str">
        <x:v>бензальдегид, фруктовые эфиры, линалоол, C6-альдегиды, органические кислоты</x:v>
      </x:c>
      <x:c r="M454" s="28" t="str">
        <x:v>этиловые эфиры, высшие спирты, ацетали; для выдержанных напитков — ванилин и дубовые лактоны</x:v>
      </x:c>
      <x:c r="N454" s="28" t="str">
        <x:v>прямое семейное перекрытие не является главным механизмом</x:v>
      </x:c>
      <x:c r="O454" s="28" t="str">
        <x:v>эфиры</x:v>
      </x:c>
      <x:c r="P454" s="28" t="str">
        <x:v>прямое или классовое перекрытие характерных одорантов + вкусовой баланс</x:v>
      </x:c>
      <x:c r="Q454" s="28" t="str">
        <x:v>Этанол усиливает летучесть лактонов и терпенов; сахар и кислотность должны быть настроены так, чтобы крепость не маскировала плод.</x:v>
      </x:c>
      <x:c r="R454" s="28" t="str">
        <x:v>кислотность и соль активно стимулируют слюноотделение; партнёр: этанол даёт согревание</x:v>
      </x:c>
      <x:c r="S454" s="28" t="str">
        <x:v>водная и кислотная; в умэбоси — концентрированная соль и полифенолы. Этанол хорошо извлекает лактоны, бензальдегид и терпены, но высокая крепость усиливает жжение и горечь.</x:v>
      </x:c>
      <x:c r="T454" s="28" t="str">
        <x:v>соление и ферментация меняют свежий фруктовый профиль на солёно-кислый и умами; ликёры сохраняют миндально-фруктовые ноты. Холодная мацерация сохраняет свежие эфиры; длительное настаивание увеличивает экстракцию кожицы и терпкость.</x:v>
      </x:c>
      <x:c r="U454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Текила бланко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В рабочих профилях пересекаются: эфиры. Этанол усиливает летучесть лактонов и терпенов; сахар и кислотность должны быть настроены так, чтобы крепость не маскировала плод. Матрица пары: водная и кислотная; в умэбоси — концентрированная соль и полифенолы. Этанол хорошо извлекает лактоны, бензальдегид и терпены, но высокая крепость усиливает жжение и горечь. Обработка: соление и ферментация меняют свежий фруктовый профиль на солёно-кислый и умами; ликёры сохраняют миндально-фруктовые ноты. Холодная мацерация сохраняет свежие эфиры; длительное настаивание увеличивает экстракцию кожицы и терпкость.</x:v>
      </x:c>
      <x:c r="V454" s="28" t="str">
        <x:v>легко пересолить или сделать кислоту агрессивной; дозировать как приправу. Высокая крепость и избыток сахара маскируют свежесть; после мацерации контролируйте терпкость кожицы.</x:v>
      </x:c>
      <x:c r="W454" s="28" t="str">
        <x:v>цитрус, чай или вермут</x:v>
      </x:c>
      <x:c r="X454" s="28" t="str">
        <x:v>коктейль, кордиал, настой, спритц, чайный или кофейный напиток</x:v>
      </x:c>
      <x:c r="Y454" s="28" t="str">
        <x:v>напитки</x:v>
      </x:c>
      <x:c r="Z454" s="28" t="str">
        <x:v>Средняя</x:v>
      </x:c>
      <x:c r="AA454" s="28" t="str">
        <x:v>The Art &amp; Science of Foodpairing.pdf</x:v>
      </x:c>
      <x:c r="AB454" s="28" t="str">
        <x:v>The Art &amp; Science of Foodpairing.pdf: 83</x:v>
      </x:c>
      <x:c r="AC454" s="28" t="str">
        <x:v>Ингредиент «Japanese plum (ume)» указан на странице профиля/сетки сочетаний «Blanco tequila».</x:v>
      </x:c>
      <x:c r="AD454" s="28" t="n">
        <x:v>1</x:v>
      </x:c>
      <x:c r="AE454" s="28" t="n">
        <x:v>1</x:v>
      </x:c>
      <x:c r="AF454" s="28" t="n">
        <x:f>IF(Z454="Высокая",3,IF(Z454="Средняя",2,1))+AD454*2+MIN(AE454,3)</x:f>
        <x:v>5</x:v>
      </x:c>
    </x:row>
    <x:row r="455" ht="62" customHeight="1">
      <x:c r="A455" s="28" t="str">
        <x:v>STN-0454</x:v>
      </x:c>
      <x:c r="B455" s="28" t="str">
        <x:v>уме</x:v>
      </x:c>
      <x:c r="C455" s="28" t="str">
        <x:v>Еда и соусы</x:v>
      </x:c>
      <x:c r="D455" s="28" t="str">
        <x:v>уме</x:v>
      </x:c>
      <x:c r="E455" s="28" t="str">
        <x:v>Japanese plum (ume)</x:v>
      </x:c>
      <x:c r="F455" s="28" t="str">
        <x:v>Косточковые фрукты и ферментированные производные</x:v>
      </x:c>
      <x:c r="G455" s="28" t="str">
        <x:v>традиционный бальзамический уксус</x:v>
      </x:c>
      <x:c r="H455" s="28" t="str">
        <x:v>Traditional balsamic vinegar</x:v>
      </x:c>
      <x:c r="I455" s="28" t="str">
        <x:v>Ферментированные продукты, соусы и уксусы</x:v>
      </x:c>
      <x:c r="J455" s="28" t="str">
        <x:v>зелёный, кислый, цветочный, миндальный и солоновато-ферментированный в обработанных продуктах</x:v>
      </x:c>
      <x:c r="K455" s="28" t="str">
        <x:v>кислый, умами, ферментированный, солёный</x:v>
      </x:c>
      <x:c r="L455" s="28" t="str">
        <x:v>бензальдегид, фруктовые эфиры, линалоол, C6-альдегиды, органические кислоты</x:v>
      </x:c>
      <x:c r="M455" s="28" t="str">
        <x:v>уксусная кислота, эфиры, аминокислотные и ферментационные соединения</x:v>
      </x:c>
      <x:c r="N455" s="28" t="str">
        <x:v>кислый</x:v>
      </x:c>
      <x:c r="O455" s="28" t="str">
        <x:v>эфиры</x:v>
      </x:c>
      <x:c r="P455" s="28" t="str">
        <x:v>прямое или классовое перекрытие характерных одорантов + вкусовой баланс</x:v>
      </x:c>
      <x:c r="Q455" s="28" t="str">
        <x:v>Кислота, соль и умами усиливают контраст с фруктовой сладостью; сочетание работает в малой дозировке как приправа.</x:v>
      </x:c>
      <x:c r="R455" s="28" t="str">
        <x:v>кислотность и соль активно стимулируют слюноотделение; партнёр: кислота усиливает слюноотделение</x:v>
      </x:c>
      <x:c r="S455" s="28" t="str">
        <x:v>водная и кислотная; в умэбоси — концентрированная соль и полифенолы. Партнёр: водная и солевая матрица; часть ароматов удерживается белком и сахаром.</x:v>
      </x:c>
      <x:c r="T455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U455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Традиционный бальзамический уксус относится к группе «Ферментированные продукты, соусы и уксусы» и даёт профиль «кислый, умами, ферментированный, солёный»; типичные соединения или классы: уксусная кислота, эфиры, аминокислотные и ферментационные соединения. В рабочих профилях пересекаются: эфиры. Общие ароматические направления: кислый. Кислота, соль и умами усиливают контраст с фруктовой сладостью; сочетание работает в малой дозировке как приправа. Матрица пары: водная и кислотная; в умэбоси — концентрированная соль и полифенолы. Партнёр: водная и солевая матрица; часть ароматов удерживается белком и сахаром.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V455" s="28" t="str">
        <x:v>легко пересолить или сделать кислоту агрессивной; дозировать как приправу. Соль и кислота быстро становятся доминирующими; используйте как акцент.</x:v>
      </x:c>
      <x:c r="W455" s="28" t="str">
        <x:v>мёд, имбирь или соевый соус</x:v>
      </x:c>
      <x:c r="X455" s="28" t="str">
        <x:v>соус, глазировка, чатни, маринад, гарнир или основное блюдо</x:v>
      </x:c>
      <x:c r="Y455" s="28" t="str">
        <x:v>еда; соусы/маринады</x:v>
      </x:c>
      <x:c r="Z455" s="28" t="str">
        <x:v>Средняя</x:v>
      </x:c>
      <x:c r="AA455" s="28" t="str">
        <x:v>The Art &amp; Science of Foodpairing.pdf</x:v>
      </x:c>
      <x:c r="AB455" s="28" t="str">
        <x:v>The Art &amp; Science of Foodpairing.pdf: 316</x:v>
      </x:c>
      <x:c r="AC455" s="28" t="str">
        <x:v>Ингредиент «Japanese plum (ume)» указан на странице профиля/сетки сочетаний «Traditional balsamic vinegar».</x:v>
      </x:c>
      <x:c r="AD455" s="28" t="n">
        <x:v>1</x:v>
      </x:c>
      <x:c r="AE455" s="28" t="n">
        <x:v>1</x:v>
      </x:c>
      <x:c r="AF455" s="28" t="n">
        <x:f>IF(Z455="Высокая",3,IF(Z455="Средняя",2,1))+AD455*2+MIN(AE455,3)</x:f>
        <x:v>5</x:v>
      </x:c>
    </x:row>
    <x:row r="456" ht="62" customHeight="1">
      <x:c r="A456" s="28" t="str">
        <x:v>STN-0455</x:v>
      </x:c>
      <x:c r="B456" s="28" t="str">
        <x:v>уме</x:v>
      </x:c>
      <x:c r="C456" s="28" t="str">
        <x:v>Десерты и выпечка</x:v>
      </x:c>
      <x:c r="D456" s="28" t="str">
        <x:v>уме</x:v>
      </x:c>
      <x:c r="E456" s="28" t="str">
        <x:v>Japanese plum (ume)</x:v>
      </x:c>
      <x:c r="F456" s="28" t="str">
        <x:v>Косточковые фрукты и ферментированные производные</x:v>
      </x:c>
      <x:c r="G456" s="28" t="str">
        <x:v>фундук</x:v>
      </x:c>
      <x:c r="H456" s="28" t="str">
        <x:v>Hazelnut</x:v>
      </x:c>
      <x:c r="I456" s="28" t="str">
        <x:v>Орехи и семена</x:v>
      </x:c>
      <x:c r="J456" s="28" t="str">
        <x:v>зелёный, кислый, цветочный, миндальный и солоновато-ферментированный в обработанных продуктах</x:v>
      </x:c>
      <x:c r="K456" s="28" t="str">
        <x:v>жареный ореховый и маслянистый</x:v>
      </x:c>
      <x:c r="L456" s="28" t="str">
        <x:v>бензальдегид, фруктовые эфиры, линалоол, C6-альдегиды, органические кислоты</x:v>
      </x:c>
      <x:c r="M456" s="28" t="str">
        <x:v>филбертон, пиразины</x:v>
      </x:c>
      <x:c r="N456" s="28" t="str">
        <x:v>прямое семейное перекрытие не является главным механизмом</x:v>
      </x:c>
      <x:c r="O456" s="28" t="str">
        <x:v>надёжный единичный общий маркер не подтверждён; механизм не сводится к одной молекуле</x:v>
      </x:c>
      <x:c r="P456" s="28" t="str">
        <x:v>комплементарность ароматических семейств, вкусовой контраст и матричный эффект</x:v>
      </x:c>
      <x:c r="Q456" s="28" t="str">
        <x:v>Жирность и жареная горечь ореха округляют кислотность фрукта; миндально-косточковый оттенок создаёт особенно связный профиль.</x:v>
      </x:c>
      <x:c r="R456" s="28" t="str">
        <x:v>кислотность и соль активно стимулируют слюноотделение; партнёр: обычно отсутствует</x:v>
      </x:c>
      <x:c r="S456" s="28" t="str">
        <x:v>водная и кислотная; в умэбоси — концентрированная соль и полифенолы. Ореховый жир удерживает лактоны и смягчает кислотность; обжарка добавляет пиразины.</x:v>
      </x:c>
      <x:c r="T456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U456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Фундук относится к группе «Орехи и семена» и даёт профиль «жареный ореховый и маслянистый»; типичные соединения или классы: филбертон, пиразины. По доступным материалам нельзя уверенно свести совместимость к одной общей молекуле. Жирность и жареная горечь ореха округляют кислотность фрукта; миндально-косточковый оттенок создаёт особенно связный профиль. Матрица пары: водная и кислотная; в умэбоси — концентрированная соль и полифенолы. Ореховый жир удерживает лактоны и смягчает кислотность; обжарка добавляет пиразины.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V456" s="28" t="str">
        <x:v>легко пересолить или сделать кислоту агрессивной; дозировать как приправу. Сильная обжарка и прогорклый жир перекрывают цветочный профиль.</x:v>
      </x:c>
      <x:c r="W456" s="28" t="str">
        <x:v>ваниль, шоколад или корица</x:v>
      </x:c>
      <x:c r="X456" s="28" t="str">
        <x:v>тарт, крем, мороженое, выпечка, сырная подача или начинка</x:v>
      </x:c>
      <x:c r="Y456" s="28" t="str">
        <x:v>десерты; еда</x:v>
      </x:c>
      <x:c r="Z456" s="28" t="str">
        <x:v>Средняя</x:v>
      </x:c>
      <x:c r="AA456" s="28" t="str">
        <x:v>The Art &amp; Science of Foodpairing.pdf</x:v>
      </x:c>
      <x:c r="AB456" s="28" t="str">
        <x:v>The Art &amp; Science of Foodpairing.pdf: 333</x:v>
      </x:c>
      <x:c r="AC456" s="28" t="str">
        <x:v>Ингредиент «Japanese plum (ume)» указан на странице профиля/сетки сочетаний «Hazelnut».</x:v>
      </x:c>
      <x:c r="AD456" s="28" t="n">
        <x:v>1</x:v>
      </x:c>
      <x:c r="AE456" s="28" t="n">
        <x:v>1</x:v>
      </x:c>
      <x:c r="AF456" s="28" t="n">
        <x:f>IF(Z456="Высокая",3,IF(Z456="Средняя",2,1))+AD456*2+MIN(AE456,3)</x:f>
        <x:v>5</x:v>
      </x:c>
    </x:row>
    <x:row r="457" ht="62" customHeight="1">
      <x:c r="A457" s="28" t="str">
        <x:v>STN-0456</x:v>
      </x:c>
      <x:c r="B457" s="28" t="str">
        <x:v>уме</x:v>
      </x:c>
      <x:c r="C457" s="28" t="str">
        <x:v>Универсальные</x:v>
      </x:c>
      <x:c r="D457" s="28" t="str">
        <x:v>уме</x:v>
      </x:c>
      <x:c r="E457" s="28" t="str">
        <x:v>Japanese plum (ume)</x:v>
      </x:c>
      <x:c r="F457" s="28" t="str">
        <x:v>Косточковые фрукты и ферментированные производные</x:v>
      </x:c>
      <x:c r="G457" s="28" t="str">
        <x:v>цветы жасмина</x:v>
      </x:c>
      <x:c r="H457" s="28" t="str">
        <x:v>Jasmine blossom</x:v>
      </x:c>
      <x:c r="I457" s="28" t="str">
        <x:v>Травы и цветы</x:v>
      </x:c>
      <x:c r="J457" s="28" t="str">
        <x:v>зелёный, кислый, цветочный, миндальный и солоновато-ферментированный в обработанных продуктах</x:v>
      </x:c>
      <x:c r="K457" s="28" t="str">
        <x:v>зелёный, травянистый, цветочный</x:v>
      </x:c>
      <x:c r="L457" s="28" t="str">
        <x:v>бензальдегид, фруктовые эфиры, линалоол, C6-альдегиды, органические кислоты</x:v>
      </x:c>
      <x:c r="M457" s="28" t="str">
        <x:v>гераниол, линалоол, терпены, эвгенол</x:v>
      </x:c>
      <x:c r="N457" s="28" t="str">
        <x:v>цветочный, зелёный</x:v>
      </x:c>
      <x:c r="O457" s="28" t="str">
        <x:v>линалоол</x:v>
      </x:c>
      <x:c r="P457" s="28" t="str">
        <x:v>прямое или классовое перекрытие характерных одорантов + вкусовой баланс</x:v>
      </x:c>
      <x:c r="Q457" s="28" t="str">
        <x:v>Базовый фрукт даёт: высокая кислотность; у умэбоси — соль и выраженная ферментированная умами-нота. Партнёр добавляет: горьковатый, свежий. Баланс корректируется сахаром, кислотой, солью и горечью.</x:v>
      </x:c>
      <x:c r="R457" s="28" t="str">
        <x:v>кислотность и соль активно стимулируют слюноотделение; партнёр: обычно отсутствует; зависит от конкретного продукта</x:v>
      </x:c>
      <x:c r="S457" s="28" t="str">
        <x:v>водная и кислотная; в умэбоси — концентрированная соль и полифенолы. Партнёр: летучие масла чувствительны к нагреву.</x:v>
      </x:c>
      <x:c r="T457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457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Цветы жасмина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цветочный, зелёный. Базовый фрукт даёт: высокая кислотность; у умэбоси — соль и выраженная ферментированная умами-нота. Партнёр добавляет: горьковатый, свежий. Баланс корректируется сахаром, кислотой, солью и горечью. Матрица пары: водная и кислотная; в умэбоси — концентрированная соль и полифенолы. Партнёр: летучие масла чувствительны к нагреву.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457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W457" s="28" t="str">
        <x:v>мёд, цитрус или нейтральная жировая основа</x:v>
      </x:c>
      <x:c r="X457" s="28" t="str">
        <x:v>напиток, соус, десерт или горячее блюдо после пробной дегустации</x:v>
      </x:c>
      <x:c r="Y457" s="28" t="str">
        <x:v>напитки; еда; десерты; соусы/маринады</x:v>
      </x:c>
      <x:c r="Z457" s="28" t="str">
        <x:v>Средняя</x:v>
      </x:c>
      <x:c r="AA457" s="28" t="str">
        <x:v>The Art &amp; Science of Foodpairing.pdf</x:v>
      </x:c>
      <x:c r="AB457" s="28" t="str">
        <x:v>The Art &amp; Science of Foodpairing.pdf: 211</x:v>
      </x:c>
      <x:c r="AC457" s="28" t="str">
        <x:v>Ингредиент «Japanese plum (ume)» указан на странице профиля/сетки сочетаний «Jasmine blossom».</x:v>
      </x:c>
      <x:c r="AD457" s="28" t="n">
        <x:v>1</x:v>
      </x:c>
      <x:c r="AE457" s="28" t="n">
        <x:v>1</x:v>
      </x:c>
      <x:c r="AF457" s="28" t="n">
        <x:f>IF(Z457="Высокая",3,IF(Z457="Средняя",2,1))+AD457*2+MIN(AE457,3)</x:f>
        <x:v>5</x:v>
      </x:c>
    </x:row>
    <x:row r="458" ht="62" customHeight="1">
      <x:c r="A458" s="28" t="str">
        <x:v>STN-0457</x:v>
      </x:c>
      <x:c r="B458" s="28" t="str">
        <x:v>уме</x:v>
      </x:c>
      <x:c r="C458" s="28" t="str">
        <x:v>Еда и соусы</x:v>
      </x:c>
      <x:c r="D458" s="28" t="str">
        <x:v>уме</x:v>
      </x:c>
      <x:c r="E458" s="28" t="str">
        <x:v>Japanese plum (ume)</x:v>
      </x:c>
      <x:c r="F458" s="28" t="str">
        <x:v>Косточковые фрукты и ферментированные производные</x:v>
      </x:c>
      <x:c r="G458" s="28" t="str">
        <x:v>японский соевый соус</x:v>
      </x:c>
      <x:c r="H458" s="28" t="str">
        <x:v>Japanese soy sauce</x:v>
      </x:c>
      <x:c r="I458" s="28" t="str">
        <x:v>Ферментированные продукты, соусы и уксусы</x:v>
      </x:c>
      <x:c r="J458" s="28" t="str">
        <x:v>зелёный, кислый, цветочный, миндальный и солоновато-ферментированный в обработанных продуктах</x:v>
      </x:c>
      <x:c r="K458" s="28" t="str">
        <x:v>кислый, умами, ферментированный, солёный</x:v>
      </x:c>
      <x:c r="L458" s="28" t="str">
        <x:v>бензальдегид, фруктовые эфиры, линалоол, C6-альдегиды, органические кислоты</x:v>
      </x:c>
      <x:c r="M458" s="28" t="str">
        <x:v>уксусная кислота, эфиры, аминокислотные и ферментационные соединения</x:v>
      </x:c>
      <x:c r="N458" s="28" t="str">
        <x:v>кислый</x:v>
      </x:c>
      <x:c r="O458" s="28" t="str">
        <x:v>эфиры</x:v>
      </x:c>
      <x:c r="P458" s="28" t="str">
        <x:v>прямое или классовое перекрытие характерных одорантов + вкусовой баланс</x:v>
      </x:c>
      <x:c r="Q458" s="28" t="str">
        <x:v>Кислота, соль и умами усиливают контраст с фруктовой сладостью; сочетание работает в малой дозировке как приправа.</x:v>
      </x:c>
      <x:c r="R458" s="28" t="str">
        <x:v>кислотность и соль активно стимулируют слюноотделение; партнёр: кислота усиливает слюноотделение</x:v>
      </x:c>
      <x:c r="S458" s="28" t="str">
        <x:v>водная и кислотная; в умэбоси — концентрированная соль и полифенолы. Партнёр: водная и солевая матрица; часть ароматов удерживается белком и сахаром.</x:v>
      </x:c>
      <x:c r="T458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U458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Японский соевый соус относится к группе «Ферментированные продукты, соусы и уксусы» и даёт профиль «кислый, умами, ферментированный, солёный»; типичные соединения или классы: уксусная кислота, эфиры, аминокислотные и ферментационные соединения. В рабочих профилях пересекаются: эфиры. Общие ароматические направления: кислый. Кислота, соль и умами усиливают контраст с фруктовой сладостью; сочетание работает в малой дозировке как приправа. Матрица пары: водная и кислотная; в умэбоси — концентрированная соль и полифенолы. Партнёр: водная и солевая матрица; часть ароматов удерживается белком и сахаром.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V458" s="28" t="str">
        <x:v>легко пересолить или сделать кислоту агрессивной; дозировать как приправу. Соль и кислота быстро становятся доминирующими; используйте как акцент.</x:v>
      </x:c>
      <x:c r="W458" s="28" t="str">
        <x:v>мёд, имбирь или соевый соус</x:v>
      </x:c>
      <x:c r="X458" s="28" t="str">
        <x:v>соус, глазировка, чатни, маринад, гарнир или основное блюдо</x:v>
      </x:c>
      <x:c r="Y458" s="28" t="str">
        <x:v>еда; соусы/маринады</x:v>
      </x:c>
      <x:c r="Z458" s="28" t="str">
        <x:v>Средняя</x:v>
      </x:c>
      <x:c r="AA458" s="28" t="str">
        <x:v>The Art &amp; Science of Foodpairing.pdf</x:v>
      </x:c>
      <x:c r="AB458" s="28" t="str">
        <x:v>The Art &amp; Science of Foodpairing.pdf: 301</x:v>
      </x:c>
      <x:c r="AC458" s="28" t="str">
        <x:v>Ингредиент «Japanese plum (ume)» указан на странице профиля/сетки сочетаний «Japanese soy sauce».</x:v>
      </x:c>
      <x:c r="AD458" s="28" t="n">
        <x:v>1</x:v>
      </x:c>
      <x:c r="AE458" s="28" t="n">
        <x:v>1</x:v>
      </x:c>
      <x:c r="AF458" s="28" t="n">
        <x:f>IF(Z458="Высокая",3,IF(Z458="Средняя",2,1))+AD458*2+MIN(AE458,3)</x:f>
        <x:v>5</x:v>
      </x:c>
    </x:row>
    <x:row r="459" ht="62" customHeight="1">
      <x:c r="A459" s="28" t="str">
        <x:v>STN-0458</x:v>
      </x:c>
      <x:c r="B459" s="28" t="str">
        <x:v>плюмкот</x:v>
      </x:c>
      <x:c r="C459" s="28" t="str">
        <x:v>Универсальные</x:v>
      </x:c>
      <x:c r="D459" s="28" t="str">
        <x:v>плюмкот</x:v>
      </x:c>
      <x:c r="E459" s="28" t="str">
        <x:v>plumcot</x:v>
      </x:c>
      <x:c r="F459" s="28" t="str">
        <x:v>Гибридные косточковые фрукты</x:v>
      </x:c>
      <x:c r="G459" s="28" t="str">
        <x:v>белый перец</x:v>
      </x:c>
      <x:c r="H459" s="28" t="str">
        <x:v>White peppercorn</x:v>
      </x:c>
      <x:c r="I459" s="28" t="str">
        <x:v>Специи и острые компоненты</x:v>
      </x:c>
      <x:c r="J459" s="28" t="str">
        <x:v>сливово-персиковый, цветочный, винный и сливочно-лактонный</x:v>
      </x:c>
      <x:c r="K459" s="28" t="str">
        <x:v>пряный, древесный, цветочный или жгучий</x:v>
      </x:c>
      <x:c r="L459" s="28" t="str">
        <x:v>лактоны, фруктовые эфиры, линалоол, бензальдегид, C6-альдегиды</x:v>
      </x:c>
      <x:c r="M459" s="28" t="str">
        <x:v>эвгенол, циннамальдегид, анетол, терпены, капсаициноиды, пиперин</x:v>
      </x:c>
      <x:c r="N459" s="28" t="str">
        <x:v>цветочный</x:v>
      </x:c>
      <x:c r="O459" s="28" t="str">
        <x:v>надёжный единичный общий маркер не подтверждён; механизм не сводится к одной молекуле</x:v>
      </x:c>
      <x:c r="P459" s="28" t="str">
        <x:v>комплементарность ароматических семейств, вкусовой контраст и матричный эффект</x:v>
      </x:c>
      <x:c r="Q459" s="28" t="str">
        <x:v>Сладость и кислота фрукта смягчают остроту и горечь специи, а пряный компонент удлиняет ароматическое послевкусие.</x:v>
      </x:c>
      <x:c r="R459" s="28" t="str">
        <x:v>слабый; партнёр: выраженный: жжение, тепло или покалывание</x:v>
      </x:c>
      <x:c r="S459" s="28" t="str">
        <x:v>сочная пектиновая; сочетает поведение сливы и абрикоса. Партнёр: гидрофобные молекулы хорошо переходят в жир и этанол.</x:v>
      </x:c>
      <x:c r="T459" s="28" t="str">
        <x:v>нагрев усиливает джемовые ноты; холодная обработка лучше сохраняет цветочность. Краткая инфузия сохраняет детализацию; длительный нагрев и настаивание повышают горечь и остроту.</x:v>
      </x:c>
      <x:c r="U459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Белый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пектиновая; сочетает поведение сливы и абрикоса. Партнёр: гидрофобные молекулы хорошо переходят в жир и этанол. Обработка: нагрев усиливает джемовые ноты; холодная обработка лучше сохраняет цветочность. Краткая инфузия сохраняет детализацию; длительный нагрев и настаивание повышают горечь и остроту.</x:v>
      </x:c>
      <x:c r="V459" s="28" t="str">
        <x:v>сортовая вариативность очень высокая; рецептуру нужно настраивать по партии. Специя легко доминирует; начинайте с низкой дозировки и учитывайте рост остроты после выдержки.</x:v>
      </x:c>
      <x:c r="W459" s="28" t="str">
        <x:v>мёд, цитрус или миндаль</x:v>
      </x:c>
      <x:c r="X459" s="28" t="str">
        <x:v>напиток, соус, десерт или горячее блюдо после пробной дегустации</x:v>
      </x:c>
      <x:c r="Y459" s="28" t="str">
        <x:v>напитки; еда; десерты; соусы/маринады</x:v>
      </x:c>
      <x:c r="Z459" s="28" t="str">
        <x:v>Средняя</x:v>
      </x:c>
      <x:c r="AA459" s="28" t="str">
        <x:v>The Art &amp; Science of Foodpairing.pdf</x:v>
      </x:c>
      <x:c r="AB459" s="28" t="str">
        <x:v>The Art &amp; Science of Foodpairing.pdf: 274</x:v>
      </x:c>
      <x:c r="AC459" s="28" t="str">
        <x:v>Ингредиент «plumcot» указан на странице профиля/сетки сочетаний «White peppercorn».</x:v>
      </x:c>
      <x:c r="AD459" s="28" t="n">
        <x:v>1</x:v>
      </x:c>
      <x:c r="AE459" s="28" t="n">
        <x:v>1</x:v>
      </x:c>
      <x:c r="AF459" s="28" t="n">
        <x:f>IF(Z459="Высокая",3,IF(Z459="Средняя",2,1))+AD459*2+MIN(AE459,3)</x:f>
        <x:v>5</x:v>
      </x:c>
    </x:row>
    <x:row r="460" ht="62" customHeight="1">
      <x:c r="A460" s="28" t="str">
        <x:v>STN-0459</x:v>
      </x:c>
      <x:c r="B460" s="28" t="str">
        <x:v>плюмкот</x:v>
      </x:c>
      <x:c r="C460" s="28" t="str">
        <x:v>Универсальные</x:v>
      </x:c>
      <x:c r="D460" s="28" t="str">
        <x:v>плюмкот</x:v>
      </x:c>
      <x:c r="E460" s="28" t="str">
        <x:v>plumcot</x:v>
      </x:c>
      <x:c r="F460" s="28" t="str">
        <x:v>Гибридные косточковые фрукты</x:v>
      </x:c>
      <x:c r="G460" s="28" t="str">
        <x:v>киви</x:v>
      </x:c>
      <x:c r="H460" s="28" t="str">
        <x:v>Kiwi</x:v>
      </x:c>
      <x:c r="I460" s="28" t="str">
        <x:v>Тропические и субтропические фрукты</x:v>
      </x:c>
      <x:c r="J460" s="28" t="str">
        <x:v>сливово-персиковый, цветочный, винный и сливочно-лактонный</x:v>
      </x:c>
      <x:c r="K460" s="28" t="str">
        <x:v>зелёный, травянистый, цитрусовый, фруктовый и слегка морской</x:v>
      </x:c>
      <x:c r="L460" s="28" t="str">
        <x:v>лактоны, фруктовые эфиры, линалоол, бензальдегид, C6-альдегиды</x:v>
      </x:c>
      <x:c r="M460" s="28" t="str">
        <x:v>гексаналь, (E)-2-гексеналь, этилбутират, метилбутират, линалоол; фермент актинидин</x:v>
      </x:c>
      <x:c r="N460" s="28" t="str">
        <x:v>прямое семейное перекрытие не является главным механизмом</x:v>
      </x:c>
      <x:c r="O460" s="28" t="str">
        <x:v>линалоол</x:v>
      </x:c>
      <x:c r="P460" s="28" t="str">
        <x:v>прямое или классовое перекрытие характерных одорантов + вкусовой баланс</x:v>
      </x:c>
      <x:c r="Q460" s="28" t="str">
        <x:v>Базовый фрукт даёт: сладость с выраженной фруктовой кислотностью; баланс зависит от сорта. Партнёр добавляет: высокая кислотность, сладость и выраженная свежесть. Баланс корректируется сахаром, кислотой, солью и горечью.</x:v>
      </x:c>
      <x:c r="R460" s="28" t="str">
        <x:v>слабый; партнёр: кислотное покалывание зависит от плода; специальные эффекты указаны в паспорте</x:v>
      </x:c>
      <x:c r="S460" s="28" t="str">
        <x:v>сочная пектиновая; сочетает поведение сливы и абрикоса. Партнёр: водная; содержит протеазу актинидин и кристаллы оксалата кальция.</x:v>
      </x:c>
      <x:c r="T460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U460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Киви относится к группе «Тропические и субтропические фрукты» и даёт профиль «зелёный, травянистый, цитрусовый, фруктовый и слегка морской»; типичные соединения или классы: гексаналь, (E)-2-гексеналь, этилбутират, метилбутират, линалоол; фермент актинидин. В рабочих профилях пересекаются: линалоол. Базовый фрукт даёт: сладость с выраженной фруктовой кислотностью; баланс зависит от сорта. Партнёр добавляет: высокая кислотность, сладость и выраженная свежесть. Баланс корректируется сахаром, кислотой, солью и горечью. Матрица пары: сочная пектиновая; сочетает поведение сливы и абрикоса. Партнёр: водная; содержит протеазу актинидин и кристаллы оксалата кальция.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V460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W460" s="28" t="str">
        <x:v>мёд, цитрус или нейтральная жировая основа</x:v>
      </x:c>
      <x:c r="X460" s="28" t="str">
        <x:v>напиток, соус, десерт или горячее блюдо после пробной дегустации</x:v>
      </x:c>
      <x:c r="Y460" s="28" t="str">
        <x:v>напитки; еда; десерты; соусы/маринады</x:v>
      </x:c>
      <x:c r="Z460" s="28" t="str">
        <x:v>Средняя</x:v>
      </x:c>
      <x:c r="AA460" s="28" t="str">
        <x:v>The Art &amp; Science of Foodpairing.pdf</x:v>
      </x:c>
      <x:c r="AB460" s="28" t="str">
        <x:v>The Art &amp; Science of Foodpairing.pdf: 42</x:v>
      </x:c>
      <x:c r="AC460" s="28" t="str">
        <x:v>Ингредиент «plumcot» указан на странице профиля/сетки сочетаний «Kiwi».</x:v>
      </x:c>
      <x:c r="AD460" s="28" t="n">
        <x:v>1</x:v>
      </x:c>
      <x:c r="AE460" s="28" t="n">
        <x:v>1</x:v>
      </x:c>
      <x:c r="AF460" s="28" t="n">
        <x:f>IF(Z460="Высокая",3,IF(Z460="Средняя",2,1))+AD460*2+MIN(AE460,3)</x:f>
        <x:v>5</x:v>
      </x:c>
    </x:row>
    <x:row r="461" ht="62" customHeight="1">
      <x:c r="A461" s="28" t="str">
        <x:v>STN-0460</x:v>
      </x:c>
      <x:c r="B461" s="28" t="str">
        <x:v>плюмкот</x:v>
      </x:c>
      <x:c r="C461" s="28" t="str">
        <x:v>Универсальные</x:v>
      </x:c>
      <x:c r="D461" s="28" t="str">
        <x:v>плюмкот</x:v>
      </x:c>
      <x:c r="E461" s="28" t="str">
        <x:v>plumcot</x:v>
      </x:c>
      <x:c r="F461" s="28" t="str">
        <x:v>Гибридные косточковые фрукты</x:v>
      </x:c>
      <x:c r="G461" s="28" t="str">
        <x:v>красный сладкий перец</x:v>
      </x:c>
      <x:c r="H461" s="28" t="str">
        <x:v>Red bell pepper</x:v>
      </x:c>
      <x:c r="I461" s="28" t="str">
        <x:v>Специи</x:v>
      </x:c>
      <x:c r="J461" s="28" t="str">
        <x:v>сливово-персиковый, цветочный, винный и сливочно-лактонный</x:v>
      </x:c>
      <x:c r="K461" s="28" t="str">
        <x:v>древесный, пряный, тёплый</x:v>
      </x:c>
      <x:c r="L461" s="28" t="str">
        <x:v>лактоны, фруктовые эфиры, линалоол, бензальдегид, C6-альдегиды</x:v>
      </x:c>
      <x:c r="M461" s="28" t="str">
        <x:v>коричный альдегид, терпены, эвгенол</x:v>
      </x:c>
      <x:c r="N461" s="28" t="str">
        <x:v>прямое семейное перекрытие не является главным механизмом</x:v>
      </x:c>
      <x:c r="O461" s="28" t="str">
        <x:v>надёжный единичный общий маркер не подтверждён; механизм не сводится к одной молекуле</x:v>
      </x:c>
      <x:c r="P461" s="28" t="str">
        <x:v>комплементарность ароматических семейств, вкусовой контраст и матричный эффект</x:v>
      </x:c>
      <x:c r="Q461" s="28" t="str">
        <x:v>Базовый фрукт даёт: сладость с выраженной фруктовой кислотностью; баланс зависит от сорта. Партнёр добавляет: пряный, иногда горький. Баланс корректируется сахаром, кислотой, солью и горечью.</x:v>
      </x:c>
      <x:c r="R461" s="28" t="str">
        <x:v>слабый; партнёр: обычно отсутствует; зависит от конкретного продукта</x:v>
      </x:c>
      <x:c r="S461" s="28" t="str">
        <x:v>сочная пектиновая; сочетает поведение сливы и абрикоса. Партнёр: эфирные масла хорошо извлекаются спиртом и жиром.</x:v>
      </x:c>
      <x:c r="T461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461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Красный сладкий перец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пряный, иногда горький. Баланс корректируется сахаром, кислотой, солью и горечью. Матрица пары: сочная пектиновая; сочетает поведение сливы и абрикоса. Партнёр: эфирные масла хорошо извлекаются спиртом и жиром.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461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W461" s="28" t="str">
        <x:v>мёд, цитрус или нейтральная жировая основа</x:v>
      </x:c>
      <x:c r="X461" s="28" t="str">
        <x:v>напиток, соус, десерт или горячее блюдо после пробной дегустации</x:v>
      </x:c>
      <x:c r="Y461" s="28" t="str">
        <x:v>напитки; еда; десерты; соусы/маринады</x:v>
      </x:c>
      <x:c r="Z461" s="28" t="str">
        <x:v>Средняя</x:v>
      </x:c>
      <x:c r="AA461" s="28" t="str">
        <x:v>The Art &amp; Science of Foodpairing.pdf</x:v>
      </x:c>
      <x:c r="AB461" s="28" t="str">
        <x:v>The Art &amp; Science of Foodpairing.pdf: 109</x:v>
      </x:c>
      <x:c r="AC461" s="28" t="str">
        <x:v>Ингредиент «plumcot» указан на странице профиля/сетки сочетаний «Red bell pepper».</x:v>
      </x:c>
      <x:c r="AD461" s="28" t="n">
        <x:v>1</x:v>
      </x:c>
      <x:c r="AE461" s="28" t="n">
        <x:v>1</x:v>
      </x:c>
      <x:c r="AF461" s="28" t="n">
        <x:f>IF(Z461="Высокая",3,IF(Z461="Средняя",2,1))+AD461*2+MIN(AE461,3)</x:f>
        <x:v>5</x:v>
      </x:c>
    </x:row>
    <x:row r="462" ht="62" customHeight="1">
      <x:c r="A462" s="28" t="str">
        <x:v>STN-0461</x:v>
      </x:c>
      <x:c r="B462" s="28" t="str">
        <x:v>плюмкот</x:v>
      </x:c>
      <x:c r="C462" s="28" t="str">
        <x:v>Еда и соусы</x:v>
      </x:c>
      <x:c r="D462" s="28" t="str">
        <x:v>плюмкот</x:v>
      </x:c>
      <x:c r="E462" s="28" t="str">
        <x:v>plumcot</x:v>
      </x:c>
      <x:c r="F462" s="28" t="str">
        <x:v>Гибридные косточковые фрукты</x:v>
      </x:c>
      <x:c r="G462" s="28" t="str">
        <x:v>пармиджано-реджано</x:v>
      </x:c>
      <x:c r="H462" s="28" t="str">
        <x:v>Parmigiano~Reggiano</x:v>
      </x:c>
      <x:c r="I462" s="28" t="str">
        <x:v>Рыба и морепродукты</x:v>
      </x:c>
      <x:c r="J462" s="28" t="str">
        <x:v>сливово-персиковый, цветочный, винный и сливочно-лактонный</x:v>
      </x:c>
      <x:c r="K462" s="28" t="str">
        <x:v>жирный, морской, умами</x:v>
      </x:c>
      <x:c r="L462" s="28" t="str">
        <x:v>лактоны, фруктовые эфиры, линалоол, бензальдегид, C6-альдегиды</x:v>
      </x:c>
      <x:c r="M462" s="28" t="str">
        <x:v>альдегиды, амины, сернистые соединения</x:v>
      </x:c>
      <x:c r="N462" s="28" t="str">
        <x:v>прямое семейное перекрытие не является главным механизмом</x:v>
      </x:c>
      <x:c r="O462" s="28" t="str">
        <x:v>надёжный единичный общий маркер не подтверждён; механизм не сводится к одной молекуле</x:v>
      </x:c>
      <x:c r="P462" s="28" t="str">
        <x:v>комплементарность ароматических семейств, вкусовой контраст и матричный эффект</x:v>
      </x:c>
      <x:c r="Q462" s="28" t="str">
        <x:v>Кислотность повышает свежесть и слюноотделение, а фруктовая сладость смягчает соль и морские ноты; дозировка должна оставаться умеренной.</x:v>
      </x:c>
      <x:c r="R462" s="28" t="str">
        <x:v>слабый; партнёр: обычно отсутствует; зависит от конкретного продукта</x:v>
      </x:c>
      <x:c r="S462" s="28" t="str">
        <x:v>сочная пектиновая; сочетает поведение сливы и абрикоса. Партнёр: белковая/жировая матрица; кислота снижает рыбные ноты.</x:v>
      </x:c>
      <x:c r="T462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462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Пармиджано-реджано относится к группе «Рыба и морепродукты» и даёт профиль «жирный, морской, умами»; типичные соединения или классы: альдегиды, амины,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пектиновая; сочетает поведение сливы и абрикоса. Партнёр: белковая/жировая матрица; кислота снижает рыбные ноты.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462" s="28" t="str">
        <x:v>сортовая вариативность очень высокая; рецептуру нужно настраивать по партии. Сильная сладость и длительный контакт с кислотой могут замаскировать морской вкус и изменить белковую текстуру.</x:v>
      </x:c>
      <x:c r="W462" s="28" t="str">
        <x:v>цитрус, укроп или оливковое масло</x:v>
      </x:c>
      <x:c r="X462" s="28" t="str">
        <x:v>соус, глазировка, чатни, маринад, гарнир или основное блюдо</x:v>
      </x:c>
      <x:c r="Y462" s="28" t="str">
        <x:v>еда; соусы/маринады</x:v>
      </x:c>
      <x:c r="Z462" s="28" t="str">
        <x:v>Средняя</x:v>
      </x:c>
      <x:c r="AA462" s="28" t="str">
        <x:v>The Art &amp; Science of Foodpairing.pdf</x:v>
      </x:c>
      <x:c r="AB462" s="28" t="str">
        <x:v>The Art &amp; Science of Foodpairing.pdf: 283</x:v>
      </x:c>
      <x:c r="AC462" s="28" t="str">
        <x:v>Ингредиент «plumcot» указан на странице профиля/сетки сочетаний «Parmigiano~Reggiano».</x:v>
      </x:c>
      <x:c r="AD462" s="28" t="n">
        <x:v>1</x:v>
      </x:c>
      <x:c r="AE462" s="28" t="n">
        <x:v>1</x:v>
      </x:c>
      <x:c r="AF462" s="28" t="n">
        <x:f>IF(Z462="Высокая",3,IF(Z462="Средняя",2,1))+AD462*2+MIN(AE462,3)</x:f>
        <x:v>5</x:v>
      </x:c>
    </x:row>
    <x:row r="463" ht="62" customHeight="1">
      <x:c r="A463" s="28" t="str">
        <x:v>STN-0462</x:v>
      </x:c>
      <x:c r="B463" s="28" t="str">
        <x:v>плюмкот</x:v>
      </x:c>
      <x:c r="C463" s="28" t="str">
        <x:v>Десерты и выпечка</x:v>
      </x:c>
      <x:c r="D463" s="28" t="str">
        <x:v>плюмкот</x:v>
      </x:c>
      <x:c r="E463" s="28" t="str">
        <x:v>plumcot</x:v>
      </x:c>
      <x:c r="F463" s="28" t="str">
        <x:v>Гибридные косточковые фрукты</x:v>
      </x:c>
      <x:c r="G463" s="28" t="str">
        <x:v>паста из твердых сортов пшеницы</x:v>
      </x:c>
      <x:c r="H463" s="28" t="str">
        <x:v>Cooked durum pasta</x:v>
      </x:c>
      <x:c r="I463" s="28" t="str">
        <x:v>Злаки и выпечка</x:v>
      </x:c>
      <x:c r="J463" s="28" t="str">
        <x:v>сливово-персиковый, цветочный, винный и сливочно-лактонный</x:v>
      </x:c>
      <x:c r="K463" s="28" t="str">
        <x:v>хлебный, зерновой, жареный, сливочный</x:v>
      </x:c>
      <x:c r="L463" s="28" t="str">
        <x:v>лактоны, фруктовые эфиры, линалоол, бензальдегид, C6-альдегиды</x:v>
      </x:c>
      <x:c r="M463" s="28" t="str">
        <x:v>пиразины, фураны, мальтол, продукты Майяра</x:v>
      </x:c>
      <x:c r="N463" s="28" t="str">
        <x:v>прямое семейное перекрытие не является главным механизмом</x:v>
      </x:c>
      <x:c r="O463" s="28" t="str">
        <x:v>надёжный единичный общий маркер не подтверждён; механизм не сводится к одной молекуле</x:v>
      </x:c>
      <x:c r="P463" s="28" t="str">
        <x:v>комплементарность ароматических семейств, вкусовой контраст и матричный эффект</x:v>
      </x:c>
      <x:c r="Q463" s="28" t="str">
        <x:v>Базовый фрукт даёт: сладость с выраженной фруктовой кислотностью; баланс зависит от сорта. Партнёр добавляет: крахмал, сладость и соль. Баланс корректируется сахаром, кислотой, солью и горечью.</x:v>
      </x:c>
      <x:c r="R463" s="28" t="str">
        <x:v>слабый; партнёр: нет выраженного</x:v>
      </x:c>
      <x:c r="S463" s="28" t="str">
        <x:v>сочная пектиновая; сочетает поведение сливы и абрикоса. Партнёр: крахмальная матрица приглушает кислоту и распределяет аромат.</x:v>
      </x:c>
      <x:c r="T463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U463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Паста из твердых сортов пшеницы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крахмал, сладость и соль. Баланс корректируется сахаром, кислотой, солью и горечью. Матрица пары: сочная пектиновая; сочетает поведение сливы и абрикоса. Партнёр: крахмальная матрица приглушает кислоту и распределяет аромат.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V463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W463" s="28" t="str">
        <x:v>сливочное масло, ваниль или орех</x:v>
      </x:c>
      <x:c r="X463" s="28" t="str">
        <x:v>тарт, крем, мороженое, выпечка, сырная подача или начинка</x:v>
      </x:c>
      <x:c r="Y463" s="28" t="str">
        <x:v>десерты; еда</x:v>
      </x:c>
      <x:c r="Z463" s="28" t="str">
        <x:v>Средняя</x:v>
      </x:c>
      <x:c r="AA463" s="28" t="str">
        <x:v>The Art &amp; Science of Foodpairing.pdf</x:v>
      </x:c>
      <x:c r="AB463" s="28" t="str">
        <x:v>The Art &amp; Science of Foodpairing.pdf: 324</x:v>
      </x:c>
      <x:c r="AC463" s="28" t="str">
        <x:v>Ингредиент «plumcot» указан на странице профиля/сетки сочетаний «Cooked durum pasta».</x:v>
      </x:c>
      <x:c r="AD463" s="28" t="n">
        <x:v>1</x:v>
      </x:c>
      <x:c r="AE463" s="28" t="n">
        <x:v>1</x:v>
      </x:c>
      <x:c r="AF463" s="28" t="n">
        <x:f>IF(Z463="Высокая",3,IF(Z463="Средняя",2,1))+AD463*2+MIN(AE463,3)</x:f>
        <x:v>5</x:v>
      </x:c>
    </x:row>
    <x:row r="464" ht="62" customHeight="1">
      <x:c r="A464" s="28" t="str">
        <x:v>STN-0463</x:v>
      </x:c>
      <x:c r="B464" s="28" t="str">
        <x:v>плюмкот</x:v>
      </x:c>
      <x:c r="C464" s="28" t="str">
        <x:v>Универсальные</x:v>
      </x:c>
      <x:c r="D464" s="28" t="str">
        <x:v>плюмкот</x:v>
      </x:c>
      <x:c r="E464" s="28" t="str">
        <x:v>plumcot</x:v>
      </x:c>
      <x:c r="F464" s="28" t="str">
        <x:v>Гибридные косточковые фрукты</x:v>
      </x:c>
      <x:c r="G464" s="28" t="str">
        <x:v>свиная корейка</x:v>
      </x:c>
      <x:c r="H464" s="28" t="str">
        <x:v>Pork loin chop</x:v>
      </x:c>
      <x:c r="I464" s="28" t="str">
        <x:v>Прочее</x:v>
      </x:c>
      <x:c r="J464" s="28" t="str">
        <x:v>сливово-персиковый, цветочный, винный и сливочно-лактонный</x:v>
      </x:c>
      <x:c r="K464" s="28" t="str">
        <x:v>комплексный профиль, зависящий от продукта</x:v>
      </x:c>
      <x:c r="L464" s="28" t="str">
        <x:v>лактоны, фруктовые эфиры, линалоол, бензальдегид, C6-альдегиды</x:v>
      </x:c>
      <x:c r="M464" s="28" t="str">
        <x:v>нужен профиль конкретного ингредиента</x:v>
      </x:c>
      <x:c r="N464" s="28" t="str">
        <x:v>прямое семейное перекрытие не является главным механизмом</x:v>
      </x:c>
      <x:c r="O464" s="28" t="str">
        <x:v>надёжный единичный общий маркер не подтверждён; механизм не сводится к одной молекуле</x:v>
      </x:c>
      <x:c r="P464" s="28" t="str">
        <x:v>комплементарность ароматических семейств, вкусовой контраст и матричный эффект</x:v>
      </x:c>
      <x:c r="Q464" s="28" t="str">
        <x:v>Базовый фрукт даёт: сладость с выраженной фруктовой кислотностью; баланс зависит от сорта. Партнёр добавляет: баланс зависит от продукта. Баланс корректируется сахаром, кислотой, солью и горечью.</x:v>
      </x:c>
      <x:c r="R464" s="28" t="str">
        <x:v>слабый; партнёр: нет данных</x:v>
      </x:c>
      <x:c r="S464" s="28" t="str">
        <x:v>сочная пектиновая; сочетает поведение сливы и абрикоса. Партнёр: матрица зависит от формы продукта.</x:v>
      </x:c>
      <x:c r="T464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U464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баланс зависит от продукта. Баланс корректируется сахаром, кислотой, солью и горечью. Матрица пары: сочная пектиновая; сочетает поведение сливы и абрикоса. Партнёр: матрица зависит от формы продукта.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V464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W464" s="28" t="str">
        <x:v>мёд, цитрус или нейтральная жировая основа</x:v>
      </x:c>
      <x:c r="X464" s="28" t="str">
        <x:v>напиток, соус, десерт или горячее блюдо после пробной дегустации</x:v>
      </x:c>
      <x:c r="Y464" s="28" t="str">
        <x:v>напитки; еда; десерты; соусы/маринады</x:v>
      </x:c>
      <x:c r="Z464" s="28" t="str">
        <x:v>Средняя</x:v>
      </x:c>
      <x:c r="AA464" s="28" t="str">
        <x:v>The Art &amp; Science of Foodpairing.pdf</x:v>
      </x:c>
      <x:c r="AB464" s="28" t="str">
        <x:v>The Art &amp; Science of Foodpairing.pdf: 187</x:v>
      </x:c>
      <x:c r="AC464" s="28" t="str">
        <x:v>Ингредиент «plumcot» указан на странице профиля/сетки сочетаний «Pork loin chop».</x:v>
      </x:c>
      <x:c r="AD464" s="28" t="n">
        <x:v>1</x:v>
      </x:c>
      <x:c r="AE464" s="28" t="n">
        <x:v>1</x:v>
      </x:c>
      <x:c r="AF464" s="28" t="n">
        <x:f>IF(Z464="Высокая",3,IF(Z464="Средняя",2,1))+AD464*2+MIN(AE464,3)</x:f>
        <x:v>5</x:v>
      </x:c>
    </x:row>
    <x:row r="465" ht="62" customHeight="1">
      <x:c r="A465" s="28" t="str">
        <x:v>STN-0464</x:v>
      </x:c>
      <x:c r="B465" s="28" t="str">
        <x:v>плюмкот</x:v>
      </x:c>
      <x:c r="C465" s="28" t="str">
        <x:v>Универсальные</x:v>
      </x:c>
      <x:c r="D465" s="28" t="str">
        <x:v>плюмкот</x:v>
      </x:c>
      <x:c r="E465" s="28" t="str">
        <x:v>plumcot</x:v>
      </x:c>
      <x:c r="F465" s="28" t="str">
        <x:v>Гибридные косточковые фрукты</x:v>
      </x:c>
      <x:c r="G465" s="28" t="str">
        <x:v>цветы жасмина</x:v>
      </x:c>
      <x:c r="H465" s="28" t="str">
        <x:v>Jasmine blossom</x:v>
      </x:c>
      <x:c r="I465" s="28" t="str">
        <x:v>Травы и цветы</x:v>
      </x:c>
      <x:c r="J465" s="28" t="str">
        <x:v>сливово-персиковый, цветочный, винный и сливочно-лактонный</x:v>
      </x:c>
      <x:c r="K465" s="28" t="str">
        <x:v>зелёный, травянистый, цветочный</x:v>
      </x:c>
      <x:c r="L465" s="28" t="str">
        <x:v>лактоны, фруктовые эфиры, линалоол, бензальдегид, C6-альдегиды</x:v>
      </x:c>
      <x:c r="M465" s="28" t="str">
        <x:v>гераниол, линалоол, терпены, эвгенол</x:v>
      </x:c>
      <x:c r="N465" s="28" t="str">
        <x:v>цветочный</x:v>
      </x:c>
      <x:c r="O465" s="28" t="str">
        <x:v>линалоол</x:v>
      </x:c>
      <x:c r="P465" s="28" t="str">
        <x:v>прямое или классовое перекрытие характерных одорантов + вкусовой баланс</x:v>
      </x:c>
      <x:c r="Q465" s="28" t="str">
        <x:v>Базовый фрукт даёт: сладость с выраженной фруктовой кислотностью; баланс зависит от сорта. Партнёр добавляет: горьковатый, свежий. Баланс корректируется сахаром, кислотой, солью и горечью.</x:v>
      </x:c>
      <x:c r="R465" s="28" t="str">
        <x:v>слабый; партнёр: обычно отсутствует; зависит от конкретного продукта</x:v>
      </x:c>
      <x:c r="S465" s="28" t="str">
        <x:v>сочная пектиновая; сочетает поведение сливы и абрикоса. Партнёр: летучие масла чувствительны к нагреву.</x:v>
      </x:c>
      <x:c r="T465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465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Цветы жасмина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цветочный. Базовый фрукт даёт: сладость с выраженной фруктовой кислотностью; баланс зависит от сорта. Партнёр добавляет: горьковатый, свежий. Баланс корректируется сахаром, кислотой, солью и горечью. Матрица пары: сочная пектиновая; сочетает поведение сливы и абрикоса. Партнёр: летучие масла чувствительны к нагреву.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465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W465" s="28" t="str">
        <x:v>мёд, цитрус или нейтральная жировая основа</x:v>
      </x:c>
      <x:c r="X465" s="28" t="str">
        <x:v>напиток, соус, десерт или горячее блюдо после пробной дегустации</x:v>
      </x:c>
      <x:c r="Y465" s="28" t="str">
        <x:v>напитки; еда; десерты; соусы/маринады</x:v>
      </x:c>
      <x:c r="Z465" s="28" t="str">
        <x:v>Средняя</x:v>
      </x:c>
      <x:c r="AA465" s="28" t="str">
        <x:v>The Art &amp; Science of Foodpairing.pdf</x:v>
      </x:c>
      <x:c r="AB465" s="28" t="str">
        <x:v>The Art &amp; Science of Foodpairing.pdf: 211</x:v>
      </x:c>
      <x:c r="AC465" s="28" t="str">
        <x:v>Ингредиент «plumcot» указан на странице профиля/сетки сочетаний «Jasmine blossom».</x:v>
      </x:c>
      <x:c r="AD465" s="28" t="n">
        <x:v>1</x:v>
      </x:c>
      <x:c r="AE465" s="28" t="n">
        <x:v>1</x:v>
      </x:c>
      <x:c r="AF465" s="28" t="n">
        <x:f>IF(Z465="Высокая",3,IF(Z465="Средняя",2,1))+AD465*2+MIN(AE465,3)</x:f>
        <x:v>5</x:v>
      </x:c>
    </x:row>
    <x:row r="466" ht="62" customHeight="1">
      <x:c r="A466" s="28" t="str">
        <x:v>STN-0465</x:v>
      </x:c>
      <x:c r="B466" s="28" t="str">
        <x:v>плюмкот</x:v>
      </x:c>
      <x:c r="C466" s="28" t="str">
        <x:v>Еда и соусы</x:v>
      </x:c>
      <x:c r="D466" s="28" t="str">
        <x:v>плюмкот</x:v>
      </x:c>
      <x:c r="E466" s="28" t="str">
        <x:v>plumcot</x:v>
      </x:c>
      <x:c r="F466" s="28" t="str">
        <x:v>Гибридные косточковые фрукты</x:v>
      </x:c>
      <x:c r="G466" s="28" t="str">
        <x:v>черный трюфель</x:v>
      </x:c>
      <x:c r="H466" s="28" t="str">
        <x:v>Black truffle</x:v>
      </x:c>
      <x:c r="I466" s="28" t="str">
        <x:v>Грибы и трюфели</x:v>
      </x:c>
      <x:c r="J466" s="28" t="str">
        <x:v>сливово-персиковый, цветочный, винный и сливочно-лактонный</x:v>
      </x:c>
      <x:c r="K466" s="28" t="str">
        <x:v>землистый, грибной, ореховый и умами</x:v>
      </x:c>
      <x:c r="L466" s="28" t="str">
        <x:v>лактоны, фруктовые эфиры, линалоол, бензальдегид, C6-альдегиды</x:v>
      </x:c>
      <x:c r="M466" s="28" t="str">
        <x:v>1-октен-3-ол, 1-октен-3-он, сернистые соединения</x:v>
      </x:c>
      <x:c r="N466" s="28" t="str">
        <x:v>прямое семейное перекрытие не является главным механизмом</x:v>
      </x:c>
      <x:c r="O466" s="28" t="str">
        <x:v>надёжный единичный общий маркер не подтверждён; механизм не сводится к одной молекуле</x:v>
      </x:c>
      <x:c r="P466" s="28" t="str">
        <x:v>комплементарность ароматических семейств, вкусовой контраст и матричный эффект</x:v>
      </x:c>
      <x:c r="Q466" s="28" t="str">
        <x:v>Базовый фрукт даёт: сладость с выраженной фруктовой кислотностью; баланс зависит от сорта. Партнёр добавляет: умами и лёгкая горечь. Баланс корректируется сахаром, кислотой, солью и горечью.</x:v>
      </x:c>
      <x:c r="R466" s="28" t="str">
        <x:v>слабый; партнёр: нет выраженного</x:v>
      </x:c>
      <x:c r="S466" s="28" t="str">
        <x:v>сочная пектиновая; сочетает поведение сливы и абрикоса. Партнёр: вода и клетчатка; обжарка создаёт новые жареные молекулы.</x:v>
      </x:c>
      <x:c r="T466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U466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Черный трюфель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умами и лёгкая горечь. Баланс корректируется сахаром, кислотой, солью и горечью. Матрица пары: сочная пектиновая; сочетает поведение сливы и абрикоса. Партнёр: вода и клетчатка; обжарка создаёт новые жареные молекулы.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V466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W466" s="28" t="str">
        <x:v>сливочное масло, тимьян или твёрдый сыр</x:v>
      </x:c>
      <x:c r="X466" s="28" t="str">
        <x:v>соус, глазировка, чатни, маринад, гарнир или основное блюдо</x:v>
      </x:c>
      <x:c r="Y466" s="28" t="str">
        <x:v>еда; соусы/маринады</x:v>
      </x:c>
      <x:c r="Z466" s="28" t="str">
        <x:v>Средняя</x:v>
      </x:c>
      <x:c r="AA466" s="28" t="str">
        <x:v>The Art &amp; Science of Foodpairing.pdf</x:v>
      </x:c>
      <x:c r="AB466" s="28" t="str">
        <x:v>The Art &amp; Science of Foodpairing.pdf: 193</x:v>
      </x:c>
      <x:c r="AC466" s="28" t="str">
        <x:v>Ингредиент «plumcot» указан на странице профиля/сетки сочетаний «Black truffle».</x:v>
      </x:c>
      <x:c r="AD466" s="28" t="n">
        <x:v>1</x:v>
      </x:c>
      <x:c r="AE466" s="28" t="n">
        <x:v>1</x:v>
      </x:c>
      <x:c r="AF466" s="28" t="n">
        <x:f>IF(Z466="Высокая",3,IF(Z466="Средняя",2,1))+AD466*2+MIN(AE466,3)</x:f>
        <x:v>5</x:v>
      </x:c>
    </x:row>
    <x:row r="467" ht="62" customHeight="1">
      <x:c r="A467" s="28" t="str">
        <x:v>STN-0466</x:v>
      </x:c>
      <x:c r="B467" s="28" t="str">
        <x:v>плюмкот</x:v>
      </x:c>
      <x:c r="C467" s="28" t="str">
        <x:v>Универсальные</x:v>
      </x:c>
      <x:c r="D467" s="28" t="str">
        <x:v>плюмкот</x:v>
      </x:c>
      <x:c r="E467" s="28" t="str">
        <x:v>plumcot</x:v>
      </x:c>
      <x:c r="F467" s="28" t="str">
        <x:v>Гибридные косточковые фрукты</x:v>
      </x:c>
      <x:c r="G467" s="28" t="str">
        <x:v>шиитаке</x:v>
      </x:c>
      <x:c r="H467" s="28" t="str">
        <x:v>Shiitake mushroom</x:v>
      </x:c>
      <x:c r="I467" s="28" t="str">
        <x:v>Прочее</x:v>
      </x:c>
      <x:c r="J467" s="28" t="str">
        <x:v>сливово-персиковый, цветочный, винный и сливочно-лактонный</x:v>
      </x:c>
      <x:c r="K467" s="28" t="str">
        <x:v>комплексный</x:v>
      </x:c>
      <x:c r="L467" s="28" t="str">
        <x:v>лактоны, фруктовые эфиры, линалоол, бензальдегид, C6-альдегиды</x:v>
      </x:c>
      <x:c r="M467" s="28" t="str">
        <x:v>не конкретизированы</x:v>
      </x:c>
      <x:c r="N467" s="28" t="str">
        <x:v>прямое семейное перекрытие не является главным механизмом</x:v>
      </x:c>
      <x:c r="O467" s="28" t="str">
        <x:v>надёжный единичный общий маркер не подтверждён; механизм не сводится к одной молекуле</x:v>
      </x:c>
      <x:c r="P467" s="28" t="str">
        <x:v>комплементарность ароматических семейств, вкусовой контраст и матричный эффект</x:v>
      </x:c>
      <x:c r="Q467" s="28" t="str">
        <x:v>Базовый фрукт даёт: сладость с выраженной фруктовой кислотностью; баланс зависит от сорта. Партнёр добавляет: зависит от ингредиента. Баланс корректируется сахаром, кислотой, солью и горечью.</x:v>
      </x:c>
      <x:c r="R467" s="28" t="str">
        <x:v>слабый; партнёр: обычно отсутствует; зависит от конкретного продукта</x:v>
      </x:c>
      <x:c r="S467" s="28" t="str">
        <x:v>сочная пектиновая; сочетает поведение сливы и абрикоса. Партнёр: механизм зависит от конкретного продукта.</x:v>
      </x:c>
      <x:c r="T467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U467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Шиитаке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зависит от ингредиента. Баланс корректируется сахаром, кислотой, солью и горечью. Матрица пары: сочная пектиновая; сочетает поведение сливы и абрикоса. Партнёр: механизм зависит от конкретного продукта.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V467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W467" s="28" t="str">
        <x:v>мёд, цитрус или нейтральная жировая основа</x:v>
      </x:c>
      <x:c r="X467" s="28" t="str">
        <x:v>напиток, соус, десерт или горячее блюдо после пробной дегустации</x:v>
      </x:c>
      <x:c r="Y467" s="28" t="str">
        <x:v>напитки; еда; десерты; соусы/маринады</x:v>
      </x:c>
      <x:c r="Z467" s="28" t="str">
        <x:v>Средняя</x:v>
      </x:c>
      <x:c r="AA467" s="28" t="str">
        <x:v>The Art &amp; Science of Foodpairing.pdf</x:v>
      </x:c>
      <x:c r="AB467" s="28" t="str">
        <x:v>The Art &amp; Science of Foodpairing.pdf: 127</x:v>
      </x:c>
      <x:c r="AC467" s="28" t="str">
        <x:v>Ингредиент «plumcot» указан на странице профиля/сетки сочетаний «Shiitake mushroom».</x:v>
      </x:c>
      <x:c r="AD467" s="28" t="n">
        <x:v>1</x:v>
      </x:c>
      <x:c r="AE467" s="28" t="n">
        <x:v>1</x:v>
      </x:c>
      <x:c r="AF467" s="28" t="n">
        <x:f>IF(Z467="Высокая",3,IF(Z467="Средняя",2,1))+AD467*2+MIN(AE467,3)</x:f>
        <x:v>5</x:v>
      </x:c>
    </x:row>
  </x:sheetData>
  <x:conditionalFormatting sqref="Z2:Z467">
    <x:cfRule type="expression" dxfId="0" priority="1">
      <x:formula>Z2="Высокая"</x:formula>
    </x:cfRule>
    <x:cfRule type="expression" dxfId="1" priority="2">
      <x:formula>Z2="Средняя"</x:formula>
    </x:cfRule>
    <x:cfRule type="expression" dxfId="2" priority="3">
      <x:formula>Z2="Гипотеза / практическая"</x:formula>
    </x:cfRule>
  </x:conditionalFormatting>
  <x:conditionalFormatting sqref="AF2:AF467">
    <x:cfRule type="dataBar" priority="4">
      <x:dataBar>
        <x:cfvo type="min"/>
        <x:cfvo type="max"/>
        <x:color rgb="FFD08B5B"/>
      </x:dataBar>
      <x:extLst>
        <x:ext xmlns:x14="http://schemas.microsoft.com/office/spreadsheetml/2009/9/main" uri="{B025F937-C7B1-47D3-B67F-A62EFF666E3E}">
          <x14:id>{DF4A911C-9963-1714-BF78-39A37F873AD1}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1483ce72b124a4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DF4A911C-9963-1714-BF78-39A37F873AD1}">
            <x14:dataBar gradient="1">
              <x14:cfvo type="min"/>
              <x14:cfvo type="max"/>
              <x14:fillColor rgb="FFD08B5B"/>
            </x14:dataBar>
          </x14:cfRule>
          <xm:sqref>AF2:AF467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5" hidden="0" customWidth="1"/>
    <x:col min="4" max="4" width="30" hidden="0" customWidth="1"/>
    <x:col min="5" max="5" width="26" hidden="0" customWidth="1"/>
    <x:col min="6" max="6" width="36" hidden="0" customWidth="1"/>
    <x:col min="7" max="7" width="66" hidden="0" customWidth="1"/>
    <x:col min="8" max="8" width="52" hidden="0" customWidth="1"/>
    <x:col min="9" max="9" width="52" hidden="0" customWidth="1"/>
    <x:col min="10" max="10" width="46" hidden="0" customWidth="1"/>
    <x:col min="11" max="11" width="22" hidden="0" customWidth="1"/>
    <x:col min="12" max="12" width="39" hidden="0" customWidth="1"/>
    <x:col min="13" max="13" width="46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STN-0001</x:v>
      </x:c>
      <x:c r="B2" s="28" t="str">
        <x:v>абрикос</x:v>
      </x:c>
      <x:c r="C2" s="28" t="str">
        <x:v>абрикос</x:v>
      </x:c>
      <x:c r="D2" s="28" t="str">
        <x:v>ананас</x:v>
      </x:c>
      <x:c r="E2" s="28" t="str">
        <x:v>Тропические фрукты</x:v>
      </x:c>
      <x:c r="F2" s="28" t="str">
        <x:v>комплементарность ароматических семейств, вкусовой контраст и матричный эффект</x:v>
      </x:c>
      <x:c r="G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Ананас относится к группе «Тропические фрукты» и даёт профиль «яркий фруктовый, конфетный, цитрусовый, зелёный и слегка сернистый»; типичные соединения или классы: метилгексаноат, этилгексаноат, этилбутират, метил-3-(метилтио)пропионат и другие сернистые следы.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 и кислотность; лёгкая терпкость сердцевины.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и кислая; содержит протеазу бромелайн, разрушающую белки.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H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I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" s="28" t="str">
        <x:v>напиток, соус, десерт или горячее блюдо после пробной дегустации</x:v>
      </x:c>
      <x:c r="K2" s="28" t="str">
        <x:v>Гипотеза / практическая</x:v>
      </x:c>
      <x:c r="L2" s="28" t="str">
        <x:v>Таблица сочетания(1).pdf</x:v>
      </x:c>
      <x:c r="M2" s="28" t="str">
        <x:v>Таблица сочетания(1).pdf: Таблица сочетаний: 1, 17 | Таблица сочетания(1).pdf: 1 | Таблица сочетания(1).pdf: 17</x:v>
      </x:c>
    </x:row>
    <x:row r="3" ht="64" customHeight="1">
      <x:c r="A3" s="28" t="str">
        <x:v>STN-0002</x:v>
      </x:c>
      <x:c r="B3" s="28" t="str">
        <x:v>абрикос</x:v>
      </x:c>
      <x:c r="C3" s="28" t="str">
        <x:v>абрикос</x:v>
      </x:c>
      <x:c r="D3" s="28" t="str">
        <x:v>апельсин</x:v>
      </x:c>
      <x:c r="E3" s="28" t="str">
        <x:v>Цитрусовые</x:v>
      </x:c>
      <x:c r="F3" s="28" t="str">
        <x:v>прямое или классовое перекрытие характерных одорантов + вкусовой баланс</x:v>
      </x:c>
      <x:c r="G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сок водный и кислый, цедра содержит гидрофобные эфирные масла.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" s="28" t="str">
        <x:v>сорбет, салат, джем, кордиал, лимонад, коктейль или фруктовый соус</x:v>
      </x:c>
      <x:c r="K3" s="28" t="str">
        <x:v>Высокая</x:v>
      </x:c>
      <x:c r="L3" s="28" t="str">
        <x:v>The Art &amp; Science of Foodpairing.pdf | Таблица сочетания(1).pdf | Тезариус вкусов (Ники Сегнит)(1).pdf</x:v>
      </x:c>
      <x:c r="M3" s="28" t="str">
        <x:v>Таблица сочетания(1).pdf: Таблица сочетания(1).pdf: 1, 14 | Тезариус вкусов (Ники Сегнит)(1).pdf: 741, 772 | Тезариус вкусов (Ники Сегнит)(1).pdf: Таблица сочетания(1).pdf: 1, 14 | Тезариус вкусов (Ники Сегнит)(1).pdf: 741, 772 | Таблица сочетания(1).pdf: 1 | Таблица сочетания(1).pdf: 14 | Тезариус вкусов (Ники Сегнит)(1).pdf: 741 | Тезариус вкусов (Ники Сегнит)(1).pdf: 772 | The Art &amp; Science of Foodpairing.pdf: 236</x:v>
      </x:c>
    </x:row>
    <x:row r="4" ht="64" customHeight="1">
      <x:c r="A4" s="28" t="str">
        <x:v>STN-0003</x:v>
      </x:c>
      <x:c r="B4" s="28" t="str">
        <x:v>абрикос</x:v>
      </x:c>
      <x:c r="C4" s="28" t="str">
        <x:v>абрикос</x:v>
      </x:c>
      <x:c r="D4" s="28" t="str">
        <x:v>арбуз</x:v>
      </x:c>
      <x:c r="E4" s="28" t="str">
        <x:v>Бахчевые</x:v>
      </x:c>
      <x:c r="F4" s="28" t="str">
        <x:v>комплементарность ароматических семейств, вкусовой контраст и матричный эффект</x:v>
      </x:c>
      <x:c r="G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Арбуз относится к группе «Бахчевые» и даёт профиль «водянистый, зелёный, огуречный, свежий и слегка фруктовый»; типичные соединения или классы: (Z)-3-ноненаль, (E,Z)-2,6-нонадиеналь, гексаналь и другие C6/C9-альдегиды.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умеренная сладость и очень низкая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более чем на 90% водная; аромат легко разбавляется и плохо переносит долгий нагрев.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избыток водянистых партнёров делает сочетание пустым; сильные ароматы быстро подавляют арбуз.</x:v>
      </x:c>
      <x:c r="H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избыток водянистых партнёров делает сочетание пустым; сильные ароматы быстро подавляют арбуз.</x:v>
      </x:c>
      <x:c r="I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" s="28" t="str">
        <x:v>напиток, соус, десерт или горячее блюдо после пробной дегустации</x:v>
      </x:c>
      <x:c r="K4" s="28" t="str">
        <x:v>Средняя</x:v>
      </x:c>
      <x:c r="L4" s="28" t="str">
        <x:v>The Art &amp; Science of Foodpairing.pdf</x:v>
      </x:c>
      <x:c r="M4" s="28" t="str">
        <x:v>The Art &amp; Science of Foodpairing.pdf: The Art &amp; Science of Foodpairing: 78 | The Art &amp; Science of Foodpairing.pdf: 78</x:v>
      </x:c>
    </x:row>
    <x:row r="5" ht="64" customHeight="1">
      <x:c r="A5" s="28" t="str">
        <x:v>STN-0004</x:v>
      </x:c>
      <x:c r="B5" s="28" t="str">
        <x:v>абрикос</x:v>
      </x:c>
      <x:c r="C5" s="28" t="str">
        <x:v>абрикос</x:v>
      </x:c>
      <x:c r="D5" s="28" t="str">
        <x:v>артишок</x:v>
      </x:c>
      <x:c r="E5" s="28" t="str">
        <x:v>Овощи и грибы</x:v>
      </x:c>
      <x:c r="F5" s="28" t="str">
        <x:v>комплементарность ароматических семейств, вкусовой контраст и матричный эффект</x:v>
      </x:c>
      <x:c r="G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Артишок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растительный, иногда умами.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высокая доля воды; нагрев меняет зелёный профиль.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" s="28" t="str">
        <x:v>напиток, соус, десерт или горячее блюдо после пробной дегустации</x:v>
      </x:c>
      <x:c r="K5" s="28" t="str">
        <x:v>Средняя</x:v>
      </x:c>
      <x:c r="L5" s="28" t="str">
        <x:v>The Art &amp; Science of Foodpairing.pdf</x:v>
      </x:c>
      <x:c r="M5" s="28" t="str">
        <x:v>The Art &amp; Science of Foodpairing.pdf: 329</x:v>
      </x:c>
    </x:row>
    <x:row r="6" ht="64" customHeight="1">
      <x:c r="A6" s="28" t="str">
        <x:v>STN-0005</x:v>
      </x:c>
      <x:c r="B6" s="28" t="str">
        <x:v>абрикос</x:v>
      </x:c>
      <x:c r="C6" s="28" t="str">
        <x:v>абрикос</x:v>
      </x:c>
      <x:c r="D6" s="28" t="str">
        <x:v>базилик</x:v>
      </x:c>
      <x:c r="E6" s="28" t="str">
        <x:v>Травы и цветы</x:v>
      </x:c>
      <x:c r="F6" s="28" t="str">
        <x:v>прямое или классовое перекрытие характерных одорантов + вкусовой баланс</x:v>
      </x:c>
      <x:c r="G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В рабочих профилях пересекаются: линалоол.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" s="28" t="str">
        <x:v>напиток, соус, десерт или горячее блюдо после пробной дегустации</x:v>
      </x:c>
      <x:c r="K6" s="28" t="str">
        <x:v>Средняя</x:v>
      </x:c>
      <x:c r="L6" s="28" t="str">
        <x:v>The Art &amp; Science of Foodpairing.pdf</x:v>
      </x:c>
      <x:c r="M6" s="28" t="str">
        <x:v>The Art &amp; Science of Foodpairing.pdf: 206</x:v>
      </x:c>
    </x:row>
    <x:row r="7" ht="64" customHeight="1">
      <x:c r="A7" s="28" t="str">
        <x:v>STN-0006</x:v>
      </x:c>
      <x:c r="B7" s="28" t="str">
        <x:v>абрикос</x:v>
      </x:c>
      <x:c r="C7" s="28" t="str">
        <x:v>абрикос</x:v>
      </x:c>
      <x:c r="D7" s="28" t="str">
        <x:v>банан</x:v>
      </x:c>
      <x:c r="E7" s="28" t="str">
        <x:v>Тропические фрукты</x:v>
      </x:c>
      <x:c r="F7" s="28" t="str">
        <x:v>комплементарность ароматических семейств, вкусовой контраст и матричный эффект</x:v>
      </x:c>
      <x:c r="G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Банан относится к группе «Тропические фрукты» и даёт профиль «сладкий фруктовый, сливочный, цветочный; у зрелого плода — конфетный и пряный»; типичные соединения или классы: изоамилацетат, изобутилацетат, бутилацетат, этилбутират, эвгенол и другие фенольные следы. По доступным материалам нельзя уверенно свести совместимость к одной общей молекуле. Общие ароматические направления: цветочный,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низкая кислотность, крахмалистость у незрелого плода.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мягкая крахмально-пектиновая; низкая кислотность и высокая вязкость приглушают летучесть.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перезрелый банан доминирует и быстро окисляется; без кислоты или горечи сочетание может быть плоским.</x:v>
      </x:c>
      <x:c r="H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перезрелый банан доминирует и быстро окисляется; без кислоты или горечи сочетание может быть плоским.</x:v>
      </x:c>
      <x:c r="I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7" s="28" t="str">
        <x:v>напиток, соус, десерт или горячее блюдо после пробной дегустации</x:v>
      </x:c>
      <x:c r="K7" s="28" t="str">
        <x:v>Гипотеза / практическая</x:v>
      </x:c>
      <x:c r="L7" s="28" t="str">
        <x:v>Таблица сочетания(1).pdf</x:v>
      </x:c>
      <x:c r="M7" s="28" t="str">
        <x:v>Таблица сочетания(1).pdf: Таблица сочетаний: 2 | Таблица сочетания(1).pdf: 2</x:v>
      </x:c>
    </x:row>
    <x:row r="8" ht="64" customHeight="1">
      <x:c r="A8" s="28" t="str">
        <x:v>STN-0009</x:v>
      </x:c>
      <x:c r="B8" s="28" t="str">
        <x:v>абрикос</x:v>
      </x:c>
      <x:c r="C8" s="28" t="str">
        <x:v>абрикос</x:v>
      </x:c>
      <x:c r="D8" s="28" t="str">
        <x:v>ваниль</x:v>
      </x:c>
      <x:c r="E8" s="28" t="str">
        <x:v>Специи и острые компоненты</x:v>
      </x:c>
      <x:c r="F8" s="28" t="str">
        <x:v>прямое или классовое перекрытие характерных одорантов + вкусовой баланс</x:v>
      </x:c>
      <x:c r="G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Ваниль относится к группе «Специи и острые компоненты» и даёт профиль «сладкий, сливочный и древесный»; типичные соединения или классы: ванилин, п-гидроксибензальдегид. В рабочих профилях пересекаются: бензальдегид.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8" s="28" t="str">
        <x:v>напиток, соус, десерт или горячее блюдо после пробной дегустации</x:v>
      </x:c>
      <x:c r="K8" s="28" t="str">
        <x:v>Высокая</x:v>
      </x:c>
      <x:c r="L8" s="28" t="str">
        <x:v>Таблица сочетания(1).pdf | Тезариус вкусов (Ники Сегнит)(1).pdf</x:v>
      </x:c>
      <x:c r="M8" s="28" t="str">
        <x:v>Таблица сочетания(1).pdf: 1 | Таблица сочетания(1).pdf: 21 | Тезариус вкусов (Ники Сегнит)(1).pdf: 741 | Тезариус вкусов (Ники Сегнит)(1).pdf: 914</x:v>
      </x:c>
    </x:row>
    <x:row r="9" ht="64" customHeight="1">
      <x:c r="A9" s="28" t="str">
        <x:v>STN-0011</x:v>
      </x:c>
      <x:c r="B9" s="28" t="str">
        <x:v>абрикос</x:v>
      </x:c>
      <x:c r="C9" s="28" t="str">
        <x:v>абрикос</x:v>
      </x:c>
      <x:c r="D9" s="28" t="str">
        <x:v>вишня</x:v>
      </x:c>
      <x:c r="E9" s="28" t="str">
        <x:v>Косточковые фрукты</x:v>
      </x:c>
      <x:c r="F9" s="28" t="str">
        <x:v>прямое или классовое перекрытие характерных одорантов + вкусовой баланс</x:v>
      </x:c>
      <x:c r="G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линалоол, эфиры. Общие ароматические направления: цветочный, фруктовый, лактонный, миндальный.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умеренная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пектиновая; кожица и косточка могут давать терпкость и миндальные ноты.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9" s="28" t="str">
        <x:v>напиток, соус, десерт или горячее блюдо после пробной дегустации</x:v>
      </x:c>
      <x:c r="K9" s="28" t="str">
        <x:v>Гипотеза / практическая</x:v>
      </x:c>
      <x:c r="L9" s="28" t="str">
        <x:v>Таблица сочетания(1).pdf</x:v>
      </x:c>
      <x:c r="M9" s="28" t="str">
        <x:v>Таблица сочетания(1).pdf: Таблица сочетаний: 1, 4 | Таблица сочетания(1).pdf: 1 | Таблица сочетания(1).pdf: 4</x:v>
      </x:c>
    </x:row>
    <x:row r="10" ht="64" customHeight="1">
      <x:c r="A10" s="28" t="str">
        <x:v>STN-0012</x:v>
      </x:c>
      <x:c r="B10" s="28" t="str">
        <x:v>абрикос</x:v>
      </x:c>
      <x:c r="C10" s="28" t="str">
        <x:v>абрикос</x:v>
      </x:c>
      <x:c r="D10" s="28" t="str">
        <x:v>голубика</x:v>
      </x:c>
      <x:c r="E10" s="28" t="str">
        <x:v>Ягоды</x:v>
      </x:c>
      <x:c r="F10" s="28" t="str">
        <x:v>прямое или классовое перекрытие характерных одорантов + вкусовой баланс</x:v>
      </x:c>
      <x:c r="G1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ионон,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водная пектиновая; антоцианы влияют на цвет, но не являются главными одорантами.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0" s="28" t="str">
        <x:v>сорбет, салат, джем, кордиал, лимонад, коктейль или фруктовый соус</x:v>
      </x:c>
      <x:c r="K10" s="28" t="str">
        <x:v>Высокая</x:v>
      </x:c>
      <x:c r="L10" s="28" t="str">
        <x:v>The Art &amp; Science of Foodpairing.pdf | Таблица сочетания(1).pdf</x:v>
      </x:c>
      <x:c r="M10" s="28" t="str">
        <x:v>The Art &amp; Science of Foodpairing.pdf: The Art &amp; Science of Foodpairing: 205; Таблица сочетаний: 3 | Таблица сочетания(1).pdf: 3 | The Art &amp; Science of Foodpairing.pdf: 204 | The Art &amp; Science of Foodpairing.pdf: 205</x:v>
      </x:c>
    </x:row>
    <x:row r="11" ht="64" customHeight="1">
      <x:c r="A11" s="28" t="str">
        <x:v>STN-0014</x:v>
      </x:c>
      <x:c r="B11" s="28" t="str">
        <x:v>абрикос</x:v>
      </x:c>
      <x:c r="C11" s="28" t="str">
        <x:v>абрикос</x:v>
      </x:c>
      <x:c r="D11" s="28" t="str">
        <x:v>грибы</x:v>
      </x:c>
      <x:c r="E11" s="28" t="str">
        <x:v>Овощи и грибы</x:v>
      </x:c>
      <x:c r="F11" s="28" t="str">
        <x:v>комплементарность ароматических семейств, вкусовой контраст и матричный эффект</x:v>
      </x:c>
      <x:c r="G1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Грибы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растительный, иногда умами.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высокая доля воды; нагрев меняет зелёный профиль.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1" s="28" t="str">
        <x:v>напиток, соус, десерт или горячее блюдо после пробной дегустации</x:v>
      </x:c>
      <x:c r="K11" s="28" t="str">
        <x:v>Средняя</x:v>
      </x:c>
      <x:c r="L11" s="28" t="str">
        <x:v>Тезариус вкусов (Ники Сегнит)(1).pdf</x:v>
      </x:c>
      <x:c r="M11" s="28" t="str">
        <x:v>Тезариус вкусов (Ники Сегнит)(1).pdf: 192 | Тезариус вкусов (Ники Сегнит)(1).pdf: 742</x:v>
      </x:c>
    </x:row>
    <x:row r="12" ht="64" customHeight="1">
      <x:c r="A12" s="28" t="str">
        <x:v>STN-0015</x:v>
      </x:c>
      <x:c r="B12" s="28" t="str">
        <x:v>абрикос</x:v>
      </x:c>
      <x:c r="C12" s="28" t="str">
        <x:v>абрикос</x:v>
      </x:c>
      <x:c r="D12" s="28" t="str">
        <x:v>джем из купуасу</x:v>
      </x:c>
      <x:c r="E12" s="28" t="str">
        <x:v>Фрукты</x:v>
      </x:c>
      <x:c r="F12" s="28" t="str">
        <x:v>прямое или классовое перекрытие характерных одорантов + вкусовой баланс</x:v>
      </x:c>
      <x:c r="G1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Джем из купуасу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преимущественно водно-пектиновая матрица.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1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1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2" s="28" t="str">
        <x:v>сорбет, салат, джем, кордиал, лимонад, коктейль или фруктовый соус</x:v>
      </x:c>
      <x:c r="K12" s="28" t="str">
        <x:v>Средняя</x:v>
      </x:c>
      <x:c r="L12" s="28" t="str">
        <x:v>The Art &amp; Science of Foodpairing.pdf</x:v>
      </x:c>
      <x:c r="M12" s="28" t="str">
        <x:v>The Art &amp; Science of Foodpairing.pdf: 206</x:v>
      </x:c>
    </x:row>
    <x:row r="13" ht="64" customHeight="1">
      <x:c r="A13" s="28" t="str">
        <x:v>STN-0020</x:v>
      </x:c>
      <x:c r="B13" s="28" t="str">
        <x:v>абрикос</x:v>
      </x:c>
      <x:c r="C13" s="28" t="str">
        <x:v>абрикос</x:v>
      </x:c>
      <x:c r="D13" s="28" t="str">
        <x:v>зира</x:v>
      </x:c>
      <x:c r="E13" s="28" t="str">
        <x:v>Специи и острые компоненты</x:v>
      </x:c>
      <x:c r="F13" s="28" t="str">
        <x:v>комплементарность ароматических семейств, вкусовой контраст и матричный эффект</x:v>
      </x:c>
      <x:c r="G1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Зира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13" s="28" t="str">
        <x:v>напиток, соус, десерт или горячее блюдо после пробной дегустации</x:v>
      </x:c>
      <x:c r="K13" s="28" t="str">
        <x:v>Высокая</x:v>
      </x:c>
      <x:c r="L13" s="28" t="str">
        <x:v>The Art &amp; Science of Foodpairing.pdf | Тезариус вкусов (Ники Сегнит)(1).pdf</x:v>
      </x:c>
      <x:c r="M13" s="28" t="str">
        <x:v>Тезариус вкусов (Ники Сегнит)(1).pdf: 214 | Тезариус вкусов (Ники Сегнит)(1).pdf: 742 | The Art &amp; Science of Foodpairing.pdf: 228</x:v>
      </x:c>
    </x:row>
    <x:row r="14" ht="64" customHeight="1">
      <x:c r="A14" s="28" t="str">
        <x:v>STN-0022</x:v>
      </x:c>
      <x:c r="B14" s="28" t="str">
        <x:v>абрикос</x:v>
      </x:c>
      <x:c r="C14" s="28" t="str">
        <x:v>абрикос</x:v>
      </x:c>
      <x:c r="D14" s="28" t="str">
        <x:v>имбирь</x:v>
      </x:c>
      <x:c r="E14" s="28" t="str">
        <x:v>Специи и острые компоненты</x:v>
      </x:c>
      <x:c r="F14" s="28" t="str">
        <x:v>комплементарность ароматических семейств, вкусовой контраст и матричный эффект</x:v>
      </x:c>
      <x:c r="G1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14" s="28" t="str">
        <x:v>напиток, соус, десерт или горячее блюдо после пробной дегустации</x:v>
      </x:c>
      <x:c r="K14" s="28" t="str">
        <x:v>Высокая</x:v>
      </x:c>
      <x:c r="L14" s="28" t="str">
        <x:v>Таблица сочетания(1).pdf | Тезариус вкусов (Ники Сегнит)(1).pdf</x:v>
      </x:c>
      <x:c r="M14" s="28" t="str">
        <x:v>Таблица сочетания(1).pdf: 1 | Таблица сочетания(1).pdf: 8 | Тезариус вкусов (Ники Сегнит)(1).pdf: 742 | Тезариус вкусов (Ники Сегнит)(1).pdf: 812</x:v>
      </x:c>
    </x:row>
    <x:row r="15" ht="64" customHeight="1">
      <x:c r="A15" s="28" t="str">
        <x:v>STN-0024</x:v>
      </x:c>
      <x:c r="B15" s="28" t="str">
        <x:v>абрикос</x:v>
      </x:c>
      <x:c r="C15" s="28" t="str">
        <x:v>абрикос</x:v>
      </x:c>
      <x:c r="D15" s="28" t="str">
        <x:v>карамель</x:v>
      </x:c>
      <x:c r="E15" s="28" t="str">
        <x:v>Сахара, мёд и кондитерские основы</x:v>
      </x:c>
      <x:c r="F15" s="28" t="str">
        <x:v>комплементарность ароматических семейств, вкусовой контраст и матричный эффект</x:v>
      </x:c>
      <x:c r="G1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1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1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5" s="28" t="str">
        <x:v>напиток, соус, десерт или горячее блюдо после пробной дегустации</x:v>
      </x:c>
      <x:c r="K15" s="28" t="str">
        <x:v>Гипотеза / практическая</x:v>
      </x:c>
      <x:c r="L15" s="28" t="str">
        <x:v>Таблица сочетания(1).pdf</x:v>
      </x:c>
      <x:c r="M15" s="28" t="str">
        <x:v>Таблица сочетания(1).pdf: 1</x:v>
      </x:c>
    </x:row>
    <x:row r="16" ht="64" customHeight="1">
      <x:c r="A16" s="28" t="str">
        <x:v>STN-0025</x:v>
      </x:c>
      <x:c r="B16" s="28" t="str">
        <x:v>абрикос</x:v>
      </x:c>
      <x:c r="C16" s="28" t="str">
        <x:v>абрикос</x:v>
      </x:c>
      <x:c r="D16" s="28" t="str">
        <x:v>кардамон</x:v>
      </x:c>
      <x:c r="E16" s="28" t="str">
        <x:v>Специи и острые компоненты</x:v>
      </x:c>
      <x:c r="F16" s="28" t="str">
        <x:v>прямое или классовое перекрытие характерных одорантов + вкусовой баланс</x:v>
      </x:c>
      <x:c r="G1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Кардамон относится к группе «Специи и острые компоненты» и даёт профиль «цитрусовый, камфорный и цветочный»; типичные соединения или классы: 1,8-цинеол, α-терпинилацетат, линалоол. В рабочих профилях пересекаются: линалоол.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16" s="28" t="str">
        <x:v>напиток, соус, десерт или горячее блюдо после пробной дегустации</x:v>
      </x:c>
      <x:c r="K16" s="28" t="str">
        <x:v>Высокая</x:v>
      </x:c>
      <x:c r="L16" s="28" t="str">
        <x:v>Таблица сочетания(1).pdf | Тезариус вкусов (Ники Сегнит)(1).pdf</x:v>
      </x:c>
      <x:c r="M16" s="28" t="str">
        <x:v>Таблица сочетания(1).pdf: 1 | Тезариус вкусов (Ники Сегнит)(1).pdf: 743 | Тезариус вкусов (Ники Сегнит)(1).pdf: 825</x:v>
      </x:c>
    </x:row>
    <x:row r="17" ht="64" customHeight="1">
      <x:c r="A17" s="28" t="str">
        <x:v>STN-0027</x:v>
      </x:c>
      <x:c r="B17" s="28" t="str">
        <x:v>абрикос</x:v>
      </x:c>
      <x:c r="C17" s="28" t="str">
        <x:v>абрикос</x:v>
      </x:c>
      <x:c r="D17" s="28" t="str">
        <x:v>китайская сенча</x:v>
      </x:c>
      <x:c r="E17" s="28" t="str">
        <x:v>Чай и кофе</x:v>
      </x:c>
      <x:c r="F17" s="28" t="str">
        <x:v>прямое или классовое перекрытие характерных одорантов + вкусовой баланс</x:v>
      </x:c>
      <x:c r="G1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Китайская сенча относится к группе «Чай и кофе» и даёт профиль «жареный, травяной, цветочный или терпкий»; типичные соединения или классы: пиридины, пиразины, фенолы, линалоол, гераниол, теафлавины.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иногда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экстракция; температура сильно меняет летучесть.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1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1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7" s="28" t="str">
        <x:v>коктейль, кордиал, настой, спритц, чайный или кофейный напиток</x:v>
      </x:c>
      <x:c r="K17" s="28" t="str">
        <x:v>Средняя</x:v>
      </x:c>
      <x:c r="L17" s="28" t="str">
        <x:v>The Art &amp; Science of Foodpairing.pdf</x:v>
      </x:c>
      <x:c r="M17" s="28" t="str">
        <x:v>The Art &amp; Science of Foodpairing.pdf: 364</x:v>
      </x:c>
    </x:row>
    <x:row r="18" ht="64" customHeight="1">
      <x:c r="A18" s="28" t="str">
        <x:v>STN-0028</x:v>
      </x:c>
      <x:c r="B18" s="28" t="str">
        <x:v>абрикос</x:v>
      </x:c>
      <x:c r="C18" s="28" t="str">
        <x:v>абрикос</x:v>
      </x:c>
      <x:c r="D18" s="28" t="str">
        <x:v>кленовый сироп</x:v>
      </x:c>
      <x:c r="E18" s="28" t="str">
        <x:v>Сахара, мёд и кондитерские основы</x:v>
      </x:c>
      <x:c r="F18" s="28" t="str">
        <x:v>комплементарность ароматических семейств, вкусовой контраст и матричный эффект</x:v>
      </x:c>
      <x:c r="G1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По доступным материалам нельзя уверенно свести совместимость к одной общей молекуле. Общие ароматические направления: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1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1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8" s="28" t="str">
        <x:v>напиток, соус, десерт или горячее блюдо после пробной дегустации</x:v>
      </x:c>
      <x:c r="K18" s="28" t="str">
        <x:v>Гипотеза / практическая</x:v>
      </x:c>
      <x:c r="L18" s="28" t="str">
        <x:v>Таблица сочетания(1).pdf</x:v>
      </x:c>
      <x:c r="M18" s="28" t="str">
        <x:v>Таблица сочетания(1).pdf: 13</x:v>
      </x:c>
    </x:row>
    <x:row r="19" ht="64" customHeight="1">
      <x:c r="A19" s="28" t="str">
        <x:v>STN-0029</x:v>
      </x:c>
      <x:c r="B19" s="28" t="str">
        <x:v>абрикос</x:v>
      </x:c>
      <x:c r="C19" s="28" t="str">
        <x:v>абрикос</x:v>
      </x:c>
      <x:c r="D19" s="28" t="str">
        <x:v>клубника</x:v>
      </x:c>
      <x:c r="E19" s="28" t="str">
        <x:v>Ягоды</x:v>
      </x:c>
      <x:c r="F19" s="28" t="str">
        <x:v>прямое или классовое перекрытие характерных одорантов + вкусовой баланс</x:v>
      </x:c>
      <x:c r="G1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ионон,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водная пектиновая; антоцианы влияют на цвет, но не являются главными одорантами.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9" s="28" t="str">
        <x:v>сорбет, салат, джем, кордиал, лимонад, коктейль или фруктовый соус</x:v>
      </x:c>
      <x:c r="K19" s="28" t="str">
        <x:v>Гипотеза / практическая</x:v>
      </x:c>
      <x:c r="L19" s="28" t="str">
        <x:v>Таблица сочетания(1).pdf</x:v>
      </x:c>
      <x:c r="M19" s="28" t="str">
        <x:v>Таблица сочетания(1).pdf: Таблица сочетаний: 2</x:v>
      </x:c>
    </x:row>
    <x:row r="20" ht="64" customHeight="1">
      <x:c r="A20" s="28" t="str">
        <x:v>STN-0031</x:v>
      </x:c>
      <x:c r="B20" s="28" t="str">
        <x:v>абрикос</x:v>
      </x:c>
      <x:c r="C20" s="28" t="str">
        <x:v>абрикос</x:v>
      </x:c>
      <x:c r="D20" s="28" t="str">
        <x:v>корица</x:v>
      </x:c>
      <x:c r="E20" s="28" t="str">
        <x:v>Специи и острые компоненты</x:v>
      </x:c>
      <x:c r="F20" s="28" t="str">
        <x:v>комплементарность ароматических семейств, вкусовой контраст и матричный эффект</x:v>
      </x:c>
      <x:c r="G2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20" s="28" t="str">
        <x:v>напиток, соус, десерт или горячее блюдо после пробной дегустации</x:v>
      </x:c>
      <x:c r="K20" s="28" t="str">
        <x:v>Средняя</x:v>
      </x:c>
      <x:c r="L20" s="28" t="str">
        <x:v>Тезариус вкусов (Ники Сегнит)(1).pdf</x:v>
      </x:c>
      <x:c r="M20" s="28" t="str">
        <x:v>Тезариус вкусов (Ники Сегнит)(1).pdf: 572 | Тезариус вкусов (Ники Сегнит)(1).pdf: 743</x:v>
      </x:c>
    </x:row>
    <x:row r="21" ht="64" customHeight="1">
      <x:c r="A21" s="28" t="str">
        <x:v>STN-0032</x:v>
      </x:c>
      <x:c r="B21" s="28" t="str">
        <x:v>абрикос</x:v>
      </x:c>
      <x:c r="C21" s="28" t="str">
        <x:v>абрикос</x:v>
      </x:c>
      <x:c r="D21" s="28" t="str">
        <x:v>кофе</x:v>
      </x:c>
      <x:c r="E21" s="28" t="str">
        <x:v>Чай, кофе и какао</x:v>
      </x:c>
      <x:c r="F21" s="28" t="str">
        <x:v>комплементарность ароматических семейств, вкусовой контраст и матричный эффект</x:v>
      </x:c>
      <x:c r="G2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Кофе относится к группе «Чай, кофе и какао» и даёт профиль «жареный, шоколадный и дымный»; типичные соединения или классы: пиразины, фураны, гуаякол.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жареная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водные настои извлекают полифенолы; жир и сахар смягчают горечь.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2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2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1" s="28" t="str">
        <x:v>напиток, соус, десерт или горячее блюдо после пробной дегустации</x:v>
      </x:c>
      <x:c r="K21" s="28" t="str">
        <x:v>Гипотеза / практическая</x:v>
      </x:c>
      <x:c r="L21" s="28" t="str">
        <x:v>Таблица сочетания(1).pdf</x:v>
      </x:c>
      <x:c r="M21" s="28" t="str">
        <x:v>Таблица сочетания(1).pdf: 6</x:v>
      </x:c>
    </x:row>
    <x:row r="22" ht="64" customHeight="1">
      <x:c r="A22" s="28" t="str">
        <x:v>STN-0033</x:v>
      </x:c>
      <x:c r="B22" s="28" t="str">
        <x:v>абрикос</x:v>
      </x:c>
      <x:c r="C22" s="28" t="str">
        <x:v>абрикос</x:v>
      </x:c>
      <x:c r="D22" s="28" t="str">
        <x:v>красный сладкий перец</x:v>
      </x:c>
      <x:c r="E22" s="28" t="str">
        <x:v>Специи</x:v>
      </x:c>
      <x:c r="F22" s="28" t="str">
        <x:v>комплементарность ароматических семейств, вкусовой контраст и матричный эффект</x:v>
      </x:c>
      <x:c r="G2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Красный сладкий перец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пряный, иногда горький.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хорошо извлекаются спиртом и жиром.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2" s="28" t="str">
        <x:v>напиток, соус, десерт или горячее блюдо после пробной дегустации</x:v>
      </x:c>
      <x:c r="K22" s="28" t="str">
        <x:v>Средняя</x:v>
      </x:c>
      <x:c r="L22" s="28" t="str">
        <x:v>The Art &amp; Science of Foodpairing.pdf</x:v>
      </x:c>
      <x:c r="M22" s="28" t="str">
        <x:v>The Art &amp; Science of Foodpairing.pdf: 106 | The Art &amp; Science of Foodpairing.pdf: 108</x:v>
      </x:c>
    </x:row>
    <x:row r="23" ht="64" customHeight="1">
      <x:c r="A23" s="28" t="str">
        <x:v>STN-0035</x:v>
      </x:c>
      <x:c r="B23" s="28" t="str">
        <x:v>абрикос</x:v>
      </x:c>
      <x:c r="C23" s="28" t="str">
        <x:v>абрикос</x:v>
      </x:c>
      <x:c r="D23" s="28" t="str">
        <x:v>лаванда</x:v>
      </x:c>
      <x:c r="E23" s="28" t="str">
        <x:v>Травы и цветы</x:v>
      </x:c>
      <x:c r="F23" s="28" t="str">
        <x:v>прямое или классовое перекрытие характерных одорантов + вкусовой баланс</x:v>
      </x:c>
      <x:c r="G2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Лаванда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3" s="28" t="str">
        <x:v>напиток, соус, десерт или горячее блюдо после пробной дегустации</x:v>
      </x:c>
      <x:c r="K23" s="28" t="str">
        <x:v>Гипотеза / практическая</x:v>
      </x:c>
      <x:c r="L23" s="28" t="str">
        <x:v>Таблица сочетания(1).pdf</x:v>
      </x:c>
      <x:c r="M23" s="28" t="str">
        <x:v>Таблица сочетания(1).pdf: 11</x:v>
      </x:c>
    </x:row>
    <x:row r="24" ht="64" customHeight="1">
      <x:c r="A24" s="28" t="str">
        <x:v>STN-0036</x:v>
      </x:c>
      <x:c r="B24" s="28" t="str">
        <x:v>абрикос</x:v>
      </x:c>
      <x:c r="C24" s="28" t="str">
        <x:v>абрикос</x:v>
      </x:c>
      <x:c r="D24" s="28" t="str">
        <x:v>лайм</x:v>
      </x:c>
      <x:c r="E24" s="28" t="str">
        <x:v>Цитрусовые</x:v>
      </x:c>
      <x:c r="F24" s="28" t="str">
        <x:v>комплементарность ароматических семейств, вкусовой контраст и матричный эффект</x:v>
      </x:c>
      <x:c r="G2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Лайм относится к группе «Цитрусовые» и даёт профиль «зелёный цитрусовый и терпкий»; типичные соединения или классы: лимонен, цитраль, γ-терпинен.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сок водный и кислый, цедра содержит гидрофобные эфирные масла.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4" s="28" t="str">
        <x:v>сорбет, салат, джем, кордиал, лимонад, коктейль или фруктовый соус</x:v>
      </x:c>
      <x:c r="K24" s="28" t="str">
        <x:v>Гипотеза / практическая</x:v>
      </x:c>
      <x:c r="L24" s="28" t="str">
        <x:v>Таблица сочетания(1).pdf</x:v>
      </x:c>
      <x:c r="M24" s="28" t="str">
        <x:v>Таблица сочетания(1).pdf: Таблица сочетания(1).pdf: 11 | Таблица сочетания(1).pdf: 11</x:v>
      </x:c>
    </x:row>
    <x:row r="25" ht="64" customHeight="1">
      <x:c r="A25" s="28" t="str">
        <x:v>STN-0037</x:v>
      </x:c>
      <x:c r="B25" s="28" t="str">
        <x:v>абрикос</x:v>
      </x:c>
      <x:c r="C25" s="28" t="str">
        <x:v>абрикос</x:v>
      </x:c>
      <x:c r="D25" s="28" t="str">
        <x:v>лемонграсс</x:v>
      </x:c>
      <x:c r="E25" s="28" t="str">
        <x:v>Травы и цветы</x:v>
      </x:c>
      <x:c r="F25" s="28" t="str">
        <x:v>прямое или классовое перекрытие характерных одорантов + вкусовой баланс</x:v>
      </x:c>
      <x:c r="G2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Лемонграсс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5" s="28" t="str">
        <x:v>напиток, соус, десерт или горячее блюдо после пробной дегустации</x:v>
      </x:c>
      <x:c r="K25" s="28" t="str">
        <x:v>Средняя</x:v>
      </x:c>
      <x:c r="L25" s="28" t="str">
        <x:v>The Art &amp; Science of Foodpairing.pdf</x:v>
      </x:c>
      <x:c r="M25" s="28" t="str">
        <x:v>The Art &amp; Science of Foodpairing.pdf: 146</x:v>
      </x:c>
    </x:row>
    <x:row r="26" ht="64" customHeight="1">
      <x:c r="A26" s="28" t="str">
        <x:v>STN-0038</x:v>
      </x:c>
      <x:c r="B26" s="28" t="str">
        <x:v>абрикос</x:v>
      </x:c>
      <x:c r="C26" s="28" t="str">
        <x:v>абрикос</x:v>
      </x:c>
      <x:c r="D26" s="28" t="str">
        <x:v>лимон</x:v>
      </x:c>
      <x:c r="E26" s="28" t="str">
        <x:v>Цитрусовые</x:v>
      </x:c>
      <x:c r="F26" s="28" t="str">
        <x:v>комплементарность ароматических семейств, вкусовой контраст и матричный эффект</x:v>
      </x:c>
      <x:c r="G2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сок водный и кислый, цедра содержит гидрофобные эфирные масла.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6" s="28" t="str">
        <x:v>сорбет, салат, джем, кордиал, лимонад, коктейль или фруктовый соус</x:v>
      </x:c>
      <x:c r="K26" s="28" t="str">
        <x:v>Гипотеза / практическая</x:v>
      </x:c>
      <x:c r="L26" s="28" t="str">
        <x:v>Таблица сочетания(1).pdf</x:v>
      </x:c>
      <x:c r="M26" s="28" t="str">
        <x:v>Таблица сочетания(1).pdf: Таблица сочетания(1).pdf: 11 | Таблица сочетания(1).pdf: 11</x:v>
      </x:c>
    </x:row>
    <x:row r="27" ht="64" customHeight="1">
      <x:c r="A27" s="28" t="str">
        <x:v>STN-0039</x:v>
      </x:c>
      <x:c r="B27" s="28" t="str">
        <x:v>абрикос</x:v>
      </x:c>
      <x:c r="C27" s="28" t="str">
        <x:v>абрикос</x:v>
      </x:c>
      <x:c r="D27" s="28" t="str">
        <x:v>малина</x:v>
      </x:c>
      <x:c r="E27" s="28" t="str">
        <x:v>Ягоды</x:v>
      </x:c>
      <x:c r="F27" s="28" t="str">
        <x:v>прямое или классовое перекрытие характерных одорантов + вкусовой баланс</x:v>
      </x:c>
      <x:c r="G2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ионон,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водная пектиновая; антоцианы влияют на цвет, но не являются главными одорантами.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7" s="28" t="str">
        <x:v>сорбет, салат, джем, кордиал, лимонад, коктейль или фруктовый соус</x:v>
      </x:c>
      <x:c r="K27" s="28" t="str">
        <x:v>Высокая</x:v>
      </x:c>
      <x:c r="L27" s="28" t="str">
        <x:v>Таблица сочетания(1).pdf | Тезариус вкусов (Ники Сегнит)(1).pdf</x:v>
      </x:c>
      <x:c r="M27" s="28" t="str">
        <x:v>Таблица сочетания(1).pdf: Тезариус вкусов: 743, 884; Таблица сочетаний: 2, 19 | Таблица сочетания(1).pdf: 19 | Тезариус вкусов (Ники Сегнит)(1).pdf: 743 | Тезариус вкусов (Ники Сегнит)(1).pdf: 884</x:v>
      </x:c>
    </x:row>
    <x:row r="28" ht="64" customHeight="1">
      <x:c r="A28" s="28" t="str">
        <x:v>STN-0040</x:v>
      </x:c>
      <x:c r="B28" s="28" t="str">
        <x:v>абрикос</x:v>
      </x:c>
      <x:c r="C28" s="28" t="str">
        <x:v>абрикос</x:v>
      </x:c>
      <x:c r="D28" s="28" t="str">
        <x:v>манго</x:v>
      </x:c>
      <x:c r="E28" s="28" t="str">
        <x:v>Тропические фрукты</x:v>
      </x:c>
      <x:c r="F28" s="28" t="str">
        <x:v>прямое или классовое перекрытие характерных одорантов + вкусовой баланс</x:v>
      </x:c>
      <x:c r="G2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Манго относится к группе «Тропические фрукты» и даёт профиль «тропический, смолистый, цитрусовый, цветочный, сливочный; сильно зависит от сорта»; типичные соединения или классы: δ-3-карен, лимонен, мирцен, линалоол, γ- и δ-лактоны, фруктовые эфиры. В рабочих профилях пересекаются: линалоол, фруктовые эфиры.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умеренная кислотность, иногда смолистая горечь кожицы.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мякоть вязкая и богатая каротиноидами; ароматические терпены и лактоны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H2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I2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8" s="28" t="str">
        <x:v>напиток, соус, десерт или горячее блюдо после пробной дегустации</x:v>
      </x:c>
      <x:c r="K28" s="28" t="str">
        <x:v>Высокая</x:v>
      </x:c>
      <x:c r="L28" s="28" t="str">
        <x:v>The Art &amp; Science of Foodpairing.pdf | Тезариус вкусов (Ники Сегнит)(1).pdf</x:v>
      </x:c>
      <x:c r="M28" s="28" t="str">
        <x:v>Тезариус вкусов (Ники Сегнит)(1).pdf: Тезаурус вкусов: 743 | Тезариус вкусов (Ники Сегнит)(1).pdf: 743 | The Art &amp; Science of Foodpairing.pdf: 313</x:v>
      </x:c>
    </x:row>
    <x:row r="29" ht="64" customHeight="1">
      <x:c r="A29" s="28" t="str">
        <x:v>STN-0041</x:v>
      </x:c>
      <x:c r="B29" s="28" t="str">
        <x:v>абрикос</x:v>
      </x:c>
      <x:c r="C29" s="28" t="str">
        <x:v>абрикос</x:v>
      </x:c>
      <x:c r="D29" s="28" t="str">
        <x:v>мед</x:v>
      </x:c>
      <x:c r="E29" s="28" t="str">
        <x:v>Сахара, мёд и кондитерские основы</x:v>
      </x:c>
      <x:c r="F29" s="28" t="str">
        <x:v>комплементарность ароматических семейств, вкусовой контраст и матричный эффект</x:v>
      </x:c>
      <x:c r="G2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9" s="28" t="str">
        <x:v>напиток, соус, десерт или горячее блюдо после пробной дегустации</x:v>
      </x:c>
      <x:c r="K29" s="28" t="str">
        <x:v>Гипотеза / практическая</x:v>
      </x:c>
      <x:c r="L29" s="28" t="str">
        <x:v>Таблица сочетания(1).pdf</x:v>
      </x:c>
      <x:c r="M29" s="28" t="str">
        <x:v>Таблица сочетания(1).pdf: 1</x:v>
      </x:c>
    </x:row>
    <x:row r="30" ht="64" customHeight="1">
      <x:c r="A30" s="28" t="str">
        <x:v>STN-0043</x:v>
      </x:c>
      <x:c r="B30" s="28" t="str">
        <x:v>абрикос</x:v>
      </x:c>
      <x:c r="C30" s="28" t="str">
        <x:v>абрикос</x:v>
      </x:c>
      <x:c r="D30" s="28" t="str">
        <x:v>мирабель</x:v>
      </x:c>
      <x:c r="E30" s="28" t="str">
        <x:v>Косточковые фрукты</x:v>
      </x:c>
      <x:c r="F30" s="28" t="str">
        <x:v>прямое или классовое перекрытие характерных одорантов + вкусовой баланс</x:v>
      </x:c>
      <x:c r="G3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Мирабель относится к группе «Косточковые фрукты» и даёт профиль «медовый, цветочный, сливовый, винный и слегка миндальный»; типичные соединения или классы: фруктовые эфиры, линалоол, бензальдегид, лактоны, дамасценон. В рабочих профилях пересекаются: бензальдегид, линалоол, дамасценон, фруктовые эфиры. Общие ароматические направления: цветочный, миндальный,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 и умеренная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 мякоть; особенно хорошо переносит дистилляцию и ферментацию.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мёд и джем; ферментация и дистилляция подчёркивают эфирный сливовый профиль.</x:v>
      </x:c>
      <x:c r="H3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мёд и джем; ферментация и дистилляция подчёркивают эфирный сливовый профиль.</x:v>
      </x:c>
      <x:c r="I3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0" s="28" t="str">
        <x:v>напиток, соус, десерт или горячее блюдо после пробной дегустации</x:v>
      </x:c>
      <x:c r="K30" s="28" t="str">
        <x:v>Средняя</x:v>
      </x:c>
      <x:c r="L30" s="28" t="str">
        <x:v>The Art &amp; Science of Foodpairing.pdf</x:v>
      </x:c>
      <x:c r="M30" s="28" t="str">
        <x:v>The Art &amp; Science of Foodpairing.pdf: 206</x:v>
      </x:c>
    </x:row>
    <x:row r="31" ht="64" customHeight="1">
      <x:c r="A31" s="28" t="str">
        <x:v>STN-0044</x:v>
      </x:c>
      <x:c r="B31" s="28" t="str">
        <x:v>абрикос</x:v>
      </x:c>
      <x:c r="C31" s="28" t="str">
        <x:v>абрикос</x:v>
      </x:c>
      <x:c r="D31" s="28" t="str">
        <x:v>мята</x:v>
      </x:c>
      <x:c r="E31" s="28" t="str">
        <x:v>Травы и цветы</x:v>
      </x:c>
      <x:c r="F31" s="28" t="str">
        <x:v>комплементарность ароматических семейств, вкусовой контраст и матричный эффект</x:v>
      </x:c>
      <x:c r="G3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1" s="28" t="str">
        <x:v>напиток, соус, десерт или горячее блюдо после пробной дегустации</x:v>
      </x:c>
      <x:c r="K31" s="28" t="str">
        <x:v>Гипотеза / практическая</x:v>
      </x:c>
      <x:c r="L31" s="28" t="str">
        <x:v>Таблица сочетания(1).pdf</x:v>
      </x:c>
      <x:c r="M31" s="28" t="str">
        <x:v>Таблица сочетания(1).pdf: 1 | Таблица сочетания(1).pdf: 13</x:v>
      </x:c>
    </x:row>
    <x:row r="32" ht="64" customHeight="1">
      <x:c r="A32" s="28" t="str">
        <x:v>STN-0045</x:v>
      </x:c>
      <x:c r="B32" s="28" t="str">
        <x:v>абрикос</x:v>
      </x:c>
      <x:c r="C32" s="28" t="str">
        <x:v>абрикос</x:v>
      </x:c>
      <x:c r="D32" s="28" t="str">
        <x:v>нектарин</x:v>
      </x:c>
      <x:c r="E32" s="28" t="str">
        <x:v>Косточковые фрукты</x:v>
      </x:c>
      <x:c r="F32" s="28" t="str">
        <x:v>прямое или классовое перекрытие характерных одорантов + вкусовой баланс</x:v>
      </x:c>
      <x:c r="G3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Нектарин относится к группе «Косточковые фрукты» и даёт профиль «персиковый, фруктовый, цветочный, зелёный, сливочно-лактонный»; типичные соединения или классы: γ- и δ-декалактон, γ- и δ-додекалактон, фруктовые эфиры, линалоол, бензальдегид, C6-альдегиды. В рабочих профилях пересекаются: бензальдегид, линалоол, фруктовые эфиры. Общие ароматические направления: цветочный, фруктовый, лактонный.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сладкий, сочный, с умеренной кислотностью; профиль близок к персику, но кожица гладкая и часто более ярко-фруктовая.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водно-пектиновая; гидрофобные лактоны лучше проявляются в жире 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H3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I3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2" s="28" t="str">
        <x:v>напиток, соус, десерт или горячее блюдо после пробной дегустации</x:v>
      </x:c>
      <x:c r="K32" s="28" t="str">
        <x:v>Гипотеза / практическая</x:v>
      </x:c>
      <x:c r="L32" s="28" t="str">
        <x:v>Таблица сочетания(1).pdf</x:v>
      </x:c>
      <x:c r="M32" s="28" t="str">
        <x:v>Таблица сочетания(1).pdf: 14</x:v>
      </x:c>
    </x:row>
    <x:row r="33" ht="64" customHeight="1">
      <x:c r="A33" s="28" t="str">
        <x:v>STN-0047</x:v>
      </x:c>
      <x:c r="B33" s="28" t="str">
        <x:v>абрикос</x:v>
      </x:c>
      <x:c r="C33" s="28" t="str">
        <x:v>абрикос</x:v>
      </x:c>
      <x:c r="D33" s="28" t="str">
        <x:v>оливковое масло</x:v>
      </x:c>
      <x:c r="E33" s="28" t="str">
        <x:v>Молочные продукты и сыры</x:v>
      </x:c>
      <x:c r="F33" s="28" t="str">
        <x:v>комплементарность ароматических семейств, вкусовой контраст и матричный эффект</x:v>
      </x:c>
      <x:c r="G3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жирный, кислый/солёный.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жировая и белковая матрица смягчает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3" s="28" t="str">
        <x:v>напиток, соус, десерт или горячее блюдо после пробной дегустации</x:v>
      </x:c>
      <x:c r="K33" s="28" t="str">
        <x:v>Средняя</x:v>
      </x:c>
      <x:c r="L33" s="28" t="str">
        <x:v>The Art &amp; Science of Foodpairing.pdf</x:v>
      </x:c>
      <x:c r="M33" s="28" t="str">
        <x:v>The Art &amp; Science of Foodpairing.pdf: 173</x:v>
      </x:c>
    </x:row>
    <x:row r="34" ht="64" customHeight="1">
      <x:c r="A34" s="28" t="str">
        <x:v>STN-0051</x:v>
      </x:c>
      <x:c r="B34" s="28" t="str">
        <x:v>абрикос</x:v>
      </x:c>
      <x:c r="C34" s="28" t="str">
        <x:v>абрикос</x:v>
      </x:c>
      <x:c r="D34" s="28" t="str">
        <x:v>персик</x:v>
      </x:c>
      <x:c r="E34" s="28" t="str">
        <x:v>Косточковые фрукты</x:v>
      </x:c>
      <x:c r="F34" s="28" t="str">
        <x:v>прямое или классовое перекрытие характерных одорантов + вкусовой баланс</x:v>
      </x:c>
      <x:c r="G3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Персик относится к группе «Косточковые фрукты» и даёт профиль «сливочный, персиковый, кокосово-лактонный, цветочный, зелёный»; типичные соединения или классы: γ- и δ-декалактон, γ- и δ-додекалактон, линалоол, бензальдегид, гексаналь, цис-3-гексенол. В рабочих профилях пересекаются: бензальдегид, линалоол. Общие ароматические направления: цветочный, лактонный. 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сладость, умеренная кислотность; беломякотные сорта обычно слаще и мягче по кислоте.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 мякоть; кожица несёт зелёные и цветочные ноты; лактоны хорошо удерживаются жиром и этанолом.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спелость резко увеличивает аромат; нагрев усиливает варенье, карамель и миндальные оттенки, но снижает свежую цветочность.</x:v>
      </x:c>
      <x:c r="H3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спелость резко увеличивает аромат; нагрев усиливает варенье, карамель и миндальные оттенки, но снижает свежую цветочность.</x:v>
      </x:c>
      <x:c r="I3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4" s="28" t="str">
        <x:v>напиток, соус, десерт или горячее блюдо после пробной дегустации</x:v>
      </x:c>
      <x:c r="K34" s="28" t="str">
        <x:v>Высокая</x:v>
      </x:c>
      <x:c r="L34" s="28" t="str">
        <x:v>The Art &amp; Science of Foodpairing.pdf | Таблица сочетания(1).pdf | Тезариус вкусов (Ники Сегнит)(1).pdf</x:v>
      </x:c>
      <x:c r="M34" s="28" t="str">
        <x:v>Таблица сочетания(1).pdf: 1 | Таблица сочетания(1).pdf: 15 | Тезариус вкусов (Ники Сегнит)(1).pdf: 743 | Тезариус вкусов (Ники Сегнит)(1).pdf: 747 | The Art &amp; Science of Foodpairing.pdf: 260</x:v>
      </x:c>
    </x:row>
    <x:row r="35" ht="64" customHeight="1">
      <x:c r="A35" s="28" t="str">
        <x:v>STN-0052</x:v>
      </x:c>
      <x:c r="B35" s="28" t="str">
        <x:v>абрикос</x:v>
      </x:c>
      <x:c r="C35" s="28" t="str">
        <x:v>абрикос</x:v>
      </x:c>
      <x:c r="D35" s="28" t="str">
        <x:v>плюмкот</x:v>
      </x:c>
      <x:c r="E35" s="28" t="str">
        <x:v>Гибридные косточковые фрукты</x:v>
      </x:c>
      <x:c r="F35" s="28" t="str">
        <x:v>прямое или классовое перекрытие характерных одорантов + вкусовой баланс</x:v>
      </x:c>
      <x:c r="G3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Плюмкот относится к группе «Гибридные косточковые фрукты» и даёт профиль «сливово-персиковый, цветочный, винный и сливочно-лактонный»; типичные соединения или классы: лактоны, фруктовые эфиры, линалоол, бензальдегид, C6-альдегиды. В рабочих профилях пересекаются: бензальдегид, линалоол, фруктовые эфиры. Общие ароматические направления: цветочный, лактонный.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с выраженной фруктовой кислотностью; баланс зависит от сорта.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пектиновая; сочетает поведение сливы и абрикоса.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джемовые ноты; холодная обработка лучше сохраняет цветочность.</x:v>
      </x:c>
      <x:c r="H3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джемовые ноты; холодная обработка лучше сохраняет цветочность.</x:v>
      </x:c>
      <x:c r="I3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5" s="28" t="str">
        <x:v>напиток, соус, десерт или горячее блюдо после пробной дегустации</x:v>
      </x:c>
      <x:c r="K35" s="28" t="str">
        <x:v>Средняя</x:v>
      </x:c>
      <x:c r="L35" s="28" t="str">
        <x:v>The Art &amp; Science of Foodpairing.pdf</x:v>
      </x:c>
      <x:c r="M35" s="28" t="str">
        <x:v>The Art &amp; Science of Foodpairing.pdf: 206</x:v>
      </x:c>
    </x:row>
    <x:row r="36" ht="64" customHeight="1">
      <x:c r="A36" s="28" t="str">
        <x:v>STN-0053</x:v>
      </x:c>
      <x:c r="B36" s="28" t="str">
        <x:v>абрикос</x:v>
      </x:c>
      <x:c r="C36" s="28" t="str">
        <x:v>абрикос</x:v>
      </x:c>
      <x:c r="D36" s="28" t="str">
        <x:v>рапсовый мед</x:v>
      </x:c>
      <x:c r="E36" s="28" t="str">
        <x:v>Подсластители</x:v>
      </x:c>
      <x:c r="F36" s="28" t="str">
        <x:v>комплементарность ароматических семейств, вкусовой контраст и матричный эффект</x:v>
      </x:c>
      <x:c r="G3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Рапсовый мед относится к группе «Подсластители» и даёт профиль «медовый, цветочный, карамельный»; типичные соединения или классы: фенилуксусные соединения, фураны, норизопреноиды. По доступным материалам нельзя уверенно свести совместимость к одной общей молекуле. Общие ароматические направления: цветочный,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сладкий.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сахар повышает вязкость и снижает воспринимаемую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Сладость балансирует кислоту и горечь кожуры; цветочные компоненты могут поддерживать цитрус..</x:v>
      </x:c>
      <x:c r="H3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Сладость балансирует кислоту и горечь кожуры; цветочные компоненты могут поддерживать цитрус..</x:v>
      </x:c>
      <x:c r="I3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6" s="28" t="str">
        <x:v>напиток, соус, десерт или горячее блюдо после пробной дегустации</x:v>
      </x:c>
      <x:c r="K36" s="28" t="str">
        <x:v>Средняя</x:v>
      </x:c>
      <x:c r="L36" s="28" t="str">
        <x:v>The Art &amp; Science of Foodpairing.pdf</x:v>
      </x:c>
      <x:c r="M36" s="28" t="str">
        <x:v>The Art &amp; Science of Foodpairing.pdf: 206</x:v>
      </x:c>
    </x:row>
    <x:row r="37" ht="64" customHeight="1">
      <x:c r="A37" s="28" t="str">
        <x:v>STN-0054</x:v>
      </x:c>
      <x:c r="B37" s="28" t="str">
        <x:v>абрикос</x:v>
      </x:c>
      <x:c r="C37" s="28" t="str">
        <x:v>абрикос</x:v>
      </x:c>
      <x:c r="D37" s="28" t="str">
        <x:v>ревень</x:v>
      </x:c>
      <x:c r="E37" s="28" t="str">
        <x:v>Прочее</x:v>
      </x:c>
      <x:c r="F37" s="28" t="str">
        <x:v>комплементарность ароматических семейств, вкусовой контраст и матричный эффект</x:v>
      </x:c>
      <x:c r="G3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Ревень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важны вода, жир, белок, сахар и температура.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3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3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7" s="28" t="str">
        <x:v>напиток, соус, десерт или горячее блюдо после пробной дегустации</x:v>
      </x:c>
      <x:c r="K37" s="28" t="str">
        <x:v>Гипотеза / практическая</x:v>
      </x:c>
      <x:c r="L37" s="28" t="str">
        <x:v>Таблица сочетания(1).pdf</x:v>
      </x:c>
      <x:c r="M37" s="28" t="str">
        <x:v>Таблица сочетания(1).pdf: 19</x:v>
      </x:c>
    </x:row>
    <x:row r="38" ht="64" customHeight="1">
      <x:c r="A38" s="28" t="str">
        <x:v>STN-0055</x:v>
      </x:c>
      <x:c r="B38" s="28" t="str">
        <x:v>абрикос</x:v>
      </x:c>
      <x:c r="C38" s="28" t="str">
        <x:v>абрикос</x:v>
      </x:c>
      <x:c r="D38" s="28" t="str">
        <x:v>роза</x:v>
      </x:c>
      <x:c r="E38" s="28" t="str">
        <x:v>Травы и цветы</x:v>
      </x:c>
      <x:c r="F38" s="28" t="str">
        <x:v>прямое или классовое перекрытие характерных одорантов + вкусовой баланс</x:v>
      </x:c>
      <x:c r="G3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Роза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8" s="28" t="str">
        <x:v>напиток, соус, десерт или горячее блюдо после пробной дегустации</x:v>
      </x:c>
      <x:c r="K38" s="28" t="str">
        <x:v>Высокая</x:v>
      </x:c>
      <x:c r="L38" s="28" t="str">
        <x:v>Таблица сочетания(1).pdf | Тезариус вкусов (Ники Сегнит)(1).pdf</x:v>
      </x:c>
      <x:c r="M38" s="28" t="str">
        <x:v>Таблица сочетания(1).pdf: 1 | Тезариус вкусов (Ники Сегнит)(1).pdf: 743 | Тезариус вкусов (Ники Сегнит)(1).pdf: 899</x:v>
      </x:c>
    </x:row>
    <x:row r="39" ht="64" customHeight="1">
      <x:c r="A39" s="28" t="str">
        <x:v>STN-0056</x:v>
      </x:c>
      <x:c r="B39" s="28" t="str">
        <x:v>абрикос</x:v>
      </x:c>
      <x:c r="C39" s="28" t="str">
        <x:v>абрикос</x:v>
      </x:c>
      <x:c r="D39" s="28" t="str">
        <x:v>розмарин</x:v>
      </x:c>
      <x:c r="E39" s="28" t="str">
        <x:v>Травы и цветы</x:v>
      </x:c>
      <x:c r="F39" s="28" t="str">
        <x:v>комплементарность ароматических семейств, вкусовой контраст и матричный эффект</x:v>
      </x:c>
      <x:c r="G3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Розмарин относится к группе «Травы и цветы» и даёт профиль «хвойный, камфорный и древесный»; типичные соединения или классы: 1,8-цинеол, камфора, α-пинен.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9" s="28" t="str">
        <x:v>напиток, соус, десерт или горячее блюдо после пробной дегустации</x:v>
      </x:c>
      <x:c r="K39" s="28" t="str">
        <x:v>Высокая</x:v>
      </x:c>
      <x:c r="L39" s="28" t="str">
        <x:v>Таблица сочетания(1).pdf | Тезариус вкусов (Ники Сегнит)(1).pdf</x:v>
      </x:c>
      <x:c r="M39" s="28" t="str">
        <x:v>Таблица сочетания(1).pdf: 19 | Тезариус вкусов (Ники Сегнит)(1).pdf: 744 | Тезариус вкусов (Ники Сегнит)(1).pdf: 832</x:v>
      </x:c>
    </x:row>
    <x:row r="40" ht="64" customHeight="1">
      <x:c r="A40" s="28" t="str">
        <x:v>STN-0057</x:v>
      </x:c>
      <x:c r="B40" s="28" t="str">
        <x:v>абрикос</x:v>
      </x:c>
      <x:c r="C40" s="28" t="str">
        <x:v>абрикос</x:v>
      </x:c>
      <x:c r="D40" s="28" t="str">
        <x:v>свежие цветы лаванды</x:v>
      </x:c>
      <x:c r="E40" s="28" t="str">
        <x:v>Прочее</x:v>
      </x:c>
      <x:c r="F40" s="28" t="str">
        <x:v>комплементарность ароматических семейств, вкусовой контраст и матричный эффект</x:v>
      </x:c>
      <x:c r="G4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Свежие цветы лаванды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зависит от продукта.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зависит от формы продукта.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4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4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0" s="28" t="str">
        <x:v>напиток, соус, десерт или горячее блюдо после пробной дегустации</x:v>
      </x:c>
      <x:c r="K40" s="28" t="str">
        <x:v>Средняя</x:v>
      </x:c>
      <x:c r="L40" s="28" t="str">
        <x:v>The Art &amp; Science of Foodpairing.pdf</x:v>
      </x:c>
      <x:c r="M40" s="28" t="str">
        <x:v>The Art &amp; Science of Foodpairing.pdf: 206</x:v>
      </x:c>
    </x:row>
    <x:row r="41" ht="64" customHeight="1">
      <x:c r="A41" s="28" t="str">
        <x:v>STN-0058</x:v>
      </x:c>
      <x:c r="B41" s="28" t="str">
        <x:v>абрикос</x:v>
      </x:c>
      <x:c r="C41" s="28" t="str">
        <x:v>абрикос</x:v>
      </x:c>
      <x:c r="D41" s="28" t="str">
        <x:v>свиная корейка</x:v>
      </x:c>
      <x:c r="E41" s="28" t="str">
        <x:v>Прочее</x:v>
      </x:c>
      <x:c r="F41" s="28" t="str">
        <x:v>комплементарность ароматических семейств, вкусовой контраст и матричный эффект</x:v>
      </x:c>
      <x:c r="G4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баланс зависит от продукта.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матрица зависит от формы продукта.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4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4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1" s="28" t="str">
        <x:v>напиток, соус, десерт или горячее блюдо после пробной дегустации</x:v>
      </x:c>
      <x:c r="K41" s="28" t="str">
        <x:v>Средняя</x:v>
      </x:c>
      <x:c r="L41" s="28" t="str">
        <x:v>The Art &amp; Science of Foodpairing.pdf</x:v>
      </x:c>
      <x:c r="M41" s="28" t="str">
        <x:v>The Art &amp; Science of Foodpairing.pdf: 185 | The Art &amp; Science of Foodpairing.pdf: 188</x:v>
      </x:c>
    </x:row>
    <x:row r="42" ht="64" customHeight="1">
      <x:c r="A42" s="28" t="str">
        <x:v>STN-0060</x:v>
      </x:c>
      <x:c r="B42" s="28" t="str">
        <x:v>абрикос</x:v>
      </x:c>
      <x:c r="C42" s="28" t="str">
        <x:v>абрикос</x:v>
      </x:c>
      <x:c r="D42" s="28" t="str">
        <x:v>семена кардамона</x:v>
      </x:c>
      <x:c r="E42" s="28" t="str">
        <x:v>Специи</x:v>
      </x:c>
      <x:c r="F42" s="28" t="str">
        <x:v>комплементарность ароматических семейств, вкусовой контраст и матричный эффект</x:v>
      </x:c>
      <x:c r="G4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Семена кардамона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пряный, иногда горький.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хорошо извлекаются спиртом и жиром.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4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4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2" s="28" t="str">
        <x:v>напиток, соус, десерт или горячее блюдо после пробной дегустации</x:v>
      </x:c>
      <x:c r="K42" s="28" t="str">
        <x:v>Средняя</x:v>
      </x:c>
      <x:c r="L42" s="28" t="str">
        <x:v>The Art &amp; Science of Foodpairing.pdf</x:v>
      </x:c>
      <x:c r="M42" s="28" t="str">
        <x:v>The Art &amp; Science of Foodpairing.pdf: 256</x:v>
      </x:c>
    </x:row>
    <x:row r="43" ht="64" customHeight="1">
      <x:c r="A43" s="28" t="str">
        <x:v>STN-0061</x:v>
      </x:c>
      <x:c r="B43" s="28" t="str">
        <x:v>абрикос</x:v>
      </x:c>
      <x:c r="C43" s="28" t="str">
        <x:v>абрикос</x:v>
      </x:c>
      <x:c r="D43" s="28" t="str">
        <x:v>слива</x:v>
      </x:c>
      <x:c r="E43" s="28" t="str">
        <x:v>Косточковые фрукты</x:v>
      </x:c>
      <x:c r="F43" s="28" t="str">
        <x:v>прямое или классовое перекрытие характерных одорантов + вкусовой баланс</x:v>
      </x:c>
      <x:c r="G4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Слива относится к группе «Косточковые фрукты» и даёт профиль «винно-фруктовый, цветочный, зелёный, пряный, миндальный; от свежего до тёмно-джемового»; типичные соединения или классы: фруктовые эфиры, γ- и δ-лактоны, бензальдегид, линалоол, C6-альдегиды, дамасконы. В рабочих профилях пересекаются: бензальдегид, линалоол, фруктовые эфиры. Общие ароматические направления: цветочный, фруктовый, миндальный.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заметная яблочно-лимонная кислотность; кожица часто терпкая.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 мякоть; кожица богата полифенолами; аромат хорошо работает в воде, сахаре 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H4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I4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3" s="28" t="str">
        <x:v>напиток, соус, десерт или горячее блюдо после пробной дегустации</x:v>
      </x:c>
      <x:c r="K43" s="28" t="str">
        <x:v>Гипотеза / практическая</x:v>
      </x:c>
      <x:c r="L43" s="28" t="str">
        <x:v>Таблица сочетания(1).pdf</x:v>
      </x:c>
      <x:c r="M43" s="28" t="str">
        <x:v>Таблица сочетания(1).pdf: 1</x:v>
      </x:c>
    </x:row>
    <x:row r="44" ht="64" customHeight="1">
      <x:c r="A44" s="28" t="str">
        <x:v>STN-0062</x:v>
      </x:c>
      <x:c r="B44" s="28" t="str">
        <x:v>абрикос</x:v>
      </x:c>
      <x:c r="C44" s="28" t="str">
        <x:v>абрикос</x:v>
      </x:c>
      <x:c r="D44" s="28" t="str">
        <x:v>сычуаньский перец</x:v>
      </x:c>
      <x:c r="E44" s="28" t="str">
        <x:v>Специи и острые компоненты</x:v>
      </x:c>
      <x:c r="F44" s="28" t="str">
        <x:v>комплементарность ароматических семейств, вкусовой контраст и матричный эффект</x:v>
      </x:c>
      <x:c r="G4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Сычуаньский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гидрофобные молекулы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</x:v>
      </x:c>
      <x:c r="H4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</x:v>
      </x:c>
      <x:c r="I4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44" s="28" t="str">
        <x:v>напиток, соус, десерт или горячее блюдо после пробной дегустации</x:v>
      </x:c>
      <x:c r="K44" s="28" t="str">
        <x:v>Средняя</x:v>
      </x:c>
      <x:c r="L44" s="28" t="str">
        <x:v>The Art &amp; Science of Foodpairing.pdf</x:v>
      </x:c>
      <x:c r="M44" s="28" t="str">
        <x:v>The Art &amp; Science of Foodpairing.pdf: 206</x:v>
      </x:c>
    </x:row>
    <x:row r="45" ht="64" customHeight="1">
      <x:c r="A45" s="28" t="str">
        <x:v>STN-0064</x:v>
      </x:c>
      <x:c r="B45" s="28" t="str">
        <x:v>абрикос</x:v>
      </x:c>
      <x:c r="C45" s="28" t="str">
        <x:v>абрикос</x:v>
      </x:c>
      <x:c r="D45" s="28" t="str">
        <x:v>тимьяновый мед</x:v>
      </x:c>
      <x:c r="E45" s="28" t="str">
        <x:v>Травы, листья и цветы</x:v>
      </x:c>
      <x:c r="F45" s="28" t="str">
        <x:v>прямое или классовое перекрытие характерных одорантов + вкусовой баланс</x:v>
      </x:c>
      <x:c r="G4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Тимьяновый мед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гераниол. Общие ароматические направления: цветочный. Цветочные и зелёные ноты расширяют верхнюю часть аромата; фруктовая сладость смягчает травяную горечь.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экстрагируются жиром или этанолом.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Травы лучше вводить холодной мацерацией или в финале: длительный нагрев удаляет летучие терпены.</x:v>
      </x:c>
      <x:c r="H4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Травы лучше вводить холодной мацерацией или в финале: длительный нагрев удаляет летучие терпены.</x:v>
      </x:c>
      <x:c r="I4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5" s="28" t="str">
        <x:v>напиток, соус, десерт или горячее блюдо после пробной дегустации</x:v>
      </x:c>
      <x:c r="K45" s="28" t="str">
        <x:v>Средняя</x:v>
      </x:c>
      <x:c r="L45" s="28" t="str">
        <x:v>The Art &amp; Science of Foodpairing.pdf</x:v>
      </x:c>
      <x:c r="M45" s="28" t="str">
        <x:v>The Art &amp; Science of Foodpairing.pdf: 206</x:v>
      </x:c>
    </x:row>
    <x:row r="46" ht="64" customHeight="1">
      <x:c r="A46" s="28" t="str">
        <x:v>STN-0066</x:v>
      </x:c>
      <x:c r="B46" s="28" t="str">
        <x:v>абрикос</x:v>
      </x:c>
      <x:c r="C46" s="28" t="str">
        <x:v>абрикос</x:v>
      </x:c>
      <x:c r="D46" s="28" t="str">
        <x:v>укроп</x:v>
      </x:c>
      <x:c r="E46" s="28" t="str">
        <x:v>Травы и цветы</x:v>
      </x:c>
      <x:c r="F46" s="28" t="str">
        <x:v>прямое или классовое перекрытие характерных одорантов + вкусовой баланс</x:v>
      </x:c>
      <x:c r="G4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4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4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6" s="28" t="str">
        <x:v>напиток, соус, десерт или горячее блюдо после пробной дегустации</x:v>
      </x:c>
      <x:c r="K46" s="28" t="str">
        <x:v>Гипотеза / практическая</x:v>
      </x:c>
      <x:c r="L46" s="28" t="str">
        <x:v>Таблица сочетания(1).pdf</x:v>
      </x:c>
      <x:c r="M46" s="28" t="str">
        <x:v>Таблица сочетания(1).pdf: 7</x:v>
      </x:c>
    </x:row>
    <x:row r="47" ht="64" customHeight="1">
      <x:c r="A47" s="28" t="str">
        <x:v>STN-0067</x:v>
      </x:c>
      <x:c r="B47" s="28" t="str">
        <x:v>абрикос</x:v>
      </x:c>
      <x:c r="C47" s="28" t="str">
        <x:v>абрикос</x:v>
      </x:c>
      <x:c r="D47" s="28" t="str">
        <x:v>фиалка</x:v>
      </x:c>
      <x:c r="E47" s="28" t="str">
        <x:v>Травы и цветы</x:v>
      </x:c>
      <x:c r="F47" s="28" t="str">
        <x:v>прямое или классовое перекрытие характерных одорантов + вкусовой баланс</x:v>
      </x:c>
      <x:c r="G4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Фиалка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4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4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7" s="28" t="str">
        <x:v>напиток, соус, десерт или горячее блюдо после пробной дегустации</x:v>
      </x:c>
      <x:c r="K47" s="28" t="str">
        <x:v>Гипотеза / практическая</x:v>
      </x:c>
      <x:c r="L47" s="28" t="str">
        <x:v>Таблица сочетания(1).pdf</x:v>
      </x:c>
      <x:c r="M47" s="28" t="str">
        <x:v>Таблица сочетания(1).pdf: 21</x:v>
      </x:c>
    </x:row>
    <x:row r="48" ht="64" customHeight="1">
      <x:c r="A48" s="28" t="str">
        <x:v>STN-0068</x:v>
      </x:c>
      <x:c r="B48" s="28" t="str">
        <x:v>абрикос</x:v>
      </x:c>
      <x:c r="C48" s="28" t="str">
        <x:v>абрикос</x:v>
      </x:c>
      <x:c r="D48" s="28" t="str">
        <x:v>финик</x:v>
      </x:c>
      <x:c r="E48" s="28" t="str">
        <x:v>Сухофрукты и тропические плоды</x:v>
      </x:c>
      <x:c r="F48" s="28" t="str">
        <x:v>комплементарность ароматических семейств, вкусовой контраст и матричный эффект</x:v>
      </x:c>
      <x:c r="G4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Финик относится к группе «Сухофрукты и тропические плоды» и даёт профиль «медовый, карамельный, сухофруктовый, ореховый и пряный»; типичные соединения или классы: фураны, альдегиды Стреккера, фенольные соединения и продукты карамелизации. По доступным материалам нельзя уверенно свести совместимость к одной общей молекуле. Общие ароматические направления: фруктовый,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очень высокая сладость, низкая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плотная сахаристая и вязкая; хорошо связывает жир и специи.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H4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I4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8" s="28" t="str">
        <x:v>напиток, соус, десерт или горячее блюдо после пробной дегустации</x:v>
      </x:c>
      <x:c r="K48" s="28" t="str">
        <x:v>Гипотеза / практическая</x:v>
      </x:c>
      <x:c r="L48" s="28" t="str">
        <x:v>Таблица сочетания(1).pdf</x:v>
      </x:c>
      <x:c r="M48" s="28" t="str">
        <x:v>Таблица сочетания(1).pdf: Таблица сочетаний: 7 | Таблица сочетания(1).pdf: 7</x:v>
      </x:c>
    </x:row>
    <x:row r="49" ht="64" customHeight="1">
      <x:c r="A49" s="28" t="str">
        <x:v>STN-0072</x:v>
      </x:c>
      <x:c r="B49" s="28" t="str">
        <x:v>абрикос</x:v>
      </x:c>
      <x:c r="C49" s="28" t="str">
        <x:v>абрикос</x:v>
      </x:c>
      <x:c r="D49" s="28" t="str">
        <x:v>чернослив</x:v>
      </x:c>
      <x:c r="E49" s="28" t="str">
        <x:v>Сушёные косточковые фрукты</x:v>
      </x:c>
      <x:c r="F49" s="28" t="str">
        <x:v>прямое или классовое перекрытие характерных одорантов + вкусовой баланс</x:v>
      </x:c>
      <x:c r="G4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Чернослив относится к группе «Сушёные косточковые фрукты» и даёт профиль «тёмно-фруктовый, карамельный, винный, слегка дымный и миндальный»; типичные соединения или классы: фурфурол, 5-метилфурфурол, мальтол, лактоны, бензальдегид, продукты термического распада сахаров. В рабочих профилях пересекаются: бензальдегид. Общие ароматические направления: фруктовый, миндальный.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маловодная, богатая сахарами, пектином и сорбитолом; хорошо удерживает специи и алкоголь.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H4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I4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9" s="28" t="str">
        <x:v>напиток, соус, десерт или горячее блюдо после пробной дегустации</x:v>
      </x:c>
      <x:c r="K49" s="28" t="str">
        <x:v>Высокая</x:v>
      </x:c>
      <x:c r="L49" s="28" t="str">
        <x:v>The Art &amp; Science of Foodpairing.pdf | Таблица сочетания(1).pdf</x:v>
      </x:c>
      <x:c r="M49" s="28" t="str">
        <x:v>Таблица сочетания(1).pdf: 18 | The Art &amp; Science of Foodpairing.pdf: 206</x:v>
      </x:c>
    </x:row>
    <x:row r="50" ht="64" customHeight="1">
      <x:c r="A50" s="28" t="str">
        <x:v>STN-0073</x:v>
      </x:c>
      <x:c r="B50" s="28" t="str">
        <x:v>абрикос</x:v>
      </x:c>
      <x:c r="C50" s="28" t="str">
        <x:v>абрикос</x:v>
      </x:c>
      <x:c r="D50" s="28" t="str">
        <x:v>черные оливки</x:v>
      </x:c>
      <x:c r="E50" s="28" t="str">
        <x:v>Прочее</x:v>
      </x:c>
      <x:c r="F50" s="28" t="str">
        <x:v>комплементарность ароматических семейств, вкусовой контраст и матричный эффект</x:v>
      </x:c>
      <x:c r="G5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Черные оливки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зависит от ингредиента.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механизм зависит от конкретного продукта.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5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5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0" s="28" t="str">
        <x:v>напиток, соус, десерт или горячее блюдо после пробной дегустации</x:v>
      </x:c>
      <x:c r="K50" s="28" t="str">
        <x:v>Средняя</x:v>
      </x:c>
      <x:c r="L50" s="28" t="str">
        <x:v>The Art &amp; Science of Foodpairing.pdf</x:v>
      </x:c>
      <x:c r="M50" s="28" t="str">
        <x:v>The Art &amp; Science of Foodpairing.pdf: 216</x:v>
      </x:c>
    </x:row>
    <x:row r="51" ht="64" customHeight="1">
      <x:c r="A51" s="28" t="str">
        <x:v>STN-0074</x:v>
      </x:c>
      <x:c r="B51" s="28" t="str">
        <x:v>абрикос</x:v>
      </x:c>
      <x:c r="C51" s="28" t="str">
        <x:v>абрикос</x:v>
      </x:c>
      <x:c r="D51" s="28" t="str">
        <x:v>черный перец</x:v>
      </x:c>
      <x:c r="E51" s="28" t="str">
        <x:v>Специи и острые компоненты</x:v>
      </x:c>
      <x:c r="F51" s="28" t="str">
        <x:v>комплементарность ароматических семейств, вкусовой контраст и матричный эффект</x:v>
      </x:c>
      <x:c r="G5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Черный перец относится к группе «Специи и острые компоненты» и даёт профиль «древесный, цитрусовый и пряный»; типичные соединения или классы: пиперин, лимонен, сабинен.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5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5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51" s="28" t="str">
        <x:v>напиток, соус, десерт или горячее блюдо после пробной дегустации</x:v>
      </x:c>
      <x:c r="K51" s="28" t="str">
        <x:v>Гипотеза / практическая</x:v>
      </x:c>
      <x:c r="L51" s="28" t="str">
        <x:v>Таблица сочетания(1).pdf</x:v>
      </x:c>
      <x:c r="M51" s="28" t="str">
        <x:v>Таблица сочетания(1).pdf: 1</x:v>
      </x:c>
    </x:row>
    <x:row r="52" ht="64" customHeight="1">
      <x:c r="A52" s="28" t="str">
        <x:v>STN-0075</x:v>
      </x:c>
      <x:c r="B52" s="28" t="str">
        <x:v>абрикос</x:v>
      </x:c>
      <x:c r="C52" s="28" t="str">
        <x:v>абрикос</x:v>
      </x:c>
      <x:c r="D52" s="28" t="str">
        <x:v>черный чай</x:v>
      </x:c>
      <x:c r="E52" s="28" t="str">
        <x:v>Чай и кофе</x:v>
      </x:c>
      <x:c r="F52" s="28" t="str">
        <x:v>прямое или классовое перекрытие характерных одорантов + вкусовой баланс</x:v>
      </x:c>
      <x:c r="G5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Черный чай относится к группе «Чай и кофе» и даёт профиль «жареный, травяной, цветочный или терпкий»; типичные соединения или классы: пиридины, пиразины, фенолы, линалоол, гераниол, теафлавины.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иногда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экстракция; температура сильно меняет летучесть.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5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5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2" s="28" t="str">
        <x:v>коктейль, кордиал, настой, спритц, чайный или кофейный напиток</x:v>
      </x:c>
      <x:c r="K52" s="28" t="str">
        <x:v>Средняя</x:v>
      </x:c>
      <x:c r="L52" s="28" t="str">
        <x:v>The Art &amp; Science of Foodpairing.pdf</x:v>
      </x:c>
      <x:c r="M52" s="28" t="str">
        <x:v>The Art &amp; Science of Foodpairing.pdf: 206</x:v>
      </x:c>
    </x:row>
    <x:row r="53" ht="64" customHeight="1">
      <x:c r="A53" s="28" t="str">
        <x:v>STN-0077</x:v>
      </x:c>
      <x:c r="B53" s="28" t="str">
        <x:v>абрикос</x:v>
      </x:c>
      <x:c r="C53" s="28" t="str">
        <x:v>абрикос</x:v>
      </x:c>
      <x:c r="D53" s="28" t="str">
        <x:v>шоколад</x:v>
      </x:c>
      <x:c r="E53" s="28" t="str">
        <x:v>Чай, кофе и какао</x:v>
      </x:c>
      <x:c r="F53" s="28" t="str">
        <x:v>комплементарность ароматических семейств, вкусовой контраст и матричный эффект</x:v>
      </x:c>
      <x:c r="G5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жареная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водные настои извлекают полифенолы; жир и сахар смягчают горечь.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5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5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3" s="28" t="str">
        <x:v>напиток, соус, десерт или горячее блюдо после пробной дегустации</x:v>
      </x:c>
      <x:c r="K53" s="28" t="str">
        <x:v>Средняя</x:v>
      </x:c>
      <x:c r="L53" s="28" t="str">
        <x:v>Тезариус вкусов (Ники Сегнит)(1).pdf</x:v>
      </x:c>
      <x:c r="M53" s="28" t="str">
        <x:v>Тезариус вкусов (Ники Сегнит)(1).pdf: 25 | Тезариус вкусов (Ники Сегнит)(1).pdf: 745</x:v>
      </x:c>
    </x:row>
    <x:row r="54" ht="64" customHeight="1">
      <x:c r="A54" s="28" t="str">
        <x:v>STN-0078</x:v>
      </x:c>
      <x:c r="B54" s="28" t="str">
        <x:v>абрикос</x:v>
      </x:c>
      <x:c r="C54" s="28" t="str">
        <x:v>абрикос</x:v>
      </x:c>
      <x:c r="D54" s="28" t="str">
        <x:v>яблоко</x:v>
      </x:c>
      <x:c r="E54" s="28" t="str">
        <x:v>Семечковые фрукты</x:v>
      </x:c>
      <x:c r="F54" s="28" t="str">
        <x:v>прямое или классовое перекрытие характерных одорантов + вкусовой баланс</x:v>
      </x:c>
      <x:c r="G5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Яблоко относится к группе «Семечковые фрукты» и даёт профиль «свежий фруктовый, зелёный, цветочный, пряный; профиль сильно зависит от сорта и зрелости»; типичные соединения или классы: гексилацетат, бутил ацетат, этил-2-метилбутират, гексаналь, транс-2-гексеналь, β-дамасценон. В рабочих профилях пересекаются: дамасценон. Общие ароматические направления: цветочный,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яблочная кислота; иногда лёгкая терпкость кожицы.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водная, с пектином; низкое содержание жира; ароматические эфиры быстро теряются после разрезания.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H5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I5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4" s="28" t="str">
        <x:v>напиток, соус, десерт или горячее блюдо после пробной дегустации</x:v>
      </x:c>
      <x:c r="K54" s="28" t="str">
        <x:v>Гипотеза / практическая</x:v>
      </x:c>
      <x:c r="L54" s="28" t="str">
        <x:v>The Art &amp; Science of Foodpairing.pdf</x:v>
      </x:c>
      <x:c r="M54" s="28" t="str">
        <x:v>The Art &amp; Science of Foodpairing.pdf: The Art &amp; Science of Foodpairing: 48,49</x:v>
      </x:c>
    </x:row>
    <x:row r="55" ht="64" customHeight="1">
      <x:c r="A55" s="28" t="str">
        <x:v>STN-0079</x:v>
      </x:c>
      <x:c r="B55" s="28" t="str">
        <x:v>абрикос</x:v>
      </x:c>
      <x:c r="C55" s="28" t="str">
        <x:v>абрикос</x:v>
      </x:c>
      <x:c r="D55" s="28" t="str">
        <x:v>яблоко кокс оранж пиппин</x:v>
      </x:c>
      <x:c r="E55" s="28" t="str">
        <x:v>Фрукты</x:v>
      </x:c>
      <x:c r="F55" s="28" t="str">
        <x:v>прямое или классовое перекрытие характерных одорантов + вкусовой баланс</x:v>
      </x:c>
      <x:c r="G5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Яблоко кокс оранж пиппин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преимущественно водно-пектиновая матрица.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5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5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5" s="28" t="str">
        <x:v>сорбет, салат, джем, кордиал, лимонад, коктейль или фруктовый соус</x:v>
      </x:c>
      <x:c r="K55" s="28" t="str">
        <x:v>Средняя</x:v>
      </x:c>
      <x:c r="L55" s="28" t="str">
        <x:v>The Art &amp; Science of Foodpairing.pdf</x:v>
      </x:c>
      <x:c r="M55" s="28" t="str">
        <x:v>The Art &amp; Science of Foodpairing.pdf: 47 | The Art &amp; Science of Foodpairing.pdf: 48 | The Art &amp; Science of Foodpairing.pdf: 49</x:v>
      </x:c>
    </x:row>
    <x:row r="56" ht="64" customHeight="1">
      <x:c r="A56" s="28" t="str">
        <x:v>STN-0080</x:v>
      </x:c>
      <x:c r="B56" s="28" t="str">
        <x:v>персик</x:v>
      </x:c>
      <x:c r="C56" s="28" t="str">
        <x:v>персик</x:v>
      </x:c>
      <x:c r="D56" s="28" t="str">
        <x:v>абрикосовый бренди</x:v>
      </x:c>
      <x:c r="E56" s="28" t="str">
        <x:v>Алкогольные напитки</x:v>
      </x:c>
      <x:c r="F56" s="28" t="str">
        <x:v>комплементарность ароматических семейств, вкусовой контраст и матричный эффект</x:v>
      </x:c>
      <x:c r="G5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Абрикосовый бренди относится к группе «Алкогольные напитки» 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По доступным материалам нельзя уверенно свести совместимость к одной общей молекуле. Общие ароматические направления: цветочный.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H56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I56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J56" s="28" t="str">
        <x:v>коктейль, кордиал, настой, спритц, чайный или кофейный напиток</x:v>
      </x:c>
      <x:c r="K56" s="28" t="str">
        <x:v>Средняя</x:v>
      </x:c>
      <x:c r="L56" s="28" t="str">
        <x:v>The Art &amp; Science of Foodpairing.pdf</x:v>
      </x:c>
      <x:c r="M56" s="28" t="str">
        <x:v>The Art &amp; Science of Foodpairing.pdf: 260–261</x:v>
      </x:c>
    </x:row>
    <x:row r="57" ht="64" customHeight="1">
      <x:c r="A57" s="28" t="str">
        <x:v>STN-0081</x:v>
      </x:c>
      <x:c r="B57" s="28" t="str">
        <x:v>персик</x:v>
      </x:c>
      <x:c r="C57" s="28" t="str">
        <x:v>персик</x:v>
      </x:c>
      <x:c r="D57" s="28" t="str">
        <x:v>абсент</x:v>
      </x:c>
      <x:c r="E57" s="28" t="str">
        <x:v>Алкогольные напитки</x:v>
      </x:c>
      <x:c r="F57" s="28" t="str">
        <x:v>комплементарность ароматических семейств, вкусовой контраст и матричный эффект</x:v>
      </x:c>
      <x:c r="G5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Абсент относится к группе «Алкогольные напитки» 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По доступным материалам нельзя уверенно свести совместимость к одной общей молекуле. Общие ароматические направления: цветочный.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H57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I57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J57" s="28" t="str">
        <x:v>коктейль, кордиал, настой, спритц, чайный или кофейный напиток</x:v>
      </x:c>
      <x:c r="K57" s="28" t="str">
        <x:v>Средняя</x:v>
      </x:c>
      <x:c r="L57" s="28" t="str">
        <x:v>The Art &amp; Science of Foodpairing.pdf</x:v>
      </x:c>
      <x:c r="M57" s="28" t="str">
        <x:v>The Art &amp; Science of Foodpairing.pdf: 260–261</x:v>
      </x:c>
    </x:row>
    <x:row r="58" ht="64" customHeight="1">
      <x:c r="A58" s="28" t="str">
        <x:v>STN-0082</x:v>
      </x:c>
      <x:c r="B58" s="28" t="str">
        <x:v>персик</x:v>
      </x:c>
      <x:c r="C58" s="28" t="str">
        <x:v>персик</x:v>
      </x:c>
      <x:c r="D58" s="28" t="str">
        <x:v>авокадо</x:v>
      </x:c>
      <x:c r="E58" s="28" t="str">
        <x:v>Тропические фрукты и жирные матрицы</x:v>
      </x:c>
      <x:c r="F58" s="28" t="str">
        <x:v>прямое или классовое перекрытие характерных одорантов + вкусовой баланс</x:v>
      </x:c>
      <x:c r="G5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В рабочих профилях пересекаются: гексаналь.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мягкий, жирный, почти несладкий; лёгкая растительная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высокожировая эмульсия; хорошо растворяет гидрофобные ароматические молекулы.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5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5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58" s="28" t="str">
        <x:v>напиток, соус, десерт или горячее блюдо после пробной дегустации</x:v>
      </x:c>
      <x:c r="K58" s="28" t="str">
        <x:v>Средняя</x:v>
      </x:c>
      <x:c r="L58" s="28" t="str">
        <x:v>The Art &amp; Science of Foodpairing.pdf</x:v>
      </x:c>
      <x:c r="M58" s="28" t="str">
        <x:v>The Art &amp; Science of Foodpairing.pdf: 355 | The Art &amp; Science of Foodpairing.pdf: 260–261</x:v>
      </x:c>
    </x:row>
    <x:row r="59" ht="64" customHeight="1">
      <x:c r="A59" s="28" t="str">
        <x:v>STN-0083</x:v>
      </x:c>
      <x:c r="B59" s="28" t="str">
        <x:v>персик</x:v>
      </x:c>
      <x:c r="C59" s="28" t="str">
        <x:v>персик</x:v>
      </x:c>
      <x:c r="D59" s="28" t="str">
        <x:v>амаретто</x:v>
      </x:c>
      <x:c r="E59" s="28" t="str">
        <x:v>Алкогольные напитки</x:v>
      </x:c>
      <x:c r="F59" s="28" t="str">
        <x:v>комплементарность ароматических семейств, вкусовой контраст и матричный эффект</x:v>
      </x:c>
      <x:c r="G5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Амаретто относится к группе «Алкогольные напитки» 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По доступным материалам нельзя уверенно свести совместимость к одной общей молекуле. Общие ароматические направления: цветочный.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H59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I59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J59" s="28" t="str">
        <x:v>коктейль, кордиал, настой, спритц, чайный или кофейный напиток</x:v>
      </x:c>
      <x:c r="K59" s="28" t="str">
        <x:v>Средняя</x:v>
      </x:c>
      <x:c r="L59" s="28" t="str">
        <x:v>The Art &amp; Science of Foodpairing.pdf</x:v>
      </x:c>
      <x:c r="M59" s="28" t="str">
        <x:v>The Art &amp; Science of Foodpairing.pdf: 260–261</x:v>
      </x:c>
    </x:row>
    <x:row r="60" ht="64" customHeight="1">
      <x:c r="A60" s="28" t="str">
        <x:v>STN-0084</x:v>
      </x:c>
      <x:c r="B60" s="28" t="str">
        <x:v>персик</x:v>
      </x:c>
      <x:c r="C60" s="28" t="str">
        <x:v>персик</x:v>
      </x:c>
      <x:c r="D60" s="28" t="str">
        <x:v>апельсин</x:v>
      </x:c>
      <x:c r="E60" s="28" t="str">
        <x:v>Цитрусовые</x:v>
      </x:c>
      <x:c r="F60" s="28" t="str">
        <x:v>прямое или классовое перекрытие характерных одорантов + вкусовой баланс</x:v>
      </x:c>
      <x:c r="G6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 и кислый, цедра содержит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6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6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60" s="28" t="str">
        <x:v>сорбет, салат, джем, кордиал, лимонад, коктейль или фруктовый соус</x:v>
      </x:c>
      <x:c r="K60" s="28" t="str">
        <x:v>Средняя</x:v>
      </x:c>
      <x:c r="L60" s="28" t="str">
        <x:v>Тезариус вкусов (Ники Сегнит)(1).pdf</x:v>
      </x:c>
      <x:c r="M60" s="28" t="str">
        <x:v>Тезариус вкусов (Ники Сегнит)(1).pdf: Тезариус вкусов (Ники Сегнит)(1).pdf: 747, 779 | Тезариус вкусов (Ники Сегнит)(1).pdf: 747 | Тезариус вкусов (Ники Сегнит)(1).pdf: 779</x:v>
      </x:c>
    </x:row>
    <x:row r="61" ht="64" customHeight="1">
      <x:c r="A61" s="28" t="str">
        <x:v>STN-0085</x:v>
      </x:c>
      <x:c r="B61" s="28" t="str">
        <x:v>персик</x:v>
      </x:c>
      <x:c r="C61" s="28" t="str">
        <x:v>персик</x:v>
      </x:c>
      <x:c r="D61" s="28" t="str">
        <x:v>бадьян</x:v>
      </x:c>
      <x:c r="E61" s="28" t="str">
        <x:v>Специи и острые компоненты</x:v>
      </x:c>
      <x:c r="F61" s="28" t="str">
        <x:v>комплементарность ароматических семейств, вкусовой контраст и матричный эффект</x:v>
      </x:c>
      <x:c r="G6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Бадьян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61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61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61" s="28" t="str">
        <x:v>напиток, соус, десерт или горячее блюдо после пробной дегустации</x:v>
      </x:c>
      <x:c r="K61" s="28" t="str">
        <x:v>Средняя</x:v>
      </x:c>
      <x:c r="L61" s="28" t="str">
        <x:v>The Art &amp; Science of Foodpairing.pdf</x:v>
      </x:c>
      <x:c r="M61" s="28" t="str">
        <x:v>The Art &amp; Science of Foodpairing.pdf: 260–261</x:v>
      </x:c>
    </x:row>
    <x:row r="62" ht="64" customHeight="1">
      <x:c r="A62" s="28" t="str">
        <x:v>STN-0086</x:v>
      </x:c>
      <x:c r="B62" s="28" t="str">
        <x:v>персик</x:v>
      </x:c>
      <x:c r="C62" s="28" t="str">
        <x:v>персик</x:v>
      </x:c>
      <x:c r="D62" s="28" t="str">
        <x:v>базилик</x:v>
      </x:c>
      <x:c r="E62" s="28" t="str">
        <x:v>Травы и цветы</x:v>
      </x:c>
      <x:c r="F62" s="28" t="str">
        <x:v>прямое или классовое перекрытие характерных одорантов + вкусовой баланс</x:v>
      </x:c>
      <x:c r="G6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6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6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62" s="28" t="str">
        <x:v>напиток, соус, десерт или горячее блюдо после пробной дегустации</x:v>
      </x:c>
      <x:c r="K62" s="28" t="str">
        <x:v>Гипотеза / практическая</x:v>
      </x:c>
      <x:c r="L62" s="28" t="str">
        <x:v>Таблица сочетания(1).pdf</x:v>
      </x:c>
      <x:c r="M62" s="28" t="str">
        <x:v>Таблица сочетания(1).pdf: 15</x:v>
      </x:c>
    </x:row>
    <x:row r="63" ht="64" customHeight="1">
      <x:c r="A63" s="28" t="str">
        <x:v>STN-0091</x:v>
      </x:c>
      <x:c r="B63" s="28" t="str">
        <x:v>персик</x:v>
      </x:c>
      <x:c r="C63" s="28" t="str">
        <x:v>персик</x:v>
      </x:c>
      <x:c r="D63" s="28" t="str">
        <x:v>бергамот</x:v>
      </x:c>
      <x:c r="E63" s="28" t="str">
        <x:v>Цитрусовые</x:v>
      </x:c>
      <x:c r="F63" s="28" t="str">
        <x:v>прямое или классовое перекрытие характерных одорантов + вкусовой баланс</x:v>
      </x:c>
      <x:c r="G6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Бергамот относится к группе «Цитрусовые» и даёт профиль «зелёный, цветочный, цитрусовый»; типичные соединения или классы: лимонен, линалоол, цитраль.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вода и эфирные масла; цедра гидрофобна.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6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6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63" s="28" t="str">
        <x:v>сорбет, салат, джем, кордиал, лимонад, коктейль или фруктовый соус</x:v>
      </x:c>
      <x:c r="K63" s="28" t="str">
        <x:v>Средняя</x:v>
      </x:c>
      <x:c r="L63" s="28" t="str">
        <x:v>The Art &amp; Science of Foodpairing.pdf</x:v>
      </x:c>
      <x:c r="M63" s="28" t="str">
        <x:v>The Art &amp; Science of Foodpairing.pdf: 260–261</x:v>
      </x:c>
    </x:row>
    <x:row r="64" ht="64" customHeight="1">
      <x:c r="A64" s="28" t="str">
        <x:v>STN-0092</x:v>
      </x:c>
      <x:c r="B64" s="28" t="str">
        <x:v>персик</x:v>
      </x:c>
      <x:c r="C64" s="28" t="str">
        <x:v>персик</x:v>
      </x:c>
      <x:c r="D64" s="28" t="str">
        <x:v>бриошь</x:v>
      </x:c>
      <x:c r="E64" s="28" t="str">
        <x:v>Злаки, хлеб и выпечка</x:v>
      </x:c>
      <x:c r="F64" s="28" t="str">
        <x:v>комплементарность ароматических семейств, вкусовой контраст и матричный эффект</x:v>
      </x:c>
      <x:c r="G6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Бриошь относится к группе «Злаки, хлеб и выпечка» и даёт профиль «хлебный, зерновой, ореховый, жареный и карамельный»; типичные соединения или классы: 2-ацетил-1-пирролин, пиразины, фураны, мальтол.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крахмалистость, лёгкая сладость и жареная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 и клетчатка смягчают кислоту и поглощают ароматические соусы.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H6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I6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64" s="28" t="str">
        <x:v>напиток, соус, десерт или горячее блюдо после пробной дегустации</x:v>
      </x:c>
      <x:c r="K64" s="28" t="str">
        <x:v>Средняя</x:v>
      </x:c>
      <x:c r="L64" s="28" t="str">
        <x:v>The Art &amp; Science of Foodpairing.pdf</x:v>
      </x:c>
      <x:c r="M64" s="28" t="str">
        <x:v>The Art &amp; Science of Foodpairing.pdf: 260–261</x:v>
      </x:c>
    </x:row>
    <x:row r="65" ht="64" customHeight="1">
      <x:c r="A65" s="28" t="str">
        <x:v>STN-0093</x:v>
      </x:c>
      <x:c r="B65" s="28" t="str">
        <x:v>персик</x:v>
      </x:c>
      <x:c r="C65" s="28" t="str">
        <x:v>персик</x:v>
      </x:c>
      <x:c r="D65" s="28" t="str">
        <x:v>бузина</x:v>
      </x:c>
      <x:c r="E65" s="28" t="str">
        <x:v>Ягоды и производные</x:v>
      </x:c>
      <x:c r="F65" s="28" t="str">
        <x:v>комплементарность ароматических семейств, вкусовой контраст и матричный эффект</x:v>
      </x:c>
      <x:c r="G6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Бузина относится к группе «Ягоды и производные» и даёт профиль «зелёный, тёмно-фруктовый, цветочный»; типичные соединения или классы: альдегиды, терпены, эфиры.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кисло-сладкий, терпкий.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ягоды обычно требуют термообработки; цветы и ягоды имеют разные профили.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H6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I6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65" s="28" t="str">
        <x:v>напиток, соус, десерт или горячее блюдо после пробной дегустации</x:v>
      </x:c>
      <x:c r="K65" s="28" t="str">
        <x:v>Гипотеза / практическая</x:v>
      </x:c>
      <x:c r="L65" s="28" t="str">
        <x:v>Таблица сочетания(1).pdf</x:v>
      </x:c>
      <x:c r="M65" s="28" t="str">
        <x:v>Таблица сочетания(1).pdf: Таблица сочетаний: 7, 8 | Таблица сочетания(1).pdf: 7</x:v>
      </x:c>
    </x:row>
    <x:row r="66" ht="64" customHeight="1">
      <x:c r="A66" s="28" t="str">
        <x:v>STN-0095</x:v>
      </x:c>
      <x:c r="B66" s="28" t="str">
        <x:v>персик</x:v>
      </x:c>
      <x:c r="C66" s="28" t="str">
        <x:v>персик</x:v>
      </x:c>
      <x:c r="D66" s="28" t="str">
        <x:v>ваниль</x:v>
      </x:c>
      <x:c r="E66" s="28" t="str">
        <x:v>Специи и острые компоненты</x:v>
      </x:c>
      <x:c r="F66" s="28" t="str">
        <x:v>прямое или классовое перекрытие характерных одорантов + вкусовой баланс</x:v>
      </x:c>
      <x:c r="G6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Ваниль относится к группе «Специи и острые компоненты» и даёт профиль «сладкий, сливочный и древесный»; типичные соединения или классы: ванилин, п-гидроксибензальдегид. В рабочих профилях пересекаются: бензальдегид. Общие ароматические направления: сливочный.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66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66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66" s="28" t="str">
        <x:v>напиток, соус, десерт или горячее блюдо после пробной дегустации</x:v>
      </x:c>
      <x:c r="K66" s="28" t="str">
        <x:v>Высокая</x:v>
      </x:c>
      <x:c r="L66" s="28" t="str">
        <x:v>Таблица сочетания(1).pdf | Тезариус вкусов (Ники Сегнит)(1).pdf</x:v>
      </x:c>
      <x:c r="M66" s="28" t="str">
        <x:v>Таблица сочетания(1).pdf: 15 | Таблица сочетания(1).pdf: 21 | Тезариус вкусов (Ники Сегнит)(1).pdf: 747 | Тезариус вкусов (Ники Сегнит)(1).pdf: 919</x:v>
      </x:c>
    </x:row>
    <x:row r="67" ht="64" customHeight="1">
      <x:c r="A67" s="28" t="str">
        <x:v>STN-0096</x:v>
      </x:c>
      <x:c r="B67" s="28" t="str">
        <x:v>персик</x:v>
      </x:c>
      <x:c r="C67" s="28" t="str">
        <x:v>персик</x:v>
      </x:c>
      <x:c r="D67" s="28" t="str">
        <x:v>виноград</x:v>
      </x:c>
      <x:c r="E67" s="28" t="str">
        <x:v>Алкогольные напитки</x:v>
      </x:c>
      <x:c r="F67" s="28" t="str">
        <x:v>комплементарность ароматических семейств, вкусовой контраст и матричный эффект</x:v>
      </x:c>
      <x:c r="G6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Виноград относится к группе «Алкогольные напитки» 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По доступным материалам нельзя уверенно свести совместимость к одной общей молекуле. Общие ароматические направления: цветочный.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H67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I67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J67" s="28" t="str">
        <x:v>коктейль, кордиал, настой, спритц, чайный или кофейный напиток</x:v>
      </x:c>
      <x:c r="K67" s="28" t="str">
        <x:v>Средняя</x:v>
      </x:c>
      <x:c r="L67" s="28" t="str">
        <x:v>Тезариус вкусов (Ники Сегнит)(1).pdf</x:v>
      </x:c>
      <x:c r="M67" s="28" t="str">
        <x:v>Тезариус вкусов (Ники Сегнит)(1).pdf: 748</x:v>
      </x:c>
    </x:row>
    <x:row r="68" ht="64" customHeight="1">
      <x:c r="A68" s="28" t="str">
        <x:v>STN-0097</x:v>
      </x:c>
      <x:c r="B68" s="28" t="str">
        <x:v>персик</x:v>
      </x:c>
      <x:c r="C68" s="28" t="str">
        <x:v>персик</x:v>
      </x:c>
      <x:c r="D68" s="28" t="str">
        <x:v>вишня</x:v>
      </x:c>
      <x:c r="E68" s="28" t="str">
        <x:v>Косточковые фрукты</x:v>
      </x:c>
      <x:c r="F68" s="28" t="str">
        <x:v>прямое или классовое перекрытие характерных одорантов + вкусовой баланс</x:v>
      </x:c>
      <x:c r="G6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линалоол. Общие ароматические направления: цветочный, лактонный. Базовый фрукт даёт: выраженная сладость, умеренная кислотность; беломякотные сорта обычно слаще и мягче по кислоте. Партнёр добавляет: сладость и умеренная кислотность.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пектиновая; кожица и косточка могут давать терпкость и миндальные ноты.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6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6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68" s="28" t="str">
        <x:v>напиток, соус, десерт или горячее блюдо после пробной дегустации</x:v>
      </x:c>
      <x:c r="K68" s="28" t="str">
        <x:v>Высокая</x:v>
      </x:c>
      <x:c r="L68" s="28" t="str">
        <x:v>The Art &amp; Science of Foodpairing.pdf | Таблица сочетания(1).pdf | Тезариус вкусов (Ники Сегнит)(1).pdf</x:v>
      </x:c>
      <x:c r="M68" s="28" t="str">
        <x:v>The Art &amp; Science of Foodpairing.pdf: Тезариус вкусов: 656, 749; The Art &amp; Science of Foodpairing: 260; Таблица сочетаний: 4, 15 | Таблица сочетания(1).pdf: 4 | Таблица сочетания(1).pdf: 15 | Тезариус вкусов (Ники Сегнит)(1).pdf: 656 | Тезариус вкусов (Ники Сегнит)(1).pdf: 749</x:v>
      </x:c>
    </x:row>
    <x:row r="69" ht="64" customHeight="1">
      <x:c r="A69" s="28" t="str">
        <x:v>STN-0099</x:v>
      </x:c>
      <x:c r="B69" s="28" t="str">
        <x:v>персик</x:v>
      </x:c>
      <x:c r="C69" s="28" t="str">
        <x:v>персик</x:v>
      </x:c>
      <x:c r="D69" s="28" t="str">
        <x:v>выдержанный хересный уксус</x:v>
      </x:c>
      <x:c r="E69" s="28" t="str">
        <x:v>Алкогольные напитки</x:v>
      </x:c>
      <x:c r="F69" s="28" t="str">
        <x:v>комплементарность ароматических семейств, вкусовой контраст и матричный эффект</x:v>
      </x:c>
      <x:c r="G6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Выдержанный хересный уксус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По доступным материалам нельзя уверенно свести совместимость к одной общей молекуле.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H69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I69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J69" s="28" t="str">
        <x:v>коктейль, кордиал, настой, спритц, чайный или кофейный напиток</x:v>
      </x:c>
      <x:c r="K69" s="28" t="str">
        <x:v>Средняя</x:v>
      </x:c>
      <x:c r="L69" s="28" t="str">
        <x:v>The Art &amp; Science of Foodpairing.pdf</x:v>
      </x:c>
      <x:c r="M69" s="28" t="str">
        <x:v>The Art &amp; Science of Foodpairing.pdf: 260–261</x:v>
      </x:c>
    </x:row>
    <x:row r="70" ht="64" customHeight="1">
      <x:c r="A70" s="28" t="str">
        <x:v>STN-0100</x:v>
      </x:c>
      <x:c r="B70" s="28" t="str">
        <x:v>персик</x:v>
      </x:c>
      <x:c r="C70" s="28" t="str">
        <x:v>персик</x:v>
      </x:c>
      <x:c r="D70" s="28" t="str">
        <x:v>гвоздика</x:v>
      </x:c>
      <x:c r="E70" s="28" t="str">
        <x:v>Специи и острые компоненты</x:v>
      </x:c>
      <x:c r="F70" s="28" t="str">
        <x:v>комплементарность ароматических семейств, вкусовой контраст и матричный эффект</x:v>
      </x:c>
      <x:c r="G7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Гвоздика относится к группе «Специи и острые компоненты» и даёт профиль «тёплый, фенольный и пряный»; типичные соединения или классы: эвгенол, эвгенилацетат.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70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70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70" s="28" t="str">
        <x:v>напиток, соус, десерт или горячее блюдо после пробной дегустации</x:v>
      </x:c>
      <x:c r="K70" s="28" t="str">
        <x:v>Высокая</x:v>
      </x:c>
      <x:c r="L70" s="28" t="str">
        <x:v>Таблица сочетания(1).pdf | Тезариус вкусов (Ники Сегнит)(1).pdf</x:v>
      </x:c>
      <x:c r="M70" s="28" t="str">
        <x:v>Таблица сочетания(1).pdf: 15 | Тезариус вкусов (Ники Сегнит)(1).pdf: 584 | Тезариус вкусов (Ники Сегнит)(1).pdf: 750</x:v>
      </x:c>
    </x:row>
    <x:row r="71" ht="64" customHeight="1">
      <x:c r="A71" s="28" t="str">
        <x:v>STN-0101</x:v>
      </x:c>
      <x:c r="B71" s="28" t="str">
        <x:v>персик</x:v>
      </x:c>
      <x:c r="C71" s="28" t="str">
        <x:v>персик</x:v>
      </x:c>
      <x:c r="D71" s="28" t="str">
        <x:v>гибискус</x:v>
      </x:c>
      <x:c r="E71" s="28" t="str">
        <x:v>Прочее</x:v>
      </x:c>
      <x:c r="F71" s="28" t="str">
        <x:v>комплементарность ароматических семейств, вкусовой контраст и матричный эффект</x:v>
      </x:c>
      <x:c r="G7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Гибискус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7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7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1" s="28" t="str">
        <x:v>напиток, соус, десерт или горячее блюдо после пробной дегустации</x:v>
      </x:c>
      <x:c r="K71" s="28" t="str">
        <x:v>Гипотеза / практическая</x:v>
      </x:c>
      <x:c r="L71" s="28" t="str">
        <x:v>Таблица сочетания(1).pdf</x:v>
      </x:c>
      <x:c r="M71" s="28" t="str">
        <x:v>Таблица сочетания(1).pdf: 9</x:v>
      </x:c>
    </x:row>
    <x:row r="72" ht="64" customHeight="1">
      <x:c r="A72" s="28" t="str">
        <x:v>STN-0103</x:v>
      </x:c>
      <x:c r="B72" s="28" t="str">
        <x:v>персик</x:v>
      </x:c>
      <x:c r="C72" s="28" t="str">
        <x:v>персик</x:v>
      </x:c>
      <x:c r="D72" s="28" t="str">
        <x:v>голубика</x:v>
      </x:c>
      <x:c r="E72" s="28" t="str">
        <x:v>Ягоды</x:v>
      </x:c>
      <x:c r="F72" s="28" t="str">
        <x:v>комплементарность ароматических семейств, вкусовой контраст и матричный эффект</x:v>
      </x:c>
      <x:c r="G7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7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7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2" s="28" t="str">
        <x:v>сорбет, салат, джем, кордиал, лимонад, коктейль или фруктовый соус</x:v>
      </x:c>
      <x:c r="K72" s="28" t="str">
        <x:v>Гипотеза / практическая</x:v>
      </x:c>
      <x:c r="L72" s="28" t="str">
        <x:v>Таблица сочетания(1).pdf</x:v>
      </x:c>
      <x:c r="M72" s="28" t="str">
        <x:v>Таблица сочетания(1).pdf: Таблица сочетаний: 15 | Таблица сочетания(1).pdf: 15</x:v>
      </x:c>
    </x:row>
    <x:row r="73" ht="64" customHeight="1">
      <x:c r="A73" s="28" t="str">
        <x:v>STN-0105</x:v>
      </x:c>
      <x:c r="B73" s="28" t="str">
        <x:v>персик</x:v>
      </x:c>
      <x:c r="C73" s="28" t="str">
        <x:v>персик</x:v>
      </x:c>
      <x:c r="D73" s="28" t="str">
        <x:v>горгонзола</x:v>
      </x:c>
      <x:c r="E73" s="28" t="str">
        <x:v>Прочее</x:v>
      </x:c>
      <x:c r="F73" s="28" t="str">
        <x:v>комплементарность ароматических семейств, вкусовой контраст и матричный эффект</x:v>
      </x:c>
      <x:c r="G7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Горгонзола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7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7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3" s="28" t="str">
        <x:v>напиток, соус, десерт или горячее блюдо после пробной дегустации</x:v>
      </x:c>
      <x:c r="K73" s="28" t="str">
        <x:v>Средняя</x:v>
      </x:c>
      <x:c r="L73" s="28" t="str">
        <x:v>The Art &amp; Science of Foodpairing.pdf</x:v>
      </x:c>
      <x:c r="M73" s="28" t="str">
        <x:v>The Art &amp; Science of Foodpairing.pdf: 260–261</x:v>
      </x:c>
    </x:row>
    <x:row r="74" ht="64" customHeight="1">
      <x:c r="A74" s="28" t="str">
        <x:v>STN-0106</x:v>
      </x:c>
      <x:c r="B74" s="28" t="str">
        <x:v>персик</x:v>
      </x:c>
      <x:c r="C74" s="28" t="str">
        <x:v>персик</x:v>
      </x:c>
      <x:c r="D74" s="28" t="str">
        <x:v>гранат</x:v>
      </x:c>
      <x:c r="E74" s="28" t="str">
        <x:v>Субтропические фрукты</x:v>
      </x:c>
      <x:c r="F74" s="28" t="str">
        <x:v>прямое или классовое перекрытие характерных одорантов + вкусовой баланс</x:v>
      </x:c>
      <x:c r="G7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Гранат относится к группе «Субтропические фрукты» и даёт профиль «красно-фруктовый, цветочный, зелёный и винный»; типичные соединения или классы: гексаналь, (E)-2-гексеналь, эфиры, терпены; нелетучие пуникалагины и антоцианы. В рабочих профилях пересекаются: гексаналь.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яркая кислотность, сладость и выраженная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водный сок с полифенолами; семена дают хруст и лёгкую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H7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I7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4" s="28" t="str">
        <x:v>напиток, соус, десерт или горячее блюдо после пробной дегустации</x:v>
      </x:c>
      <x:c r="K74" s="28" t="str">
        <x:v>Средняя</x:v>
      </x:c>
      <x:c r="L74" s="28" t="str">
        <x:v>The Art &amp; Science of Foodpairing.pdf</x:v>
      </x:c>
      <x:c r="M74" s="28" t="str">
        <x:v>The Art &amp; Science of Foodpairing.pdf: 260–261</x:v>
      </x:c>
    </x:row>
    <x:row r="75" ht="64" customHeight="1">
      <x:c r="A75" s="28" t="str">
        <x:v>STN-0108</x:v>
      </x:c>
      <x:c r="B75" s="28" t="str">
        <x:v>персик</x:v>
      </x:c>
      <x:c r="C75" s="28" t="str">
        <x:v>персик</x:v>
      </x:c>
      <x:c r="D75" s="28" t="str">
        <x:v>грюйер</x:v>
      </x:c>
      <x:c r="E75" s="28" t="str">
        <x:v>Молочные продукты и сыры</x:v>
      </x:c>
      <x:c r="F75" s="28" t="str">
        <x:v>комплементарность ароматических семейств, вкусовой контраст и матричный эффект</x:v>
      </x:c>
      <x:c r="G7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Грюйер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жирный, кислый/солёный.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жировая и белковая матрица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7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7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5" s="28" t="str">
        <x:v>напиток, соус, десерт или горячее блюдо после пробной дегустации</x:v>
      </x:c>
      <x:c r="K75" s="28" t="str">
        <x:v>Средняя</x:v>
      </x:c>
      <x:c r="L75" s="28" t="str">
        <x:v>The Art &amp; Science of Foodpairing.pdf</x:v>
      </x:c>
      <x:c r="M75" s="28" t="str">
        <x:v>The Art &amp; Science of Foodpairing.pdf: 260–261</x:v>
      </x:c>
    </x:row>
    <x:row r="76" ht="64" customHeight="1">
      <x:c r="A76" s="28" t="str">
        <x:v>STN-0111</x:v>
      </x:c>
      <x:c r="B76" s="28" t="str">
        <x:v>персик</x:v>
      </x:c>
      <x:c r="C76" s="28" t="str">
        <x:v>персик</x:v>
      </x:c>
      <x:c r="D76" s="28" t="str">
        <x:v>дыня ханидью</x:v>
      </x:c>
      <x:c r="E76" s="28" t="str">
        <x:v>Фрукты</x:v>
      </x:c>
      <x:c r="F76" s="28" t="str">
        <x:v>комплементарность ароматических семейств, вкусовой контраст и матричный эффект</x:v>
      </x:c>
      <x:c r="G7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Дыня ханидью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7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7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6" s="28" t="str">
        <x:v>сорбет, салат, джем, кордиал, лимонад, коктейль или фруктовый соус</x:v>
      </x:c>
      <x:c r="K76" s="28" t="str">
        <x:v>Средняя</x:v>
      </x:c>
      <x:c r="L76" s="28" t="str">
        <x:v>The Art &amp; Science of Foodpairing.pdf</x:v>
      </x:c>
      <x:c r="M76" s="28" t="str">
        <x:v>The Art &amp; Science of Foodpairing.pdf: 260–261</x:v>
      </x:c>
    </x:row>
    <x:row r="77" ht="64" customHeight="1">
      <x:c r="A77" s="28" t="str">
        <x:v>STN-0112</x:v>
      </x:c>
      <x:c r="B77" s="28" t="str">
        <x:v>персик</x:v>
      </x:c>
      <x:c r="C77" s="28" t="str">
        <x:v>персик</x:v>
      </x:c>
      <x:c r="D77" s="28" t="str">
        <x:v>ежевика</x:v>
      </x:c>
      <x:c r="E77" s="28" t="str">
        <x:v>Ягоды</x:v>
      </x:c>
      <x:c r="F77" s="28" t="str">
        <x:v>комплементарность ароматических семейств, вкусовой контраст и матричный эффект</x:v>
      </x:c>
      <x:c r="G7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Ежевика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7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7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7" s="28" t="str">
        <x:v>сорбет, салат, джем, кордиал, лимонад, коктейль или фруктовый соус</x:v>
      </x:c>
      <x:c r="K77" s="28" t="str">
        <x:v>Высокая</x:v>
      </x:c>
      <x:c r="L77" s="28" t="str">
        <x:v>The Art &amp; Science of Foodpairing.pdf | Таблица сочетания(1).pdf | Тезариус вкусов (Ники Сегнит)(1).pdf</x:v>
      </x:c>
      <x:c r="M77" s="28" t="str">
        <x:v>The Art &amp; Science of Foodpairing.pdf: Тезариус вкусов: 750, 882; The Art &amp; Science of Foodpairing: 260; Таблица сочетаний: 2, 15 | Таблица сочетания(1).pdf: 2 | Таблица сочетания(1).pdf: 15 | Тезариус вкусов (Ники Сегнит)(1).pdf: 750 | Тезариус вкусов (Ники Сегнит)(1).pdf: 882 | The Art &amp; Science of Foodpairing.pdf: 260–261</x:v>
      </x:c>
    </x:row>
    <x:row r="78" ht="64" customHeight="1">
      <x:c r="A78" s="28" t="str">
        <x:v>STN-0113</x:v>
      </x:c>
      <x:c r="B78" s="28" t="str">
        <x:v>персик</x:v>
      </x:c>
      <x:c r="C78" s="28" t="str">
        <x:v>персик</x:v>
      </x:c>
      <x:c r="D78" s="28" t="str">
        <x:v>жареное филе куриной грудки</x:v>
      </x:c>
      <x:c r="E78" s="28" t="str">
        <x:v>Прочее</x:v>
      </x:c>
      <x:c r="F78" s="28" t="str">
        <x:v>комплементарность ароматических семейств, вкусовой контраст и матричный эффект</x:v>
      </x:c>
      <x:c r="G7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Жареное филе куриной грудки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7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7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8" s="28" t="str">
        <x:v>напиток, соус, десерт или горячее блюдо после пробной дегустации</x:v>
      </x:c>
      <x:c r="K78" s="28" t="str">
        <x:v>Средняя</x:v>
      </x:c>
      <x:c r="L78" s="28" t="str">
        <x:v>The Art &amp; Science of Foodpairing.pdf</x:v>
      </x:c>
      <x:c r="M78" s="28" t="str">
        <x:v>The Art &amp; Science of Foodpairing.pdf: 260–261</x:v>
      </x:c>
    </x:row>
    <x:row r="79" ht="64" customHeight="1">
      <x:c r="A79" s="28" t="str">
        <x:v>STN-0114</x:v>
      </x:c>
      <x:c r="B79" s="28" t="str">
        <x:v>персик</x:v>
      </x:c>
      <x:c r="C79" s="28" t="str">
        <x:v>персик</x:v>
      </x:c>
      <x:c r="D79" s="28" t="str">
        <x:v>жасмин</x:v>
      </x:c>
      <x:c r="E79" s="28" t="str">
        <x:v>Травы и цветы</x:v>
      </x:c>
      <x:c r="F79" s="28" t="str">
        <x:v>прямое или классовое перекрытие характерных одорантов + вкусовой баланс</x:v>
      </x:c>
      <x:c r="G7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Жасмин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7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7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9" s="28" t="str">
        <x:v>напиток, соус, десерт или горячее блюдо после пробной дегустации</x:v>
      </x:c>
      <x:c r="K79" s="28" t="str">
        <x:v>Гипотеза / практическая</x:v>
      </x:c>
      <x:c r="L79" s="28" t="str">
        <x:v>Таблица сочетания(1).pdf</x:v>
      </x:c>
      <x:c r="M79" s="28" t="str">
        <x:v>Таблица сочетания(1).pdf: 10</x:v>
      </x:c>
    </x:row>
    <x:row r="80" ht="64" customHeight="1">
      <x:c r="A80" s="28" t="str">
        <x:v>STN-0122</x:v>
      </x:c>
      <x:c r="B80" s="28" t="str">
        <x:v>персик</x:v>
      </x:c>
      <x:c r="C80" s="28" t="str">
        <x:v>персик</x:v>
      </x:c>
      <x:c r="D80" s="28" t="str">
        <x:v>изюм</x:v>
      </x:c>
      <x:c r="E80" s="28" t="str">
        <x:v>Фрукты</x:v>
      </x:c>
      <x:c r="F80" s="28" t="str">
        <x:v>комплементарность ароматических семейств, вкусовой контраст и матричный эффект</x:v>
      </x:c>
      <x:c r="G8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Изюм относится к группе «Фрукты» и даёт профиль «зелёный, фруктовый, цветочный»; типичные соединения или классы: лактоны, терпены, эфиры.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фруктовая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8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8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0" s="28" t="str">
        <x:v>сорбет, салат, джем, кордиал, лимонад, коктейль или фруктовый соус</x:v>
      </x:c>
      <x:c r="K80" s="28" t="str">
        <x:v>Средняя</x:v>
      </x:c>
      <x:c r="L80" s="28" t="str">
        <x:v>The Art &amp; Science of Foodpairing.pdf</x:v>
      </x:c>
      <x:c r="M80" s="28" t="str">
        <x:v>The Art &amp; Science of Foodpairing.pdf: 260–261</x:v>
      </x:c>
    </x:row>
    <x:row r="81" ht="64" customHeight="1">
      <x:c r="A81" s="28" t="str">
        <x:v>STN-0123</x:v>
      </x:c>
      <x:c r="B81" s="28" t="str">
        <x:v>персик</x:v>
      </x:c>
      <x:c r="C81" s="28" t="str">
        <x:v>персик</x:v>
      </x:c>
      <x:c r="D81" s="28" t="str">
        <x:v>имбирь</x:v>
      </x:c>
      <x:c r="E81" s="28" t="str">
        <x:v>Специи и острые компоненты</x:v>
      </x:c>
      <x:c r="F81" s="28" t="str">
        <x:v>комплементарность ароматических семейств, вкусовой контраст и матричный эффект</x:v>
      </x:c>
      <x:c r="G8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81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81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81" s="28" t="str">
        <x:v>напиток, соус, десерт или горячее блюдо после пробной дегустации</x:v>
      </x:c>
      <x:c r="K81" s="28" t="str">
        <x:v>Гипотеза / практическая</x:v>
      </x:c>
      <x:c r="L81" s="28" t="str">
        <x:v>Таблица сочетания(1).pdf</x:v>
      </x:c>
      <x:c r="M81" s="28" t="str">
        <x:v>Таблица сочетания(1).pdf: 15</x:v>
      </x:c>
    </x:row>
    <x:row r="82" ht="64" customHeight="1">
      <x:c r="A82" s="28" t="str">
        <x:v>STN-0124</x:v>
      </x:c>
      <x:c r="B82" s="28" t="str">
        <x:v>персик</x:v>
      </x:c>
      <x:c r="C82" s="28" t="str">
        <x:v>персик</x:v>
      </x:c>
      <x:c r="D82" s="28" t="str">
        <x:v>инжир</x:v>
      </x:c>
      <x:c r="E82" s="28" t="str">
        <x:v>Субтропические фрукты</x:v>
      </x:c>
      <x:c r="F82" s="28" t="str">
        <x:v>прямое или классовое перекрытие характерных одорантов + вкусовой баланс</x:v>
      </x:c>
      <x:c r="G8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бензальдегид, линалоол. Общие ароматические направления: цветочный, лактонный, зелёный.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низкая кислотность; семена дают хруст.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пектиновая и сахаристая; сушёный инжир концентрирует сахар, фенолы и карамельные ноты.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8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8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2" s="28" t="str">
        <x:v>напиток, соус, десерт или горячее блюдо после пробной дегустации</x:v>
      </x:c>
      <x:c r="K82" s="28" t="str">
        <x:v>Гипотеза / практическая</x:v>
      </x:c>
      <x:c r="L82" s="28" t="str">
        <x:v>Таблица сочетания(1).pdf</x:v>
      </x:c>
      <x:c r="M82" s="28" t="str">
        <x:v>Таблица сочетания(1).pdf: Таблица сочетаний: 15 | Таблица сочетания(1).pdf: 15</x:v>
      </x:c>
    </x:row>
    <x:row r="83" ht="64" customHeight="1">
      <x:c r="A83" s="28" t="str">
        <x:v>STN-0125</x:v>
      </x:c>
      <x:c r="B83" s="28" t="str">
        <x:v>персик</x:v>
      </x:c>
      <x:c r="C83" s="28" t="str">
        <x:v>персик</x:v>
      </x:c>
      <x:c r="D83" s="28" t="str">
        <x:v>каламонси</x:v>
      </x:c>
      <x:c r="E83" s="28" t="str">
        <x:v>Цитрусовые</x:v>
      </x:c>
      <x:c r="F83" s="28" t="str">
        <x:v>комплементарность ароматических семейств, вкусовой контраст и матричный эффект</x:v>
      </x:c>
      <x:c r="G8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Каламонси относится к группе «Цитрусовые» и даёт профиль «цитрусовый, зелёный, травяной, камфорный»; типичные соединения или классы: лимонен, гамма-терпинен, цитраль, бета-пинен, линалол. По доступным материалам нельзя уверенно свести совместимость к одной общей молекуле. Общие ароматические направления: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— водная кислая фаза; цедра — масляная терпеновая.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Лаймовые цитрусы дают более зелёный и камфорный профиль, чем сладкий апельсин..</x:v>
      </x:c>
      <x:c r="H8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Лаймовые цитрусы дают более зелёный и камфорный профиль, чем сладкий апельсин..</x:v>
      </x:c>
      <x:c r="I8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3" s="28" t="str">
        <x:v>сорбет, салат, джем, кордиал, лимонад, коктейль или фруктовый соус</x:v>
      </x:c>
      <x:c r="K83" s="28" t="str">
        <x:v>Гипотеза / практическая</x:v>
      </x:c>
      <x:c r="L83" s="28" t="str">
        <x:v>The Art &amp; Science of Foodpairing.pdf</x:v>
      </x:c>
      <x:c r="M83" s="28" t="str">
        <x:v>The Art &amp; Science of Foodpairing.pdf: The Art &amp; Science of Foodpairing.pdf: 142</x:v>
      </x:c>
    </x:row>
    <x:row r="84" ht="64" customHeight="1">
      <x:c r="A84" s="28" t="str">
        <x:v>STN-0126</x:v>
      </x:c>
      <x:c r="B84" s="28" t="str">
        <x:v>персик</x:v>
      </x:c>
      <x:c r="C84" s="28" t="str">
        <x:v>персик</x:v>
      </x:c>
      <x:c r="D84" s="28" t="str">
        <x:v>канталупа</x:v>
      </x:c>
      <x:c r="E84" s="28" t="str">
        <x:v>Бахчевые</x:v>
      </x:c>
      <x:c r="F84" s="28" t="str">
        <x:v>комплементарность ароматических семейств, вкусовой контраст и матричный эффект</x:v>
      </x:c>
      <x:c r="G8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Канталупа относится к группе «Бахчевые» и даёт профиль «интенсивно сладкий, мускусный, цветочный и зелёный»; типичные соединения или классы: этил-2-метилбутират, этилбутират, C9-альдегиды, тиоэфиры.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выраженная сладость и слабая кислотность.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мягкая; аромат быстро улетучивается после нарезки.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H8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I8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4" s="28" t="str">
        <x:v>напиток, соус, десерт или горячее блюдо после пробной дегустации</x:v>
      </x:c>
      <x:c r="K84" s="28" t="str">
        <x:v>Средняя</x:v>
      </x:c>
      <x:c r="L84" s="28" t="str">
        <x:v>The Art &amp; Science of Foodpairing.pdf</x:v>
      </x:c>
      <x:c r="M84" s="28" t="str">
        <x:v>The Art &amp; Science of Foodpairing.pdf: 260–261</x:v>
      </x:c>
    </x:row>
    <x:row r="85" ht="64" customHeight="1">
      <x:c r="A85" s="28" t="str">
        <x:v>STN-0127</x:v>
      </x:c>
      <x:c r="B85" s="28" t="str">
        <x:v>персик</x:v>
      </x:c>
      <x:c r="C85" s="28" t="str">
        <x:v>персик</x:v>
      </x:c>
      <x:c r="D85" s="28" t="str">
        <x:v>карамель</x:v>
      </x:c>
      <x:c r="E85" s="28" t="str">
        <x:v>Сахара, мёд и кондитерские основы</x:v>
      </x:c>
      <x:c r="F85" s="28" t="str">
        <x:v>комплементарность ароматических семейств, вкусовой контраст и матричный эффект</x:v>
      </x:c>
      <x:c r="G8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8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8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5" s="28" t="str">
        <x:v>напиток, соус, десерт или горячее блюдо после пробной дегустации</x:v>
      </x:c>
      <x:c r="K85" s="28" t="str">
        <x:v>Гипотеза / практическая</x:v>
      </x:c>
      <x:c r="L85" s="28" t="str">
        <x:v>Таблица сочетания(1).pdf</x:v>
      </x:c>
      <x:c r="M85" s="28" t="str">
        <x:v>Таблица сочетания(1).pdf: 15</x:v>
      </x:c>
    </x:row>
    <x:row r="86" ht="64" customHeight="1">
      <x:c r="A86" s="28" t="str">
        <x:v>STN-0131</x:v>
      </x:c>
      <x:c r="B86" s="28" t="str">
        <x:v>персик</x:v>
      </x:c>
      <x:c r="C86" s="28" t="str">
        <x:v>персик</x:v>
      </x:c>
      <x:c r="D86" s="28" t="str">
        <x:v>киви</x:v>
      </x:c>
      <x:c r="E86" s="28" t="str">
        <x:v>Тропические и субтропические фрукты</x:v>
      </x:c>
      <x:c r="F86" s="28" t="str">
        <x:v>прямое или классовое перекрытие характерных одорантов + вкусовой баланс</x:v>
      </x:c>
      <x:c r="G8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Киви относится к группе «Тропические и субтропические фрукты» и даёт профиль «зелёный, травянистый, цитрусовый, фруктовый и слегка морской»; типичные соединения или классы: гексаналь, (E)-2-гексеналь, этилбутират, метилбутират, линалоол; фермент актинидин. В рабочих профилях пересекаются: линалоол, гексаналь.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высокая кислотность, сладость и выраженная свежесть.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водная; содержит протеазу актинидин и кристаллы оксалата кальция.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H8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I8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6" s="28" t="str">
        <x:v>напиток, соус, десерт или горячее блюдо после пробной дегустации</x:v>
      </x:c>
      <x:c r="K86" s="28" t="str">
        <x:v>Средняя</x:v>
      </x:c>
      <x:c r="L86" s="28" t="str">
        <x:v>The Art &amp; Science of Foodpairing.pdf</x:v>
      </x:c>
      <x:c r="M86" s="28" t="str">
        <x:v>The Art &amp; Science of Foodpairing.pdf: 260–261</x:v>
      </x:c>
    </x:row>
    <x:row r="87" ht="64" customHeight="1">
      <x:c r="A87" s="28" t="str">
        <x:v>STN-0132</x:v>
      </x:c>
      <x:c r="B87" s="28" t="str">
        <x:v>персик</x:v>
      </x:c>
      <x:c r="C87" s="28" t="str">
        <x:v>персик</x:v>
      </x:c>
      <x:c r="D87" s="28" t="str">
        <x:v>китайская сенча</x:v>
      </x:c>
      <x:c r="E87" s="28" t="str">
        <x:v>Чай и кофе</x:v>
      </x:c>
      <x:c r="F87" s="28" t="str">
        <x:v>прямое или классовое перекрытие характерных одорантов + вкусовой баланс</x:v>
      </x:c>
      <x:c r="G8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Китайская сенча относится к группе «Чай и кофе» и даёт профиль «жареный, травяной, цветочный или терпкий»; типичные соединения или классы: пиридины, пиразины, фенолы, линалоол, гераниол, теафлавины. В рабочих профилях пересекаются: линалоол.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горечь, терпкость и иногда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экстракция; температура сильно меняет летучесть.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8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8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7" s="28" t="str">
        <x:v>коктейль, кордиал, настой, спритц, чайный или кофейный напиток</x:v>
      </x:c>
      <x:c r="K87" s="28" t="str">
        <x:v>Средняя</x:v>
      </x:c>
      <x:c r="L87" s="28" t="str">
        <x:v>The Art &amp; Science of Foodpairing.pdf</x:v>
      </x:c>
      <x:c r="M87" s="28" t="str">
        <x:v>The Art &amp; Science of Foodpairing.pdf: 364 | The Art &amp; Science of Foodpairing.pdf: 365</x:v>
      </x:c>
    </x:row>
    <x:row r="88" ht="64" customHeight="1">
      <x:c r="A88" s="28" t="str">
        <x:v>STN-0133</x:v>
      </x:c>
      <x:c r="B88" s="28" t="str">
        <x:v>персик</x:v>
      </x:c>
      <x:c r="C88" s="28" t="str">
        <x:v>персик</x:v>
      </x:c>
      <x:c r="D88" s="28" t="str">
        <x:v>кленовый сироп</x:v>
      </x:c>
      <x:c r="E88" s="28" t="str">
        <x:v>Сахара, мёд и кондитерские основы</x:v>
      </x:c>
      <x:c r="F88" s="28" t="str">
        <x:v>комплементарность ароматических семейств, вкусовой контраст и матричный эффект</x:v>
      </x:c>
      <x:c r="G8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8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8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8" s="28" t="str">
        <x:v>напиток, соус, десерт или горячее блюдо после пробной дегустации</x:v>
      </x:c>
      <x:c r="K88" s="28" t="str">
        <x:v>Гипотеза / практическая</x:v>
      </x:c>
      <x:c r="L88" s="28" t="str">
        <x:v>Таблица сочетания(1).pdf</x:v>
      </x:c>
      <x:c r="M88" s="28" t="str">
        <x:v>Таблица сочетания(1).pdf: 15</x:v>
      </x:c>
    </x:row>
    <x:row r="89" ht="64" customHeight="1">
      <x:c r="A89" s="28" t="str">
        <x:v>STN-0134</x:v>
      </x:c>
      <x:c r="B89" s="28" t="str">
        <x:v>персик</x:v>
      </x:c>
      <x:c r="C89" s="28" t="str">
        <x:v>персик</x:v>
      </x:c>
      <x:c r="D89" s="28" t="str">
        <x:v>клубника</x:v>
      </x:c>
      <x:c r="E89" s="28" t="str">
        <x:v>Ягоды</x:v>
      </x:c>
      <x:c r="F89" s="28" t="str">
        <x:v>комплементарность ароматических семейств, вкусовой контраст и матричный эффект</x:v>
      </x:c>
      <x:c r="G8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8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8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9" s="28" t="str">
        <x:v>сорбет, салат, джем, кордиал, лимонад, коктейль или фруктовый соус</x:v>
      </x:c>
      <x:c r="K89" s="28" t="str">
        <x:v>Высокая</x:v>
      </x:c>
      <x:c r="L89" s="28" t="str">
        <x:v>The Art &amp; Science of Foodpairing.pdf | Тезариус вкусов (Ники Сегнит)(1).pdf</x:v>
      </x:c>
      <x:c r="M89" s="28" t="str">
        <x:v>The Art &amp; Science of Foodpairing.pdf: Тезариус вкусов: 698, 751; The Art &amp; Science of Foodpairing: 71 | Тезариус вкусов (Ники Сегнит)(1).pdf: 698 | Тезариус вкусов (Ники Сегнит)(1).pdf: 751 | The Art &amp; Science of Foodpairing.pdf: 71</x:v>
      </x:c>
    </x:row>
    <x:row r="90" ht="64" customHeight="1">
      <x:c r="A90" s="28" t="str">
        <x:v>STN-0135</x:v>
      </x:c>
      <x:c r="B90" s="28" t="str">
        <x:v>персик</x:v>
      </x:c>
      <x:c r="C90" s="28" t="str">
        <x:v>персик</x:v>
      </x:c>
      <x:c r="D90" s="28" t="str">
        <x:v>клюква</x:v>
      </x:c>
      <x:c r="E90" s="28" t="str">
        <x:v>Ягоды</x:v>
      </x:c>
      <x:c r="F90" s="28" t="str">
        <x:v>комплементарность ароматических семейств, вкусовой контраст и матричный эффект</x:v>
      </x:c>
      <x:c r="G9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Клюква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9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9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0" s="28" t="str">
        <x:v>сорбет, салат, джем, кордиал, лимонад, коктейль или фруктовый соус</x:v>
      </x:c>
      <x:c r="K90" s="28" t="str">
        <x:v>Гипотеза / практическая</x:v>
      </x:c>
      <x:c r="L90" s="28" t="str">
        <x:v>Таблица сочетания(1).pdf</x:v>
      </x:c>
      <x:c r="M90" s="28" t="str">
        <x:v>Таблица сочетания(1).pdf: Таблица сочетаний: 6 | Таблица сочетания(1).pdf: 6</x:v>
      </x:c>
    </x:row>
    <x:row r="91" ht="64" customHeight="1">
      <x:c r="A91" s="28" t="str">
        <x:v>STN-0136</x:v>
      </x:c>
      <x:c r="B91" s="28" t="str">
        <x:v>персик</x:v>
      </x:c>
      <x:c r="C91" s="28" t="str">
        <x:v>персик</x:v>
      </x:c>
      <x:c r="D91" s="28" t="str">
        <x:v>кокос</x:v>
      </x:c>
      <x:c r="E91" s="28" t="str">
        <x:v>Тропические фрукты и жирные матрицы</x:v>
      </x:c>
      <x:c r="F91" s="28" t="str">
        <x:v>прямое или классовое перекрытие характерных одорантов + вкусовой баланс</x:v>
      </x:c>
      <x:c r="G9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В рабочих профилях пересекаются: декалактон.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богатая жиром эмульсия; хорошо растворяет гидрофобные терпены, специи и ароматические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9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9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1" s="28" t="str">
        <x:v>напиток, соус, десерт или горячее блюдо после пробной дегустации</x:v>
      </x:c>
      <x:c r="K91" s="28" t="str">
        <x:v>Высокая</x:v>
      </x:c>
      <x:c r="L91" s="28" t="str">
        <x:v>The Art &amp; Science of Foodpairing.pdf | Таблица сочетания(1).pdf</x:v>
      </x:c>
      <x:c r="M91" s="28" t="str">
        <x:v>The Art &amp; Science of Foodpairing.pdf: Таблица сочетаний: 15 | The Art &amp; Science of Foodpairing: 134 | Таблица сочетания(1).pdf: 15 | The Art &amp; Science of Foodpairing.pdf: 134</x:v>
      </x:c>
    </x:row>
    <x:row r="92" ht="64" customHeight="1">
      <x:c r="A92" s="28" t="str">
        <x:v>STN-0137</x:v>
      </x:c>
      <x:c r="B92" s="28" t="str">
        <x:v>персик</x:v>
      </x:c>
      <x:c r="C92" s="28" t="str">
        <x:v>персик</x:v>
      </x:c>
      <x:c r="D92" s="28" t="str">
        <x:v>корица</x:v>
      </x:c>
      <x:c r="E92" s="28" t="str">
        <x:v>Специи и острые компоненты</x:v>
      </x:c>
      <x:c r="F92" s="28" t="str">
        <x:v>комплементарность ароматических семейств, вкусовой контраст и матричный эффект</x:v>
      </x:c>
      <x:c r="G9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92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92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92" s="28" t="str">
        <x:v>напиток, соус, десерт или горячее блюдо после пробной дегустации</x:v>
      </x:c>
      <x:c r="K92" s="28" t="str">
        <x:v>Гипотеза / практическая</x:v>
      </x:c>
      <x:c r="L92" s="28" t="str">
        <x:v>Таблица сочетания(1).pdf</x:v>
      </x:c>
      <x:c r="M92" s="28" t="str">
        <x:v>Таблица сочетания(1).pdf: 15</x:v>
      </x:c>
    </x:row>
    <x:row r="93" ht="64" customHeight="1">
      <x:c r="A93" s="28" t="str">
        <x:v>STN-0139</x:v>
      </x:c>
      <x:c r="B93" s="28" t="str">
        <x:v>персик</x:v>
      </x:c>
      <x:c r="C93" s="28" t="str">
        <x:v>персик</x:v>
      </x:c>
      <x:c r="D93" s="28" t="str">
        <x:v>красный хабанеро</x:v>
      </x:c>
      <x:c r="E93" s="28" t="str">
        <x:v>Специи и острые компоненты</x:v>
      </x:c>
      <x:c r="F93" s="28" t="str">
        <x:v>комплементарность ароматических семейств, вкусовой контраст и матричный эффект</x:v>
      </x:c>
      <x:c r="G9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Красный хабанеро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93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93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93" s="28" t="str">
        <x:v>напиток, соус, десерт или горячее блюдо после пробной дегустации</x:v>
      </x:c>
      <x:c r="K93" s="28" t="str">
        <x:v>Средняя</x:v>
      </x:c>
      <x:c r="L93" s="28" t="str">
        <x:v>The Art &amp; Science of Foodpairing.pdf</x:v>
      </x:c>
      <x:c r="M93" s="28" t="str">
        <x:v>The Art &amp; Science of Foodpairing.pdf: 94 | The Art &amp; Science of Foodpairing.pdf: 95</x:v>
      </x:c>
    </x:row>
    <x:row r="94" ht="64" customHeight="1">
      <x:c r="A94" s="28" t="str">
        <x:v>STN-0140</x:v>
      </x:c>
      <x:c r="B94" s="28" t="str">
        <x:v>персик</x:v>
      </x:c>
      <x:c r="C94" s="28" t="str">
        <x:v>персик</x:v>
      </x:c>
      <x:c r="D94" s="28" t="str">
        <x:v>лаванда</x:v>
      </x:c>
      <x:c r="E94" s="28" t="str">
        <x:v>Травы и цветы</x:v>
      </x:c>
      <x:c r="F94" s="28" t="str">
        <x:v>прямое или классовое перекрытие характерных одорантов + вкусовой баланс</x:v>
      </x:c>
      <x:c r="G9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Лаванда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9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9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4" s="28" t="str">
        <x:v>напиток, соус, десерт или горячее блюдо после пробной дегустации</x:v>
      </x:c>
      <x:c r="K94" s="28" t="str">
        <x:v>Гипотеза / практическая</x:v>
      </x:c>
      <x:c r="L94" s="28" t="str">
        <x:v>Таблица сочетания(1).pdf</x:v>
      </x:c>
      <x:c r="M94" s="28" t="str">
        <x:v>Таблица сочетания(1).pdf: 11</x:v>
      </x:c>
    </x:row>
    <x:row r="95" ht="64" customHeight="1">
      <x:c r="A95" s="28" t="str">
        <x:v>STN-0141</x:v>
      </x:c>
      <x:c r="B95" s="28" t="str">
        <x:v>персик</x:v>
      </x:c>
      <x:c r="C95" s="28" t="str">
        <x:v>персик</x:v>
      </x:c>
      <x:c r="D95" s="28" t="str">
        <x:v>лемонграсс</x:v>
      </x:c>
      <x:c r="E95" s="28" t="str">
        <x:v>Травы и цветы</x:v>
      </x:c>
      <x:c r="F95" s="28" t="str">
        <x:v>прямое или классовое перекрытие характерных одорантов + вкусовой баланс</x:v>
      </x:c>
      <x:c r="G9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Лемонграсс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9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9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5" s="28" t="str">
        <x:v>напиток, соус, десерт или горячее блюдо после пробной дегустации</x:v>
      </x:c>
      <x:c r="K95" s="28" t="str">
        <x:v>Высокая</x:v>
      </x:c>
      <x:c r="L95" s="28" t="str">
        <x:v>The Art &amp; Science of Foodpairing.pdf | Таблица сочетания(1).pdf</x:v>
      </x:c>
      <x:c r="M95" s="28" t="str">
        <x:v>Таблица сочетания(1).pdf: 11 | The Art &amp; Science of Foodpairing.pdf: 144</x:v>
      </x:c>
    </x:row>
    <x:row r="96" ht="64" customHeight="1">
      <x:c r="A96" s="28" t="str">
        <x:v>STN-0142</x:v>
      </x:c>
      <x:c r="B96" s="28" t="str">
        <x:v>персик</x:v>
      </x:c>
      <x:c r="C96" s="28" t="str">
        <x:v>персик</x:v>
      </x:c>
      <x:c r="D96" s="28" t="str">
        <x:v>ликер ириска</x:v>
      </x:c>
      <x:c r="E96" s="28" t="str">
        <x:v>Алкогольные напитки</x:v>
      </x:c>
      <x:c r="F96" s="28" t="str">
        <x:v>комплементарность ароматических семейств, вкусовой контраст и матричный эффект</x:v>
      </x:c>
      <x:c r="G9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Ликер ириска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По доступным материалам нельзя уверенно свести совместимость к одной общей молекуле.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H96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I96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J96" s="28" t="str">
        <x:v>коктейль, кордиал, настой, спритц, чайный или кофейный напиток</x:v>
      </x:c>
      <x:c r="K96" s="28" t="str">
        <x:v>Средняя</x:v>
      </x:c>
      <x:c r="L96" s="28" t="str">
        <x:v>The Art &amp; Science of Foodpairing.pdf</x:v>
      </x:c>
      <x:c r="M96" s="28" t="str">
        <x:v>The Art &amp; Science of Foodpairing.pdf: 260–261</x:v>
      </x:c>
    </x:row>
    <x:row r="97" ht="64" customHeight="1">
      <x:c r="A97" s="28" t="str">
        <x:v>STN-0143</x:v>
      </x:c>
      <x:c r="B97" s="28" t="str">
        <x:v>персик</x:v>
      </x:c>
      <x:c r="C97" s="28" t="str">
        <x:v>персик</x:v>
      </x:c>
      <x:c r="D97" s="28" t="str">
        <x:v>лист шисо</x:v>
      </x:c>
      <x:c r="E97" s="28" t="str">
        <x:v>Травы, листья и цветы</x:v>
      </x:c>
      <x:c r="F97" s="28" t="str">
        <x:v>прямое или классовое перекрытие характерных одорантов + вкусовой баланс</x:v>
      </x:c>
      <x:c r="G9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Лист шисо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97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9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7" s="28" t="str">
        <x:v>напиток, соус, десерт или горячее блюдо после пробной дегустации</x:v>
      </x:c>
      <x:c r="K97" s="28" t="str">
        <x:v>Средняя</x:v>
      </x:c>
      <x:c r="L97" s="28" t="str">
        <x:v>The Art &amp; Science of Foodpairing.pdf</x:v>
      </x:c>
      <x:c r="M97" s="28" t="str">
        <x:v>The Art &amp; Science of Foodpairing.pdf: 260–261</x:v>
      </x:c>
    </x:row>
    <x:row r="98" ht="64" customHeight="1">
      <x:c r="A98" s="28" t="str">
        <x:v>STN-0144</x:v>
      </x:c>
      <x:c r="B98" s="28" t="str">
        <x:v>персик</x:v>
      </x:c>
      <x:c r="C98" s="28" t="str">
        <x:v>персик</x:v>
      </x:c>
      <x:c r="D98" s="28" t="str">
        <x:v>листья кориандра</x:v>
      </x:c>
      <x:c r="E98" s="28" t="str">
        <x:v>Травы/пряности</x:v>
      </x:c>
      <x:c r="F98" s="28" t="str">
        <x:v>комплементарность ароматических семейств, вкусовой контраст и матричный эффект</x:v>
      </x:c>
      <x:c r="G9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Листья кориандра относится к группе «Травы/пряности» и даёт профиль «цитрусовый, зелёный, цветочный»; типичные соединения или классы: линалол, деканаль, додеканаль.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травяной, слегка горький.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листья чувствительны к нагреву; семена устойчивее и слаще.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H9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I9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8" s="28" t="str">
        <x:v>напиток, соус, десерт или горячее блюдо после пробной дегустации</x:v>
      </x:c>
      <x:c r="K98" s="28" t="str">
        <x:v>Средняя</x:v>
      </x:c>
      <x:c r="L98" s="28" t="str">
        <x:v>The Art &amp; Science of Foodpairing.pdf</x:v>
      </x:c>
      <x:c r="M98" s="28" t="str">
        <x:v>The Art &amp; Science of Foodpairing.pdf: 98 | The Art &amp; Science of Foodpairing.pdf: 260–261</x:v>
      </x:c>
    </x:row>
    <x:row r="99" ht="64" customHeight="1">
      <x:c r="A99" s="28" t="str">
        <x:v>STN-0145</x:v>
      </x:c>
      <x:c r="B99" s="28" t="str">
        <x:v>персик</x:v>
      </x:c>
      <x:c r="C99" s="28" t="str">
        <x:v>персик</x:v>
      </x:c>
      <x:c r="D99" s="28" t="str">
        <x:v>листья пажитника</x:v>
      </x:c>
      <x:c r="E99" s="28" t="str">
        <x:v>Травы и цветы</x:v>
      </x:c>
      <x:c r="F99" s="28" t="str">
        <x:v>прямое или классовое перекрытие характерных одорантов + вкусовой баланс</x:v>
      </x:c>
      <x:c r="G9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Листья пажитника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9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9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9" s="28" t="str">
        <x:v>напиток, соус, десерт или горячее блюдо после пробной дегустации</x:v>
      </x:c>
      <x:c r="K99" s="28" t="str">
        <x:v>Средняя</x:v>
      </x:c>
      <x:c r="L99" s="28" t="str">
        <x:v>The Art &amp; Science of Foodpairing.pdf</x:v>
      </x:c>
      <x:c r="M99" s="28" t="str">
        <x:v>The Art &amp; Science of Foodpairing.pdf: 260–261</x:v>
      </x:c>
    </x:row>
    <x:row r="100" ht="64" customHeight="1">
      <x:c r="A100" s="28" t="str">
        <x:v>STN-0146</x:v>
      </x:c>
      <x:c r="B100" s="28" t="str">
        <x:v>персик</x:v>
      </x:c>
      <x:c r="C100" s="28" t="str">
        <x:v>персик</x:v>
      </x:c>
      <x:c r="D100" s="28" t="str">
        <x:v>личи</x:v>
      </x:c>
      <x:c r="E100" s="28" t="str">
        <x:v>Тропические фрукты</x:v>
      </x:c>
      <x:c r="F100" s="28" t="str">
        <x:v>прямое или классовое перекрытие характерных одорантов + вкусовой баланс</x:v>
      </x:c>
      <x:c r="G10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Личи относится к группе «Тропические фрукты» и даёт профиль «розовый, цветочный, виноградный и цитрусовый»; типичные соединения или классы: цис- и транс-розовый оксид, линалоол, гераниол, цитронеллол. В рабочих профилях пересекаются: линалоол.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чистая сладость, мягкая кислотность.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водная; цветочные терпены чувствительны к нагреву.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H10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I10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0" s="28" t="str">
        <x:v>напиток, соус, десерт или горячее блюдо после пробной дегустации</x:v>
      </x:c>
      <x:c r="K100" s="28" t="str">
        <x:v>Средняя</x:v>
      </x:c>
      <x:c r="L100" s="28" t="str">
        <x:v>The Art &amp; Science of Foodpairing.pdf</x:v>
      </x:c>
      <x:c r="M100" s="28" t="str">
        <x:v>The Art &amp; Science of Foodpairing.pdf: 260–261</x:v>
      </x:c>
    </x:row>
    <x:row r="101" ht="64" customHeight="1">
      <x:c r="A101" s="28" t="str">
        <x:v>STN-0148</x:v>
      </x:c>
      <x:c r="B101" s="28" t="str">
        <x:v>персик</x:v>
      </x:c>
      <x:c r="C101" s="28" t="str">
        <x:v>персик</x:v>
      </x:c>
      <x:c r="D101" s="28" t="str">
        <x:v>малина</x:v>
      </x:c>
      <x:c r="E101" s="28" t="str">
        <x:v>Ягоды</x:v>
      </x:c>
      <x:c r="F101" s="28" t="str">
        <x:v>комплементарность ароматических семейств, вкусовой контраст и матричный эффект</x:v>
      </x:c>
      <x:c r="G10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0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0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1" s="28" t="str">
        <x:v>сорбет, салат, джем, кордиал, лимонад, коктейль или фруктовый соус</x:v>
      </x:c>
      <x:c r="K101" s="28" t="str">
        <x:v>Высокая</x:v>
      </x:c>
      <x:c r="L101" s="28" t="str">
        <x:v>The Art &amp; Science of Foodpairing.pdf | Таблица сочетания(1).pdf | Тезариус вкусов (Ники Сегнит)(1).pdf</x:v>
      </x:c>
      <x:c r="M101" s="28" t="str">
        <x:v>The Art &amp; Science of Foodpairing.pdf: Тезариус вкусов: 751, 889; The Art &amp; Science of Foodpairing: 261; Таблица сочетаний: 19 | Таблица сочетания(1).pdf: 19 | Тезариус вкусов (Ники Сегнит)(1).pdf: 751 | Тезариус вкусов (Ники Сегнит)(1).pdf: 889 | The Art &amp; Science of Foodpairing.pdf: 338 | The Art &amp; Science of Foodpairing.pdf: 260–261</x:v>
      </x:c>
    </x:row>
    <x:row r="102" ht="64" customHeight="1">
      <x:c r="A102" s="28" t="str">
        <x:v>STN-0149</x:v>
      </x:c>
      <x:c r="B102" s="28" t="str">
        <x:v>персик</x:v>
      </x:c>
      <x:c r="C102" s="28" t="str">
        <x:v>персик</x:v>
      </x:c>
      <x:c r="D102" s="28" t="str">
        <x:v>манго</x:v>
      </x:c>
      <x:c r="E102" s="28" t="str">
        <x:v>Тропические фрукты</x:v>
      </x:c>
      <x:c r="F102" s="28" t="str">
        <x:v>прямое или классовое перекрытие характерных одорантов + вкусовой баланс</x:v>
      </x:c>
      <x:c r="G10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Манго относится к группе «Тропические фрукты» и даёт профиль «тропический, смолистый, цитрусовый, цветочный, сливочный; сильно зависит от сорта»; типичные соединения или классы: δ-3-карен, лимонен, мирцен, линалоол, γ- и δ-лактоны, фруктовые эфиры. В рабочих профилях пересекаются: линалоол. Общие ароматические направления: цветочный, сливочный.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умеренная кислотность, иногда смолистая горечь кожицы.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мякоть вязкая и богатая каротиноидами; ароматические терпены и лактоны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H10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I10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2" s="28" t="str">
        <x:v>напиток, соус, десерт или горячее блюдо после пробной дегустации</x:v>
      </x:c>
      <x:c r="K102" s="28" t="str">
        <x:v>Средняя</x:v>
      </x:c>
      <x:c r="L102" s="28" t="str">
        <x:v>Тезариус вкусов (Ники Сегнит)(1).pdf</x:v>
      </x:c>
      <x:c r="M102" s="28" t="str">
        <x:v>Тезариус вкусов (Ники Сегнит)(1).pdf: Тезаурус вкусов: 767, 751 | Тезариус вкусов (Ники Сегнит)(1).pdf: 751 | Тезариус вкусов (Ники Сегнит)(1).pdf: 767</x:v>
      </x:c>
    </x:row>
    <x:row r="103" ht="64" customHeight="1">
      <x:c r="A103" s="28" t="str">
        <x:v>STN-0150</x:v>
      </x:c>
      <x:c r="B103" s="28" t="str">
        <x:v>персик</x:v>
      </x:c>
      <x:c r="C103" s="28" t="str">
        <x:v>персик</x:v>
      </x:c>
      <x:c r="D103" s="28" t="str">
        <x:v>мандарин</x:v>
      </x:c>
      <x:c r="E103" s="28" t="str">
        <x:v>Цитрусовые</x:v>
      </x:c>
      <x:c r="F103" s="28" t="str">
        <x:v>прямое или классовое перекрытие характерных одорантов + вкусовой баланс</x:v>
      </x:c>
      <x:c r="G10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Мандарин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 и кислый, цедра содержит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10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10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3" s="28" t="str">
        <x:v>сорбет, салат, джем, кордиал, лимонад, коктейль или фруктовый соус</x:v>
      </x:c>
      <x:c r="K103" s="28" t="str">
        <x:v>Средняя</x:v>
      </x:c>
      <x:c r="L103" s="28" t="str">
        <x:v>The Art &amp; Science of Foodpairing.pdf</x:v>
      </x:c>
      <x:c r="M103" s="28" t="str">
        <x:v>The Art &amp; Science of Foodpairing.pdf: 260–261</x:v>
      </x:c>
    </x:row>
    <x:row r="104" ht="64" customHeight="1">
      <x:c r="A104" s="28" t="str">
        <x:v>STN-0151</x:v>
      </x:c>
      <x:c r="B104" s="28" t="str">
        <x:v>персик</x:v>
      </x:c>
      <x:c r="C104" s="28" t="str">
        <x:v>персик</x:v>
      </x:c>
      <x:c r="D104" s="28" t="str">
        <x:v>мед</x:v>
      </x:c>
      <x:c r="E104" s="28" t="str">
        <x:v>Сахара, мёд и кондитерские основы</x:v>
      </x:c>
      <x:c r="F104" s="28" t="str">
        <x:v>комплементарность ароматических семейств, вкусовой контраст и матричный эффект</x:v>
      </x:c>
      <x:c r="G10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10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10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4" s="28" t="str">
        <x:v>напиток, соус, десерт или горячее блюдо после пробной дегустации</x:v>
      </x:c>
      <x:c r="K104" s="28" t="str">
        <x:v>Гипотеза / практическая</x:v>
      </x:c>
      <x:c r="L104" s="28" t="str">
        <x:v>Таблица сочетания(1).pdf</x:v>
      </x:c>
      <x:c r="M104" s="28" t="str">
        <x:v>Таблица сочетания(1).pdf: 9 | Таблица сочетания(1).pdf: 15</x:v>
      </x:c>
    </x:row>
    <x:row r="105" ht="64" customHeight="1">
      <x:c r="A105" s="28" t="str">
        <x:v>STN-0153</x:v>
      </x:c>
      <x:c r="B105" s="28" t="str">
        <x:v>персик</x:v>
      </x:c>
      <x:c r="C105" s="28" t="str">
        <x:v>персик</x:v>
      </x:c>
      <x:c r="D105" s="28" t="str">
        <x:v>момбин желтый</x:v>
      </x:c>
      <x:c r="E105" s="28" t="str">
        <x:v>Фрукты</x:v>
      </x:c>
      <x:c r="F105" s="28" t="str">
        <x:v>комплементарность ароматических семейств, вкусовой контраст и матричный эффект</x:v>
      </x:c>
      <x:c r="G10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Момбин желтый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0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0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5" s="28" t="str">
        <x:v>сорбет, салат, джем, кордиал, лимонад, коктейль или фруктовый соус</x:v>
      </x:c>
      <x:c r="K105" s="28" t="str">
        <x:v>Средняя</x:v>
      </x:c>
      <x:c r="L105" s="28" t="str">
        <x:v>The Art &amp; Science of Foodpairing.pdf</x:v>
      </x:c>
      <x:c r="M105" s="28" t="str">
        <x:v>The Art &amp; Science of Foodpairing.pdf: 260–261</x:v>
      </x:c>
    </x:row>
    <x:row r="106" ht="64" customHeight="1">
      <x:c r="A106" s="28" t="str">
        <x:v>STN-0156</x:v>
      </x:c>
      <x:c r="B106" s="28" t="str">
        <x:v>персик</x:v>
      </x:c>
      <x:c r="C106" s="28" t="str">
        <x:v>персик</x:v>
      </x:c>
      <x:c r="D106" s="28" t="str">
        <x:v>мушмула японская</x:v>
      </x:c>
      <x:c r="E106" s="28" t="str">
        <x:v>Фрукты</x:v>
      </x:c>
      <x:c r="F106" s="28" t="str">
        <x:v>комплементарность ароматических семейств, вкусовой контраст и матричный эффект</x:v>
      </x:c>
      <x:c r="G10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Мушмула японская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0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0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6" s="28" t="str">
        <x:v>сорбет, салат, джем, кордиал, лимонад, коктейль или фруктовый соус</x:v>
      </x:c>
      <x:c r="K106" s="28" t="str">
        <x:v>Средняя</x:v>
      </x:c>
      <x:c r="L106" s="28" t="str">
        <x:v>The Art &amp; Science of Foodpairing.pdf</x:v>
      </x:c>
      <x:c r="M106" s="28" t="str">
        <x:v>The Art &amp; Science of Foodpairing.pdf: 260–261</x:v>
      </x:c>
    </x:row>
    <x:row r="107" ht="64" customHeight="1">
      <x:c r="A107" s="28" t="str">
        <x:v>STN-0157</x:v>
      </x:c>
      <x:c r="B107" s="28" t="str">
        <x:v>персик</x:v>
      </x:c>
      <x:c r="C107" s="28" t="str">
        <x:v>персик</x:v>
      </x:c>
      <x:c r="D107" s="28" t="str">
        <x:v>мята</x:v>
      </x:c>
      <x:c r="E107" s="28" t="str">
        <x:v>Травы и цветы</x:v>
      </x:c>
      <x:c r="F107" s="28" t="str">
        <x:v>комплементарность ароматических семейств, вкусовой контраст и матричный эффект</x:v>
      </x:c>
      <x:c r="G10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0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0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7" s="28" t="str">
        <x:v>напиток, соус, десерт или горячее блюдо после пробной дегустации</x:v>
      </x:c>
      <x:c r="K107" s="28" t="str">
        <x:v>Гипотеза / практическая</x:v>
      </x:c>
      <x:c r="L107" s="28" t="str">
        <x:v>Таблица сочетания(1).pdf</x:v>
      </x:c>
      <x:c r="M107" s="28" t="str">
        <x:v>Таблица сочетания(1).pdf: 13 | Таблица сочетания(1).pdf: 15</x:v>
      </x:c>
    </x:row>
    <x:row r="108" ht="64" customHeight="1">
      <x:c r="A108" s="28" t="str">
        <x:v>STN-0158</x:v>
      </x:c>
      <x:c r="B108" s="28" t="str">
        <x:v>персик</x:v>
      </x:c>
      <x:c r="C108" s="28" t="str">
        <x:v>персик</x:v>
      </x:c>
      <x:c r="D108" s="28" t="str">
        <x:v>нектарин</x:v>
      </x:c>
      <x:c r="E108" s="28" t="str">
        <x:v>Косточковые фрукты</x:v>
      </x:c>
      <x:c r="F108" s="28" t="str">
        <x:v>прямое или классовое перекрытие характерных одорантов + вкусовой баланс</x:v>
      </x:c>
      <x:c r="G10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Нектарин относится к группе «Косточковые фрукты» и даёт профиль «персиковый, фруктовый, цветочный, зелёный, сливочно-лактонный»; типичные соединения или классы: γ- и δ-декалактон, γ- и δ-додекалактон, фруктовые эфиры, линалоол, бензальдегид, C6-альдегиды. В рабочих профилях пересекаются: бензальдегид, линалоол, декалактон, додекалактон. Общие ароматические направления: цветочный, лактонный, зелёный. Базовый фрукт даёт: выраженная сладость, умеренная кислотность; беломякотные сорта обычно слаще и мягче по кислоте. Партнёр добавляет: сладкий, сочный, с умеренной кислотностью; профиль близок к персику, но кожица гладкая и часто более ярко-фруктовая.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водно-пектиновая; гидрофобные лактоны лучше проявляются в жире 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H10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I10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8" s="28" t="str">
        <x:v>напиток, соус, десерт или горячее блюдо после пробной дегустации</x:v>
      </x:c>
      <x:c r="K108" s="28" t="str">
        <x:v>Высокая</x:v>
      </x:c>
      <x:c r="L108" s="28" t="str">
        <x:v>The Art &amp; Science of Foodpairing.pdf | Таблица сочетания(1).pdf</x:v>
      </x:c>
      <x:c r="M108" s="28" t="str">
        <x:v>Таблица сочетания(1).pdf: 14 | Таблица сочетания(1).pdf: 15 | The Art &amp; Science of Foodpairing.pdf: 260 | The Art &amp; Science of Foodpairing.pdf: 260–261</x:v>
      </x:c>
    </x:row>
    <x:row r="109" ht="64" customHeight="1">
      <x:c r="A109" s="28" t="str">
        <x:v>STN-0160</x:v>
      </x:c>
      <x:c r="B109" s="28" t="str">
        <x:v>персик</x:v>
      </x:c>
      <x:c r="C109" s="28" t="str">
        <x:v>персик</x:v>
      </x:c>
      <x:c r="D109" s="28" t="str">
        <x:v>обжаренный bacon</x:v>
      </x:c>
      <x:c r="E109" s="28" t="str">
        <x:v>Прочее</x:v>
      </x:c>
      <x:c r="F109" s="28" t="str">
        <x:v>комплементарность ароматических семейств, вкусовой контраст и матричный эффект</x:v>
      </x:c>
      <x:c r="G10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bacon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0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0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9" s="28" t="str">
        <x:v>напиток, соус, десерт или горячее блюдо после пробной дегустации</x:v>
      </x:c>
      <x:c r="K109" s="28" t="str">
        <x:v>Средняя</x:v>
      </x:c>
      <x:c r="L109" s="28" t="str">
        <x:v>The Art &amp; Science of Foodpairing.pdf</x:v>
      </x:c>
      <x:c r="M109" s="28" t="str">
        <x:v>The Art &amp; Science of Foodpairing.pdf: 260–261</x:v>
      </x:c>
    </x:row>
    <x:row r="110" ht="64" customHeight="1">
      <x:c r="A110" s="28" t="str">
        <x:v>STN-0161</x:v>
      </x:c>
      <x:c r="B110" s="28" t="str">
        <x:v>персик</x:v>
      </x:c>
      <x:c r="C110" s="28" t="str">
        <x:v>персик</x:v>
      </x:c>
      <x:c r="D110" s="28" t="str">
        <x:v>обжаренный duck breast</x:v>
      </x:c>
      <x:c r="E110" s="28" t="str">
        <x:v>Прочее</x:v>
      </x:c>
      <x:c r="F110" s="28" t="str">
        <x:v>комплементарность ароматических семейств, вкусовой контраст и матричный эффект</x:v>
      </x:c>
      <x:c r="G11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duck breast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1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1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0" s="28" t="str">
        <x:v>напиток, соус, десерт или горячее блюдо после пробной дегустации</x:v>
      </x:c>
      <x:c r="K110" s="28" t="str">
        <x:v>Средняя</x:v>
      </x:c>
      <x:c r="L110" s="28" t="str">
        <x:v>The Art &amp; Science of Foodpairing.pdf</x:v>
      </x:c>
      <x:c r="M110" s="28" t="str">
        <x:v>The Art &amp; Science of Foodpairing.pdf: 260–261</x:v>
      </x:c>
    </x:row>
    <x:row r="111" ht="64" customHeight="1">
      <x:c r="A111" s="28" t="str">
        <x:v>STN-0164</x:v>
      </x:c>
      <x:c r="B111" s="28" t="str">
        <x:v>персик</x:v>
      </x:c>
      <x:c r="C111" s="28" t="str">
        <x:v>персик</x:v>
      </x:c>
      <x:c r="D111" s="28" t="str">
        <x:v>оливковое масло</x:v>
      </x:c>
      <x:c r="E111" s="28" t="str">
        <x:v>Молочные продукты и сыры</x:v>
      </x:c>
      <x:c r="F111" s="28" t="str">
        <x:v>комплементарность ароматических семейств, вкусовой контраст и матричный эффект</x:v>
      </x:c>
      <x:c r="G11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жирный, кислый/солёный.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жировая и белковая матрица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1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1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1" s="28" t="str">
        <x:v>напиток, соус, десерт или горячее блюдо после пробной дегустации</x:v>
      </x:c>
      <x:c r="K111" s="28" t="str">
        <x:v>Средняя</x:v>
      </x:c>
      <x:c r="L111" s="28" t="str">
        <x:v>The Art &amp; Science of Foodpairing.pdf</x:v>
      </x:c>
      <x:c r="M111" s="28" t="str">
        <x:v>The Art &amp; Science of Foodpairing.pdf: 172</x:v>
      </x:c>
    </x:row>
    <x:row r="112" ht="64" customHeight="1">
      <x:c r="A112" s="28" t="str">
        <x:v>STN-0165</x:v>
      </x:c>
      <x:c r="B112" s="28" t="str">
        <x:v>персик</x:v>
      </x:c>
      <x:c r="C112" s="28" t="str">
        <x:v>персик</x:v>
      </x:c>
      <x:c r="D112" s="28" t="str">
        <x:v>оливковое масло арбекина</x:v>
      </x:c>
      <x:c r="E112" s="28" t="str">
        <x:v>Прочее</x:v>
      </x:c>
      <x:c r="F112" s="28" t="str">
        <x:v>комплементарность ароматических семейств, вкусовой контраст и матричный эффект</x:v>
      </x:c>
      <x:c r="G11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Оливковое масло арбекина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баланс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матрица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1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1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2" s="28" t="str">
        <x:v>напиток, соус, десерт или горячее блюдо после пробной дегустации</x:v>
      </x:c>
      <x:c r="K112" s="28" t="str">
        <x:v>Средняя</x:v>
      </x:c>
      <x:c r="L112" s="28" t="str">
        <x:v>The Art &amp; Science of Foodpairing.pdf</x:v>
      </x:c>
      <x:c r="M112" s="28" t="str">
        <x:v>The Art &amp; Science of Foodpairing.pdf: 260–261</x:v>
      </x:c>
    </x:row>
    <x:row r="113" ht="64" customHeight="1">
      <x:c r="A113" s="28" t="str">
        <x:v>STN-0166</x:v>
      </x:c>
      <x:c r="B113" s="28" t="str">
        <x:v>персик</x:v>
      </x:c>
      <x:c r="C113" s="28" t="str">
        <x:v>персик</x:v>
      </x:c>
      <x:c r="D113" s="28" t="str">
        <x:v>отварная морковь</x:v>
      </x:c>
      <x:c r="E113" s="28" t="str">
        <x:v>Овощи</x:v>
      </x:c>
      <x:c r="F113" s="28" t="str">
        <x:v>комплементарность ароматических семейств, вкусовой контраст и матричный эффект</x:v>
      </x:c>
      <x:c r="G11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морковь относится к группе «Овощи» и даёт профиль «зелёный, землистый, растительный, иногда сернистый»; типичные соединения или классы: C6-альдегиды, метоксипиразины, геосмин (землистые),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сладковатый, горьковатый,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водная/крахмальная матрица; масло помогает распределить цедру.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H11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I11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3" s="28" t="str">
        <x:v>напиток, соус, десерт или горячее блюдо после пробной дегустации</x:v>
      </x:c>
      <x:c r="K113" s="28" t="str">
        <x:v>Средняя</x:v>
      </x:c>
      <x:c r="L113" s="28" t="str">
        <x:v>The Art &amp; Science of Foodpairing.pdf</x:v>
      </x:c>
      <x:c r="M113" s="28" t="str">
        <x:v>The Art &amp; Science of Foodpairing.pdf: 232</x:v>
      </x:c>
    </x:row>
    <x:row r="114" ht="64" customHeight="1">
      <x:c r="A114" s="28" t="str">
        <x:v>STN-0172</x:v>
      </x:c>
      <x:c r="B114" s="28" t="str">
        <x:v>персик</x:v>
      </x:c>
      <x:c r="C114" s="28" t="str">
        <x:v>персик</x:v>
      </x:c>
      <x:c r="D114" s="28" t="str">
        <x:v>отварной broccoli</x:v>
      </x:c>
      <x:c r="E114" s="28" t="str">
        <x:v>Прочее</x:v>
      </x:c>
      <x:c r="F114" s="28" t="str">
        <x:v>комплементарность ароматических семейств, вкусовой контраст и матричный эффект</x:v>
      </x:c>
      <x:c r="G11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broccoli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1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1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4" s="28" t="str">
        <x:v>напиток, соус, десерт или горячее блюдо после пробной дегустации</x:v>
      </x:c>
      <x:c r="K114" s="28" t="str">
        <x:v>Средняя</x:v>
      </x:c>
      <x:c r="L114" s="28" t="str">
        <x:v>The Art &amp; Science of Foodpairing.pdf</x:v>
      </x:c>
      <x:c r="M114" s="28" t="str">
        <x:v>The Art &amp; Science of Foodpairing.pdf: 260–261</x:v>
      </x:c>
    </x:row>
    <x:row r="115" ht="64" customHeight="1">
      <x:c r="A115" s="28" t="str">
        <x:v>STN-0178</x:v>
      </x:c>
      <x:c r="B115" s="28" t="str">
        <x:v>персик</x:v>
      </x:c>
      <x:c r="C115" s="28" t="str">
        <x:v>персик</x:v>
      </x:c>
      <x:c r="D115" s="28" t="str">
        <x:v>папайя</x:v>
      </x:c>
      <x:c r="E115" s="28" t="str">
        <x:v>Тропические фрукты</x:v>
      </x:c>
      <x:c r="F115" s="28" t="str">
        <x:v>прямое или классовое перекрытие характерных одорантов + вкусовой баланс</x:v>
      </x:c>
      <x:c r="G11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Папайя относится к группе «Тропические фрукты» и даёт профиль «мягкий тропический, цветочный, мускусный и слегка зелёный»; типичные соединения или классы: линалоол, бензилацетат, этилбутират, метилбутират; в семенах и незрелом плоде — бензилизотиоцианат.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умеренная сладость, низкая кислотность; незрелый плод нейтральнее.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мягкая водная мякоть; содержит протеазу папаин.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перезрелая папайя может казаться мускусной; папаин размягчает белки при длительном контакте.</x:v>
      </x:c>
      <x:c r="H11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перезрелая папайя может казаться мускусной; папаин размягчает белки при длительном контакте.</x:v>
      </x:c>
      <x:c r="I11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5" s="28" t="str">
        <x:v>напиток, соус, десерт или горячее блюдо после пробной дегустации</x:v>
      </x:c>
      <x:c r="K115" s="28" t="str">
        <x:v>Гипотеза / практическая</x:v>
      </x:c>
      <x:c r="L115" s="28" t="str">
        <x:v>Таблица сочетания(1).pdf</x:v>
      </x:c>
      <x:c r="M115" s="28" t="str">
        <x:v>Таблица сочетания(1).pdf: Таблица сочетаний: 15 | Таблица сочетания(1).pdf: 15</x:v>
      </x:c>
    </x:row>
    <x:row r="116" ht="64" customHeight="1">
      <x:c r="A116" s="28" t="str">
        <x:v>STN-0179</x:v>
      </x:c>
      <x:c r="B116" s="28" t="str">
        <x:v>персик</x:v>
      </x:c>
      <x:c r="C116" s="28" t="str">
        <x:v>персик</x:v>
      </x:c>
      <x:c r="D116" s="28" t="str">
        <x:v>пастернак</x:v>
      </x:c>
      <x:c r="E116" s="28" t="str">
        <x:v>Прочее</x:v>
      </x:c>
      <x:c r="F116" s="28" t="str">
        <x:v>комплементарность ароматических семейств, вкусовой контраст и матричный эффект</x:v>
      </x:c>
      <x:c r="G11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Пастернак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1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1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6" s="28" t="str">
        <x:v>напиток, соус, десерт или горячее блюдо после пробной дегустации</x:v>
      </x:c>
      <x:c r="K116" s="28" t="str">
        <x:v>Средняя</x:v>
      </x:c>
      <x:c r="L116" s="28" t="str">
        <x:v>The Art &amp; Science of Foodpairing.pdf</x:v>
      </x:c>
      <x:c r="M116" s="28" t="str">
        <x:v>The Art &amp; Science of Foodpairing.pdf: 260–261</x:v>
      </x:c>
    </x:row>
    <x:row r="117" ht="64" customHeight="1">
      <x:c r="A117" s="28" t="str">
        <x:v>STN-0181</x:v>
      </x:c>
      <x:c r="B117" s="28" t="str">
        <x:v>персик</x:v>
      </x:c>
      <x:c r="C117" s="28" t="str">
        <x:v>персик</x:v>
      </x:c>
      <x:c r="D117" s="28" t="str">
        <x:v>перец рокото</x:v>
      </x:c>
      <x:c r="E117" s="28" t="str">
        <x:v>Специи и острые компоненты</x:v>
      </x:c>
      <x:c r="F117" s="28" t="str">
        <x:v>комплементарность ароматических семейств, вкусовой контраст и матричный эффект</x:v>
      </x:c>
      <x:c r="G11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Перец рокото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117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117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17" s="28" t="str">
        <x:v>напиток, соус, десерт или горячее блюдо после пробной дегустации</x:v>
      </x:c>
      <x:c r="K117" s="28" t="str">
        <x:v>Средняя</x:v>
      </x:c>
      <x:c r="L117" s="28" t="str">
        <x:v>The Art &amp; Science of Foodpairing.pdf</x:v>
      </x:c>
      <x:c r="M117" s="28" t="str">
        <x:v>The Art &amp; Science of Foodpairing.pdf: 260–261</x:v>
      </x:c>
    </x:row>
    <x:row r="118" ht="64" customHeight="1">
      <x:c r="A118" s="28" t="str">
        <x:v>STN-0182</x:v>
      </x:c>
      <x:c r="B118" s="28" t="str">
        <x:v>персик</x:v>
      </x:c>
      <x:c r="C118" s="28" t="str">
        <x:v>персик</x:v>
      </x:c>
      <x:c r="D118" s="28" t="str">
        <x:v>перец урфа</x:v>
      </x:c>
      <x:c r="E118" s="28" t="str">
        <x:v>Специи и острые компоненты</x:v>
      </x:c>
      <x:c r="F118" s="28" t="str">
        <x:v>комплементарность ароматических семейств, вкусовой контраст и матричный эффект</x:v>
      </x:c>
      <x:c r="G11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Перец урфа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18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18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18" s="28" t="str">
        <x:v>напиток, соус, десерт или горячее блюдо после пробной дегустации</x:v>
      </x:c>
      <x:c r="K118" s="28" t="str">
        <x:v>Средняя</x:v>
      </x:c>
      <x:c r="L118" s="28" t="str">
        <x:v>The Art &amp; Science of Foodpairing.pdf</x:v>
      </x:c>
      <x:c r="M118" s="28" t="str">
        <x:v>The Art &amp; Science of Foodpairing.pdf: 260–261</x:v>
      </x:c>
    </x:row>
    <x:row r="119" ht="64" customHeight="1">
      <x:c r="A119" s="28" t="str">
        <x:v>STN-0183</x:v>
      </x:c>
      <x:c r="B119" s="28" t="str">
        <x:v>персик</x:v>
      </x:c>
      <x:c r="C119" s="28" t="str">
        <x:v>персик</x:v>
      </x:c>
      <x:c r="D119" s="28" t="str">
        <x:v>приготовленный black salsify</x:v>
      </x:c>
      <x:c r="E119" s="28" t="str">
        <x:v>Прочее</x:v>
      </x:c>
      <x:c r="F119" s="28" t="str">
        <x:v>комплементарность ароматических семейств, вкусовой контраст и матричный эффект</x:v>
      </x:c>
      <x:c r="G11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Приготовленный black salsify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1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1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9" s="28" t="str">
        <x:v>напиток, соус, десерт или горячее блюдо после пробной дегустации</x:v>
      </x:c>
      <x:c r="K119" s="28" t="str">
        <x:v>Средняя</x:v>
      </x:c>
      <x:c r="L119" s="28" t="str">
        <x:v>The Art &amp; Science of Foodpairing.pdf</x:v>
      </x:c>
      <x:c r="M119" s="28" t="str">
        <x:v>The Art &amp; Science of Foodpairing.pdf: 260–261</x:v>
      </x:c>
    </x:row>
    <x:row r="120" ht="64" customHeight="1">
      <x:c r="A120" s="28" t="str">
        <x:v>STN-0188</x:v>
      </x:c>
      <x:c r="B120" s="28" t="str">
        <x:v>персик</x:v>
      </x:c>
      <x:c r="C120" s="28" t="str">
        <x:v>персик</x:v>
      </x:c>
      <x:c r="D120" s="28" t="str">
        <x:v>ревень</x:v>
      </x:c>
      <x:c r="E120" s="28" t="str">
        <x:v>Прочее</x:v>
      </x:c>
      <x:c r="F120" s="28" t="str">
        <x:v>комплементарность ароматических семейств, вкусовой контраст и матричный эффект</x:v>
      </x:c>
      <x:c r="G12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Ревень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2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2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0" s="28" t="str">
        <x:v>напиток, соус, десерт или горячее блюдо после пробной дегустации</x:v>
      </x:c>
      <x:c r="K120" s="28" t="str">
        <x:v>Гипотеза / практическая</x:v>
      </x:c>
      <x:c r="L120" s="28" t="str">
        <x:v>Таблица сочетания(1).pdf</x:v>
      </x:c>
      <x:c r="M120" s="28" t="str">
        <x:v>Таблица сочетания(1).pdf: 19</x:v>
      </x:c>
    </x:row>
    <x:row r="121" ht="64" customHeight="1">
      <x:c r="A121" s="28" t="str">
        <x:v>STN-0189</x:v>
      </x:c>
      <x:c r="B121" s="28" t="str">
        <x:v>персик</x:v>
      </x:c>
      <x:c r="C121" s="28" t="str">
        <x:v>персик</x:v>
      </x:c>
      <x:c r="D121" s="28" t="str">
        <x:v>роза</x:v>
      </x:c>
      <x:c r="E121" s="28" t="str">
        <x:v>Травы и цветы</x:v>
      </x:c>
      <x:c r="F121" s="28" t="str">
        <x:v>прямое или классовое перекрытие характерных одорантов + вкусовой баланс</x:v>
      </x:c>
      <x:c r="G12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Роза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2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2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1" s="28" t="str">
        <x:v>напиток, соус, десерт или горячее блюдо после пробной дегустации</x:v>
      </x:c>
      <x:c r="K121" s="28" t="str">
        <x:v>Гипотеза / практическая</x:v>
      </x:c>
      <x:c r="L121" s="28" t="str">
        <x:v>Таблица сочетания(1).pdf</x:v>
      </x:c>
      <x:c r="M121" s="28" t="str">
        <x:v>Таблица сочетания(1).pdf: 19</x:v>
      </x:c>
    </x:row>
    <x:row r="122" ht="64" customHeight="1">
      <x:c r="A122" s="28" t="str">
        <x:v>STN-0191</x:v>
      </x:c>
      <x:c r="B122" s="28" t="str">
        <x:v>персик</x:v>
      </x:c>
      <x:c r="C122" s="28" t="str">
        <x:v>персик</x:v>
      </x:c>
      <x:c r="D122" s="28" t="str">
        <x:v>сансер</x:v>
      </x:c>
      <x:c r="E122" s="28" t="str">
        <x:v>Алкогольные напитки</x:v>
      </x:c>
      <x:c r="F122" s="28" t="str">
        <x:v>комплементарность ароматических семейств, вкусовой контраст и матричный эффект</x:v>
      </x:c>
      <x:c r="G12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Сансер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По доступным материалам нельзя уверенно свести совместимость к одной общей молекуле.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H122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I122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J122" s="28" t="str">
        <x:v>коктейль, кордиал, настой, спритц, чайный или кофейный напиток</x:v>
      </x:c>
      <x:c r="K122" s="28" t="str">
        <x:v>Средняя</x:v>
      </x:c>
      <x:c r="L122" s="28" t="str">
        <x:v>The Art &amp; Science of Foodpairing.pdf</x:v>
      </x:c>
      <x:c r="M122" s="28" t="str">
        <x:v>The Art &amp; Science of Foodpairing.pdf: 156</x:v>
      </x:c>
    </x:row>
    <x:row r="123" ht="64" customHeight="1">
      <x:c r="A123" s="28" t="str">
        <x:v>STN-0192</x:v>
      </x:c>
      <x:c r="B123" s="28" t="str">
        <x:v>персик</x:v>
      </x:c>
      <x:c r="C123" s="28" t="str">
        <x:v>персик</x:v>
      </x:c>
      <x:c r="D123" s="28" t="str">
        <x:v>свежий корень имбиря</x:v>
      </x:c>
      <x:c r="E123" s="28" t="str">
        <x:v>Специи</x:v>
      </x:c>
      <x:c r="F123" s="28" t="str">
        <x:v>комплементарность ароматических семейств, вкусовой контраст и матричный эффект</x:v>
      </x:c>
      <x:c r="G12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Свежий корень имбиря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пряный, иногда горький.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хорошо извлекаются спиртом и жиром.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2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2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3" s="28" t="str">
        <x:v>напиток, соус, десерт или горячее блюдо после пробной дегустации</x:v>
      </x:c>
      <x:c r="K123" s="28" t="str">
        <x:v>Средняя</x:v>
      </x:c>
      <x:c r="L123" s="28" t="str">
        <x:v>The Art &amp; Science of Foodpairing.pdf</x:v>
      </x:c>
      <x:c r="M123" s="28" t="str">
        <x:v>The Art &amp; Science of Foodpairing.pdf: 142 | The Art &amp; Science of Foodpairing.pdf: 143</x:v>
      </x:c>
    </x:row>
    <x:row r="124" ht="64" customHeight="1">
      <x:c r="A124" s="28" t="str">
        <x:v>STN-0193</x:v>
      </x:c>
      <x:c r="B124" s="28" t="str">
        <x:v>персик</x:v>
      </x:c>
      <x:c r="C124" s="28" t="str">
        <x:v>персик</x:v>
      </x:c>
      <x:c r="D124" s="28" t="str">
        <x:v>сельдерей</x:v>
      </x:c>
      <x:c r="E124" s="28" t="str">
        <x:v>Овощи и бобовые</x:v>
      </x:c>
      <x:c r="F124" s="28" t="str">
        <x:v>комплементарность ароматических семейств, вкусовой контраст и матричный эффект</x:v>
      </x:c>
      <x:c r="G12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Сельдерей относится к группе «Овощи и бобовые» и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варьирует от сладости до горечи, умами и крахмалистости.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водная, волокнистая или крахмальная.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H12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I12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4" s="28" t="str">
        <x:v>напиток, соус, десерт или горячее блюдо после пробной дегустации</x:v>
      </x:c>
      <x:c r="K124" s="28" t="str">
        <x:v>Средняя</x:v>
      </x:c>
      <x:c r="L124" s="28" t="str">
        <x:v>The Art &amp; Science of Foodpairing.pdf</x:v>
      </x:c>
      <x:c r="M124" s="28" t="str">
        <x:v>The Art &amp; Science of Foodpairing.pdf: 260–261</x:v>
      </x:c>
    </x:row>
    <x:row r="125" ht="64" customHeight="1">
      <x:c r="A125" s="28" t="str">
        <x:v>STN-0194</x:v>
      </x:c>
      <x:c r="B125" s="28" t="str">
        <x:v>персик</x:v>
      </x:c>
      <x:c r="C125" s="28" t="str">
        <x:v>персик</x:v>
      </x:c>
      <x:c r="D125" s="28" t="str">
        <x:v>скрэмбл</x:v>
      </x:c>
      <x:c r="E125" s="28" t="str">
        <x:v>Прочее</x:v>
      </x:c>
      <x:c r="F125" s="28" t="str">
        <x:v>комплементарность ароматических семейств, вкусовой контраст и матричный эффект</x:v>
      </x:c>
      <x:c r="G12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Скрэмбл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12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12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5" s="28" t="str">
        <x:v>напиток, соус, десерт или горячее блюдо после пробной дегустации</x:v>
      </x:c>
      <x:c r="K125" s="28" t="str">
        <x:v>Средняя</x:v>
      </x:c>
      <x:c r="L125" s="28" t="str">
        <x:v>The Art &amp; Science of Foodpairing.pdf</x:v>
      </x:c>
      <x:c r="M125" s="28" t="str">
        <x:v>The Art &amp; Science of Foodpairing.pdf: 260–261</x:v>
      </x:c>
    </x:row>
    <x:row r="126" ht="64" customHeight="1">
      <x:c r="A126" s="28" t="str">
        <x:v>STN-0195</x:v>
      </x:c>
      <x:c r="B126" s="28" t="str">
        <x:v>персик</x:v>
      </x:c>
      <x:c r="C126" s="28" t="str">
        <x:v>персик</x:v>
      </x:c>
      <x:c r="D126" s="28" t="str">
        <x:v>слива</x:v>
      </x:c>
      <x:c r="E126" s="28" t="str">
        <x:v>Косточковые фрукты</x:v>
      </x:c>
      <x:c r="F126" s="28" t="str">
        <x:v>прямое или классовое перекрытие характерных одорантов + вкусовой баланс</x:v>
      </x:c>
      <x:c r="G12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Слива относится к группе «Косточковые фрукты» и даёт профиль «винно-фруктовый, цветочный, зелёный, пряный, миндальный; от свежего до тёмно-джемового»; типичные соединения или классы: фруктовые эфиры, γ- и δ-лактоны, бензальдегид, линалоол, C6-альдегиды, дамасконы. В рабочих профилях пересекаются: бензальдегид,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 и заметная яблочно-лимонная кислотность; кожица часто терпкая.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сочная пектиновая мякоть; кожица богата полифенолами; аромат хорошо работает в воде, сахаре 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H12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I12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6" s="28" t="str">
        <x:v>напиток, соус, десерт или горячее блюдо после пробной дегустации</x:v>
      </x:c>
      <x:c r="K126" s="28" t="str">
        <x:v>Высокая</x:v>
      </x:c>
      <x:c r="L126" s="28" t="str">
        <x:v>The Art &amp; Science of Foodpairing.pdf | Таблица сочетания(1).pdf</x:v>
      </x:c>
      <x:c r="M126" s="28" t="str">
        <x:v>Таблица сочетания(1).pdf: 17 | The Art &amp; Science of Foodpairing.pdf: 260</x:v>
      </x:c>
    </x:row>
    <x:row r="127" ht="64" customHeight="1">
      <x:c r="A127" s="28" t="str">
        <x:v>STN-0196</x:v>
      </x:c>
      <x:c r="B127" s="28" t="str">
        <x:v>персик</x:v>
      </x:c>
      <x:c r="C127" s="28" t="str">
        <x:v>персик</x:v>
      </x:c>
      <x:c r="D127" s="28" t="str">
        <x:v>смородина</x:v>
      </x:c>
      <x:c r="E127" s="28" t="str">
        <x:v>Ягоды</x:v>
      </x:c>
      <x:c r="F127" s="28" t="str">
        <x:v>комплементарность ароматических семейств, вкусовой контраст и матричный эффект</x:v>
      </x:c>
      <x:c r="G12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2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2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7" s="28" t="str">
        <x:v>сорбет, салат, джем, кордиал, лимонад, коктейль или фруктовый соус</x:v>
      </x:c>
      <x:c r="K127" s="28" t="str">
        <x:v>Гипотеза / практическая</x:v>
      </x:c>
      <x:c r="L127" s="28" t="str">
        <x:v>Таблица сочетания(1).pdf</x:v>
      </x:c>
      <x:c r="M127" s="28" t="str">
        <x:v>Таблица сочетания(1).pdf: Таблица сочетаний: 15 | Таблица сочетания(1).pdf: 15</x:v>
      </x:c>
    </x:row>
    <x:row r="128" ht="64" customHeight="1">
      <x:c r="A128" s="28" t="str">
        <x:v>STN-0197</x:v>
      </x:c>
      <x:c r="B128" s="28" t="str">
        <x:v>персик</x:v>
      </x:c>
      <x:c r="C128" s="28" t="str">
        <x:v>персик</x:v>
      </x:c>
      <x:c r="D128" s="28" t="str">
        <x:v>сок яблока кешью</x:v>
      </x:c>
      <x:c r="E128" s="28" t="str">
        <x:v>Фрукты</x:v>
      </x:c>
      <x:c r="F128" s="28" t="str">
        <x:v>комплементарность ароматических семейств, вкусовой контраст и матричный эффект</x:v>
      </x:c>
      <x:c r="G12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Сок яблока кешью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2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2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8" s="28" t="str">
        <x:v>сорбет, салат, джем, кордиал, лимонад, коктейль или фруктовый соус</x:v>
      </x:c>
      <x:c r="K128" s="28" t="str">
        <x:v>Средняя</x:v>
      </x:c>
      <x:c r="L128" s="28" t="str">
        <x:v>The Art &amp; Science of Foodpairing.pdf</x:v>
      </x:c>
      <x:c r="M128" s="28" t="str">
        <x:v>The Art &amp; Science of Foodpairing.pdf: 260–261</x:v>
      </x:c>
    </x:row>
    <x:row r="129" ht="64" customHeight="1">
      <x:c r="A129" s="28" t="str">
        <x:v>STN-0198</x:v>
      </x:c>
      <x:c r="B129" s="28" t="str">
        <x:v>персик</x:v>
      </x:c>
      <x:c r="C129" s="28" t="str">
        <x:v>персик</x:v>
      </x:c>
      <x:c r="D129" s="28" t="str">
        <x:v>сушеная вешенка</x:v>
      </x:c>
      <x:c r="E129" s="28" t="str">
        <x:v>Прочее</x:v>
      </x:c>
      <x:c r="F129" s="28" t="str">
        <x:v>комплементарность ароматических семейств, вкусовой контраст и матричный эффект</x:v>
      </x:c>
      <x:c r="G12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Сушеная вешенка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12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12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9" s="28" t="str">
        <x:v>напиток, соус, десерт или горячее блюдо после пробной дегустации</x:v>
      </x:c>
      <x:c r="K129" s="28" t="str">
        <x:v>Средняя</x:v>
      </x:c>
      <x:c r="L129" s="28" t="str">
        <x:v>The Art &amp; Science of Foodpairing.pdf</x:v>
      </x:c>
      <x:c r="M129" s="28" t="str">
        <x:v>The Art &amp; Science of Foodpairing.pdf: 260–261</x:v>
      </x:c>
    </x:row>
    <x:row r="130" ht="64" customHeight="1">
      <x:c r="A130" s="28" t="str">
        <x:v>STN-0199</x:v>
      </x:c>
      <x:c r="B130" s="28" t="str">
        <x:v>персик</x:v>
      </x:c>
      <x:c r="C130" s="28" t="str">
        <x:v>персик</x:v>
      </x:c>
      <x:c r="D130" s="28" t="str">
        <x:v>сушеная ромашка</x:v>
      </x:c>
      <x:c r="E130" s="28" t="str">
        <x:v>Алкогольные напитки</x:v>
      </x:c>
      <x:c r="F130" s="28" t="str">
        <x:v>комплементарность ароматических семейств, вкусовой контраст и матричный эффект</x:v>
      </x:c>
      <x:c r="G13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Сушеная ромашка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По доступным материалам нельзя уверенно свести совместимость к одной общей молекуле. Этанол усиливает летучесть лактонов и терпенов; сахар и кислотность должны быть настроены так, чтобы крепость не маскировала плод. Матрица пары: сочная пектиновая мякоть; кожица несёт зелёные и цветочные ноты; лактоны хорошо удерживаются жиром и этанолом. Этанол хорошо извлекает лактоны, бензальдегид и терпены, но высокая крепость усиливает жжение и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H130" s="28" t="str">
        <x:v>спелость резко увеличивает аромат; нагрев усиливает варенье, карамель и миндальные оттенки, но снижает свежую цветочность. Холодная мацерация сохраняет свежие эфиры; длительное настаивание увеличивает экстракцию кожицы и терпкость.</x:v>
      </x:c>
      <x:c r="I130" s="28" t="str">
        <x:v>незрелый плод ароматически беден; перезрелый быстро окисляется; косточки не использовать без безопасной технологии. Высокая крепость и избыток сахара маскируют свежесть; после мацерации контролируйте терпкость кожицы.</x:v>
      </x:c>
      <x:c r="J130" s="28" t="str">
        <x:v>коктейль, кордиал, настой, спритц, чайный или кофейный напиток</x:v>
      </x:c>
      <x:c r="K130" s="28" t="str">
        <x:v>Средняя</x:v>
      </x:c>
      <x:c r="L130" s="28" t="str">
        <x:v>The Art &amp; Science of Foodpairing.pdf</x:v>
      </x:c>
      <x:c r="M130" s="28" t="str">
        <x:v>The Art &amp; Science of Foodpairing.pdf: 260–261</x:v>
      </x:c>
    </x:row>
    <x:row r="131" ht="64" customHeight="1">
      <x:c r="A131" s="28" t="str">
        <x:v>STN-0201</x:v>
      </x:c>
      <x:c r="B131" s="28" t="str">
        <x:v>персик</x:v>
      </x:c>
      <x:c r="C131" s="28" t="str">
        <x:v>персик</x:v>
      </x:c>
      <x:c r="D131" s="28" t="str">
        <x:v>сушеные листья тмина</x:v>
      </x:c>
      <x:c r="E131" s="28" t="str">
        <x:v>Прочее</x:v>
      </x:c>
      <x:c r="F131" s="28" t="str">
        <x:v>комплементарность ароматических семейств, вкусовой контраст и матричный эффект</x:v>
      </x:c>
      <x:c r="G13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листья тмина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13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13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1" s="28" t="str">
        <x:v>напиток, соус, десерт или горячее блюдо после пробной дегустации</x:v>
      </x:c>
      <x:c r="K131" s="28" t="str">
        <x:v>Средняя</x:v>
      </x:c>
      <x:c r="L131" s="28" t="str">
        <x:v>The Art &amp; Science of Foodpairing.pdf</x:v>
      </x:c>
      <x:c r="M131" s="28" t="str">
        <x:v>The Art &amp; Science of Foodpairing.pdf: 260–261</x:v>
      </x:c>
    </x:row>
    <x:row r="132" ht="64" customHeight="1">
      <x:c r="A132" s="28" t="str">
        <x:v>STN-0202</x:v>
      </x:c>
      <x:c r="B132" s="28" t="str">
        <x:v>персик</x:v>
      </x:c>
      <x:c r="C132" s="28" t="str">
        <x:v>персик</x:v>
      </x:c>
      <x:c r="D132" s="28" t="str">
        <x:v>сушеные семена черного тмина</x:v>
      </x:c>
      <x:c r="E132" s="28" t="str">
        <x:v>Специи и острые компоненты</x:v>
      </x:c>
      <x:c r="F132" s="28" t="str">
        <x:v>комплементарность ароматических семейств, вкусовой контраст и матричный эффект</x:v>
      </x:c>
      <x:c r="G13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семена черного тмина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132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132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32" s="28" t="str">
        <x:v>напиток, соус, десерт или горячее блюдо после пробной дегустации</x:v>
      </x:c>
      <x:c r="K132" s="28" t="str">
        <x:v>Средняя</x:v>
      </x:c>
      <x:c r="L132" s="28" t="str">
        <x:v>The Art &amp; Science of Foodpairing.pdf</x:v>
      </x:c>
      <x:c r="M132" s="28" t="str">
        <x:v>The Art &amp; Science of Foodpairing.pdf: 260–261</x:v>
      </x:c>
    </x:row>
    <x:row r="133" ht="64" customHeight="1">
      <x:c r="A133" s="28" t="str">
        <x:v>STN-0203</x:v>
      </x:c>
      <x:c r="B133" s="28" t="str">
        <x:v>персик</x:v>
      </x:c>
      <x:c r="C133" s="28" t="str">
        <x:v>персик</x:v>
      </x:c>
      <x:c r="D133" s="28" t="str">
        <x:v>сушеные цветы сакуры</x:v>
      </x:c>
      <x:c r="E133" s="28" t="str">
        <x:v>Травы, листья и цветы</x:v>
      </x:c>
      <x:c r="F133" s="28" t="str">
        <x:v>прямое или классовое перекрытие характерных одорантов + вкусовой баланс</x:v>
      </x:c>
      <x:c r="G13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цветы сакуры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133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13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3" s="28" t="str">
        <x:v>напиток, соус, десерт или горячее блюдо после пробной дегустации</x:v>
      </x:c>
      <x:c r="K133" s="28" t="str">
        <x:v>Средняя</x:v>
      </x:c>
      <x:c r="L133" s="28" t="str">
        <x:v>The Art &amp; Science of Foodpairing.pdf</x:v>
      </x:c>
      <x:c r="M133" s="28" t="str">
        <x:v>The Art &amp; Science of Foodpairing.pdf: 260–261</x:v>
      </x:c>
    </x:row>
    <x:row r="134" ht="64" customHeight="1">
      <x:c r="A134" s="28" t="str">
        <x:v>STN-0205</x:v>
      </x:c>
      <x:c r="B134" s="28" t="str">
        <x:v>персик</x:v>
      </x:c>
      <x:c r="C134" s="28" t="str">
        <x:v>персик</x:v>
      </x:c>
      <x:c r="D134" s="28" t="str">
        <x:v>сычуаньский перец</x:v>
      </x:c>
      <x:c r="E134" s="28" t="str">
        <x:v>Специи и острые компоненты</x:v>
      </x:c>
      <x:c r="F134" s="28" t="str">
        <x:v>комплементарность ароматических семейств, вкусовой контраст и матричный эффект</x:v>
      </x:c>
      <x:c r="G13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Сычуаньский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134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134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34" s="28" t="str">
        <x:v>напиток, соус, десерт или горячее блюдо после пробной дегустации</x:v>
      </x:c>
      <x:c r="K134" s="28" t="str">
        <x:v>Средняя</x:v>
      </x:c>
      <x:c r="L134" s="28" t="str">
        <x:v>The Art &amp; Science of Foodpairing.pdf</x:v>
      </x:c>
      <x:c r="M134" s="28" t="str">
        <x:v>The Art &amp; Science of Foodpairing.pdf: 260–261</x:v>
      </x:c>
    </x:row>
    <x:row r="135" ht="64" customHeight="1">
      <x:c r="A135" s="28" t="str">
        <x:v>STN-0206</x:v>
      </x:c>
      <x:c r="B135" s="28" t="str">
        <x:v>персик</x:v>
      </x:c>
      <x:c r="C135" s="28" t="str">
        <x:v>персик</x:v>
      </x:c>
      <x:c r="D135" s="28" t="str">
        <x:v>таитянская ваниль</x:v>
      </x:c>
      <x:c r="E135" s="28" t="str">
        <x:v>Прочее</x:v>
      </x:c>
      <x:c r="F135" s="28" t="str">
        <x:v>комплементарность ароматических семейств, вкусовой контраст и матричный эффект</x:v>
      </x:c>
      <x:c r="G13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Таитянская ваниль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3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3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5" s="28" t="str">
        <x:v>напиток, соус, десерт или горячее блюдо после пробной дегустации</x:v>
      </x:c>
      <x:c r="K135" s="28" t="str">
        <x:v>Средняя</x:v>
      </x:c>
      <x:c r="L135" s="28" t="str">
        <x:v>The Art &amp; Science of Foodpairing.pdf</x:v>
      </x:c>
      <x:c r="M135" s="28" t="str">
        <x:v>The Art &amp; Science of Foodpairing.pdf: 260–261</x:v>
      </x:c>
    </x:row>
    <x:row r="136" ht="64" customHeight="1">
      <x:c r="A136" s="28" t="str">
        <x:v>STN-0207</x:v>
      </x:c>
      <x:c r="B136" s="28" t="str">
        <x:v>персик</x:v>
      </x:c>
      <x:c r="C136" s="28" t="str">
        <x:v>персик</x:v>
      </x:c>
      <x:c r="D136" s="28" t="str">
        <x:v>темный шоколад</x:v>
      </x:c>
      <x:c r="E136" s="28" t="str">
        <x:v>Чай, кофе и какао</x:v>
      </x:c>
      <x:c r="F136" s="28" t="str">
        <x:v>комплементарность ароматических семейств, вкусовой контраст и матричный эффект</x:v>
      </x:c>
      <x:c r="G13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Темный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горечь, терпкость и жареная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водные настои извлекают полифенолы; жир и сахар смягчают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13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13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6" s="28" t="str">
        <x:v>напиток, соус, десерт или горячее блюдо после пробной дегустации</x:v>
      </x:c>
      <x:c r="K136" s="28" t="str">
        <x:v>Средняя</x:v>
      </x:c>
      <x:c r="L136" s="28" t="str">
        <x:v>The Art &amp; Science of Foodpairing.pdf</x:v>
      </x:c>
      <x:c r="M136" s="28" t="str">
        <x:v>The Art &amp; Science of Foodpairing.pdf: 260–261</x:v>
      </x:c>
    </x:row>
    <x:row r="137" ht="64" customHeight="1">
      <x:c r="A137" s="28" t="str">
        <x:v>STN-0211</x:v>
      </x:c>
      <x:c r="B137" s="28" t="str">
        <x:v>персик</x:v>
      </x:c>
      <x:c r="C137" s="28" t="str">
        <x:v>персик</x:v>
      </x:c>
      <x:c r="D137" s="28" t="str">
        <x:v>укроп</x:v>
      </x:c>
      <x:c r="E137" s="28" t="str">
        <x:v>Травы и цветы</x:v>
      </x:c>
      <x:c r="F137" s="28" t="str">
        <x:v>прямое или классовое перекрытие характерных одорантов + вкусовой баланс</x:v>
      </x:c>
      <x:c r="G13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3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3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7" s="28" t="str">
        <x:v>напиток, соус, десерт или горячее блюдо после пробной дегустации</x:v>
      </x:c>
      <x:c r="K137" s="28" t="str">
        <x:v>Средняя</x:v>
      </x:c>
      <x:c r="L137" s="28" t="str">
        <x:v>The Art &amp; Science of Foodpairing.pdf</x:v>
      </x:c>
      <x:c r="M137" s="28" t="str">
        <x:v>The Art &amp; Science of Foodpairing.pdf: 260–261</x:v>
      </x:c>
    </x:row>
    <x:row r="138" ht="64" customHeight="1">
      <x:c r="A138" s="28" t="str">
        <x:v>STN-0212</x:v>
      </x:c>
      <x:c r="B138" s="28" t="str">
        <x:v>персик</x:v>
      </x:c>
      <x:c r="C138" s="28" t="str">
        <x:v>персик</x:v>
      </x:c>
      <x:c r="D138" s="28" t="str">
        <x:v>фиалка</x:v>
      </x:c>
      <x:c r="E138" s="28" t="str">
        <x:v>Травы и цветы</x:v>
      </x:c>
      <x:c r="F138" s="28" t="str">
        <x:v>прямое или классовое перекрытие характерных одорантов + вкусовой баланс</x:v>
      </x:c>
      <x:c r="G13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Фиалка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3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3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8" s="28" t="str">
        <x:v>напиток, соус, десерт или горячее блюдо после пробной дегустации</x:v>
      </x:c>
      <x:c r="K138" s="28" t="str">
        <x:v>Гипотеза / практическая</x:v>
      </x:c>
      <x:c r="L138" s="28" t="str">
        <x:v>Таблица сочетания(1).pdf</x:v>
      </x:c>
      <x:c r="M138" s="28" t="str">
        <x:v>Таблица сочетания(1).pdf: 21</x:v>
      </x:c>
    </x:row>
    <x:row r="139" ht="64" customHeight="1">
      <x:c r="A139" s="28" t="str">
        <x:v>STN-0217</x:v>
      </x:c>
      <x:c r="B139" s="28" t="str">
        <x:v>персик</x:v>
      </x:c>
      <x:c r="C139" s="28" t="str">
        <x:v>персик</x:v>
      </x:c>
      <x:c r="D139" s="28" t="str">
        <x:v>хвоя сосны</x:v>
      </x:c>
      <x:c r="E139" s="28" t="str">
        <x:v>Травы, листья и цветы</x:v>
      </x:c>
      <x:c r="F139" s="28" t="str">
        <x:v>прямое или классовое перекрытие характерных одорантов + вкусовой баланс</x:v>
      </x:c>
      <x:c r="G13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Хвоя сосны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139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13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9" s="28" t="str">
        <x:v>напиток, соус, десерт или горячее блюдо после пробной дегустации</x:v>
      </x:c>
      <x:c r="K139" s="28" t="str">
        <x:v>Средняя</x:v>
      </x:c>
      <x:c r="L139" s="28" t="str">
        <x:v>The Art &amp; Science of Foodpairing.pdf</x:v>
      </x:c>
      <x:c r="M139" s="28" t="str">
        <x:v>The Art &amp; Science of Foodpairing.pdf: 260–261</x:v>
      </x:c>
    </x:row>
    <x:row r="140" ht="64" customHeight="1">
      <x:c r="A140" s="28" t="str">
        <x:v>STN-0218</x:v>
      </x:c>
      <x:c r="B140" s="28" t="str">
        <x:v>персик</x:v>
      </x:c>
      <x:c r="C140" s="28" t="str">
        <x:v>персик</x:v>
      </x:c>
      <x:c r="D140" s="28" t="str">
        <x:v>цветы бузины</x:v>
      </x:c>
      <x:c r="E140" s="28" t="str">
        <x:v>Травы и цветы</x:v>
      </x:c>
      <x:c r="F140" s="28" t="str">
        <x:v>прямое или классовое перекрытие характерных одорантов + вкусовой баланс</x:v>
      </x:c>
      <x:c r="G14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Цветы бузины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4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4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0" s="28" t="str">
        <x:v>напиток, соус, десерт или горячее блюдо после пробной дегустации</x:v>
      </x:c>
      <x:c r="K140" s="28" t="str">
        <x:v>Средняя</x:v>
      </x:c>
      <x:c r="L140" s="28" t="str">
        <x:v>The Art &amp; Science of Foodpairing.pdf</x:v>
      </x:c>
      <x:c r="M140" s="28" t="str">
        <x:v>The Art &amp; Science of Foodpairing.pdf: 260–261</x:v>
      </x:c>
    </x:row>
    <x:row r="141" ht="64" customHeight="1">
      <x:c r="A141" s="28" t="str">
        <x:v>STN-0220</x:v>
      </x:c>
      <x:c r="B141" s="28" t="str">
        <x:v>персик</x:v>
      </x:c>
      <x:c r="C141" s="28" t="str">
        <x:v>персик</x:v>
      </x:c>
      <x:c r="D141" s="28" t="str">
        <x:v>цитрусовые</x:v>
      </x:c>
      <x:c r="E141" s="28" t="str">
        <x:v>Цитрусовые</x:v>
      </x:c>
      <x:c r="F141" s="28" t="str">
        <x:v>прямое или классовое перекрытие характерных одорантов + вкусовой баланс</x:v>
      </x:c>
      <x:c r="G14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Цитрусовые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 и кислый, цедра содержит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14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14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1" s="28" t="str">
        <x:v>сорбет, салат, джем, кордиал, лимонад, коктейль или фруктовый соус</x:v>
      </x:c>
      <x:c r="K141" s="28" t="str">
        <x:v>Гипотеза / практическая</x:v>
      </x:c>
      <x:c r="L141" s="28" t="str">
        <x:v>Таблица сочетания(1).pdf</x:v>
      </x:c>
      <x:c r="M141" s="28" t="str">
        <x:v>Таблица сочетания(1).pdf: Таблица сочетания(1).pdf: 15 | Таблица сочетания(1).pdf: 15</x:v>
      </x:c>
    </x:row>
    <x:row r="142" ht="64" customHeight="1">
      <x:c r="A142" s="28" t="str">
        <x:v>STN-0221</x:v>
      </x:c>
      <x:c r="B142" s="28" t="str">
        <x:v>персик</x:v>
      </x:c>
      <x:c r="C142" s="28" t="str">
        <x:v>персик</x:v>
      </x:c>
      <x:c r="D142" s="28" t="str">
        <x:v>цукаты из апельсиновой кожуры</x:v>
      </x:c>
      <x:c r="E142" s="28" t="str">
        <x:v>Цитрусовые</x:v>
      </x:c>
      <x:c r="F142" s="28" t="str">
        <x:v>комплементарность ароматических семейств, вкусовой контраст и матричный эффект</x:v>
      </x:c>
      <x:c r="G14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Цукаты из апельсиновой кожуры относится к группе «Цитрусовые» и даёт профиль «цитрусовый, сладко-фруктовый, цветочный, восковой»; типичные соединения или классы: лимонен, линалол, деканаль, октаналь, мирцен. По доступным материалам нельзя уверенно свести совместимость к одной общей молекуле.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водный; цедра и ликёры несут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Апельсиновый профиль строится на лимонене и альдегидах с восково-сладкой нотой..</x:v>
      </x:c>
      <x:c r="H14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Апельсиновый профиль строится на лимонене и альдегидах с восково-сладкой нотой..</x:v>
      </x:c>
      <x:c r="I14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2" s="28" t="str">
        <x:v>сорбет, салат, джем, кордиал, лимонад, коктейль или фруктовый соус</x:v>
      </x:c>
      <x:c r="K142" s="28" t="str">
        <x:v>Гипотеза / практическая</x:v>
      </x:c>
      <x:c r="L142" s="28" t="str">
        <x:v>The Art &amp; Science of Foodpairing.pdf</x:v>
      </x:c>
      <x:c r="M142" s="28" t="str">
        <x:v>The Art &amp; Science of Foodpairing.pdf: The Art &amp; Science of Foodpairing.pdf: 267</x:v>
      </x:c>
    </x:row>
    <x:row r="143" ht="64" customHeight="1">
      <x:c r="A143" s="28" t="str">
        <x:v>STN-0222</x:v>
      </x:c>
      <x:c r="B143" s="28" t="str">
        <x:v>персик</x:v>
      </x:c>
      <x:c r="C143" s="28" t="str">
        <x:v>персик</x:v>
      </x:c>
      <x:c r="D143" s="28" t="str">
        <x:v>черешня</x:v>
      </x:c>
      <x:c r="E143" s="28" t="str">
        <x:v>Ягоды и производные</x:v>
      </x:c>
      <x:c r="F143" s="28" t="str">
        <x:v>прямое или классовое перекрытие характерных одорантов + вкусовой баланс</x:v>
      </x:c>
      <x:c r="G14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Черешня относится к группе «Ягоды и производные» и даёт профиль «миндальный, сладко-фруктовый, цветочный»; типичные соединения или классы: бензальдегид, бета-дамасценон, эфиры. В рабочих профилях пересекаются: бензальдегид.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сладкий, умеренно кислый.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нежнее кислой вишни; легко становится приторной.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H14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I14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3" s="28" t="str">
        <x:v>напиток, соус, десерт или горячее блюдо после пробной дегустации</x:v>
      </x:c>
      <x:c r="K143" s="28" t="str">
        <x:v>Средняя</x:v>
      </x:c>
      <x:c r="L143" s="28" t="str">
        <x:v>The Art &amp; Science of Foodpairing.pdf</x:v>
      </x:c>
      <x:c r="M143" s="28" t="str">
        <x:v>The Art &amp; Science of Foodpairing.pdf: The Art &amp; Science of Foodpairing: 260, 261 | The Art &amp; Science of Foodpairing.pdf: 260–261</x:v>
      </x:c>
    </x:row>
    <x:row r="144" ht="64" customHeight="1">
      <x:c r="A144" s="28" t="str">
        <x:v>STN-0223</x:v>
      </x:c>
      <x:c r="B144" s="28" t="str">
        <x:v>персик</x:v>
      </x:c>
      <x:c r="C144" s="28" t="str">
        <x:v>персик</x:v>
      </x:c>
      <x:c r="D144" s="28" t="str">
        <x:v>черная смородина</x:v>
      </x:c>
      <x:c r="E144" s="28" t="str">
        <x:v>Ягоды</x:v>
      </x:c>
      <x:c r="F144" s="28" t="str">
        <x:v>комплементарность ароматических семейств, вкусовой контраст и матричный эффект</x:v>
      </x:c>
      <x:c r="G14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Черная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4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4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4" s="28" t="str">
        <x:v>сорбет, салат, джем, кордиал, лимонад, коктейль или фруктовый соус</x:v>
      </x:c>
      <x:c r="K144" s="28" t="str">
        <x:v>Гипотеза / практическая</x:v>
      </x:c>
      <x:c r="L144" s="28" t="str">
        <x:v>Таблица сочетания(1).pdf</x:v>
      </x:c>
      <x:c r="M144" s="28" t="str">
        <x:v>Таблица сочетания(1).pdf: Таблица сочетаний: 2 | Таблица сочетания(1).pdf: 2</x:v>
      </x:c>
    </x:row>
    <x:row r="145" ht="64" customHeight="1">
      <x:c r="A145" s="28" t="str">
        <x:v>STN-0224</x:v>
      </x:c>
      <x:c r="B145" s="28" t="str">
        <x:v>персик</x:v>
      </x:c>
      <x:c r="C145" s="28" t="str">
        <x:v>персик</x:v>
      </x:c>
      <x:c r="D145" s="28" t="str">
        <x:v>черника</x:v>
      </x:c>
      <x:c r="E145" s="28" t="str">
        <x:v>Ягоды</x:v>
      </x:c>
      <x:c r="F145" s="28" t="str">
        <x:v>комплементарность ароматических семейств, вкусовой контраст и матричный эффект</x:v>
      </x:c>
      <x:c r="G14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4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4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5" s="28" t="str">
        <x:v>сорбет, салат, джем, кордиал, лимонад, коктейль или фруктовый соус</x:v>
      </x:c>
      <x:c r="K145" s="28" t="str">
        <x:v>Средняя</x:v>
      </x:c>
      <x:c r="L145" s="28" t="str">
        <x:v>Тезариус вкусов (Ники Сегнит)(1).pdf</x:v>
      </x:c>
      <x:c r="M145" s="28" t="str">
        <x:v>Тезариус вкусов (Ники Сегнит)(1).pdf: Тезариус вкусов: 751, 905 | Тезариус вкусов (Ники Сегнит)(1).pdf: 751 | Тезариус вкусов (Ники Сегнит)(1).pdf: 905</x:v>
      </x:c>
    </x:row>
    <x:row r="146" ht="64" customHeight="1">
      <x:c r="A146" s="28" t="str">
        <x:v>STN-0225</x:v>
      </x:c>
      <x:c r="B146" s="28" t="str">
        <x:v>персик</x:v>
      </x:c>
      <x:c r="C146" s="28" t="str">
        <x:v>персик</x:v>
      </x:c>
      <x:c r="D146" s="28" t="str">
        <x:v>чернослив</x:v>
      </x:c>
      <x:c r="E146" s="28" t="str">
        <x:v>Сушёные косточковые фрукты</x:v>
      </x:c>
      <x:c r="F146" s="28" t="str">
        <x:v>прямое или классовое перекрытие характерных одорантов + вкусовой баланс</x:v>
      </x:c>
      <x:c r="G14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Чернослив относится к группе «Сушёные косточковые фрукты» и даёт профиль «тёмно-фруктовый, карамельный, винный, слегка дымный и миндальный»; типичные соединения или классы: фурфурол, 5-метилфурфурол, мальтол, лактоны, бензальдегид, продукты термического распада сахаров. В рабочих профилях пересекаются: бензальдегид.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маловодная, богатая сахарами, пектином и сорбитолом; хорошо удерживает специи и алкоголь.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H14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I14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6" s="28" t="str">
        <x:v>напиток, соус, десерт или горячее блюдо после пробной дегустации</x:v>
      </x:c>
      <x:c r="K146" s="28" t="str">
        <x:v>Средняя</x:v>
      </x:c>
      <x:c r="L146" s="28" t="str">
        <x:v>The Art &amp; Science of Foodpairing.pdf</x:v>
      </x:c>
      <x:c r="M146" s="28" t="str">
        <x:v>The Art &amp; Science of Foodpairing.pdf: 260 | The Art &amp; Science of Foodpairing.pdf: 260–261</x:v>
      </x:c>
    </x:row>
    <x:row r="147" ht="64" customHeight="1">
      <x:c r="A147" s="28" t="str">
        <x:v>STN-0227</x:v>
      </x:c>
      <x:c r="B147" s="28" t="str">
        <x:v>персик</x:v>
      </x:c>
      <x:c r="C147" s="28" t="str">
        <x:v>персик</x:v>
      </x:c>
      <x:c r="D147" s="28" t="str">
        <x:v>шиитаке</x:v>
      </x:c>
      <x:c r="E147" s="28" t="str">
        <x:v>Прочее</x:v>
      </x:c>
      <x:c r="F147" s="28" t="str">
        <x:v>комплементарность ароматических семейств, вкусовой контраст и матричный эффект</x:v>
      </x:c>
      <x:c r="G14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Шиитаке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4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4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7" s="28" t="str">
        <x:v>напиток, соус, десерт или горячее блюдо после пробной дегустации</x:v>
      </x:c>
      <x:c r="K147" s="28" t="str">
        <x:v>Средняя</x:v>
      </x:c>
      <x:c r="L147" s="28" t="str">
        <x:v>The Art &amp; Science of Foodpairing.pdf</x:v>
      </x:c>
      <x:c r="M147" s="28" t="str">
        <x:v>The Art &amp; Science of Foodpairing.pdf: 126</x:v>
      </x:c>
    </x:row>
    <x:row r="148" ht="64" customHeight="1">
      <x:c r="A148" s="28" t="str">
        <x:v>STN-0228</x:v>
      </x:c>
      <x:c r="B148" s="28" t="str">
        <x:v>персик</x:v>
      </x:c>
      <x:c r="C148" s="28" t="str">
        <x:v>персик</x:v>
      </x:c>
      <x:c r="D148" s="28" t="str">
        <x:v>шнитт-лук</x:v>
      </x:c>
      <x:c r="E148" s="28" t="str">
        <x:v>Травы, листья и цветы</x:v>
      </x:c>
      <x:c r="F148" s="28" t="str">
        <x:v>прямое или классовое перекрытие характерных одорантов + вкусовой баланс</x:v>
      </x:c>
      <x:c r="G14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Шнитт-лук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148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14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8" s="28" t="str">
        <x:v>напиток, соус, десерт или горячее блюдо после пробной дегустации</x:v>
      </x:c>
      <x:c r="K148" s="28" t="str">
        <x:v>Средняя</x:v>
      </x:c>
      <x:c r="L148" s="28" t="str">
        <x:v>The Art &amp; Science of Foodpairing.pdf</x:v>
      </x:c>
      <x:c r="M148" s="28" t="str">
        <x:v>The Art &amp; Science of Foodpairing.pdf: 260–261</x:v>
      </x:c>
    </x:row>
    <x:row r="149" ht="64" customHeight="1">
      <x:c r="A149" s="28" t="str">
        <x:v>STN-0229</x:v>
      </x:c>
      <x:c r="B149" s="28" t="str">
        <x:v>персик</x:v>
      </x:c>
      <x:c r="C149" s="28" t="str">
        <x:v>персик</x:v>
      </x:c>
      <x:c r="D149" s="28" t="str">
        <x:v>шоколад</x:v>
      </x:c>
      <x:c r="E149" s="28" t="str">
        <x:v>Чай, кофе и какао</x:v>
      </x:c>
      <x:c r="F149" s="28" t="str">
        <x:v>комплементарность ароматических семейств, вкусовой контраст и матричный эффект</x:v>
      </x:c>
      <x:c r="G14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горечь, терпкость и жареная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водные настои извлекают полифенолы; жир и сахар смягчают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14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14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9" s="28" t="str">
        <x:v>напиток, соус, десерт или горячее блюдо после пробной дегустации</x:v>
      </x:c>
      <x:c r="K149" s="28" t="str">
        <x:v>Высокая</x:v>
      </x:c>
      <x:c r="L149" s="28" t="str">
        <x:v>The Art &amp; Science of Foodpairing.pdf | Таблица сочетания(1).pdf</x:v>
      </x:c>
      <x:c r="M149" s="28" t="str">
        <x:v>Таблица сочетания(1).pdf: 15 | The Art &amp; Science of Foodpairing.pdf: 62</x:v>
      </x:c>
    </x:row>
    <x:row r="150" ht="64" customHeight="1">
      <x:c r="A150" s="28" t="str">
        <x:v>STN-0230</x:v>
      </x:c>
      <x:c r="B150" s="28" t="str">
        <x:v>персик</x:v>
      </x:c>
      <x:c r="C150" s="28" t="str">
        <x:v>персик</x:v>
      </x:c>
      <x:c r="D150" s="28" t="str">
        <x:v>эстрагон</x:v>
      </x:c>
      <x:c r="E150" s="28" t="str">
        <x:v>Травы и цветы</x:v>
      </x:c>
      <x:c r="F150" s="28" t="str">
        <x:v>прямое или классовое перекрытие характерных одорантов + вкусовой баланс</x:v>
      </x:c>
      <x:c r="G15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Эстрагон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горьковатый, свежий.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летучие масла чувствительны к нагреву.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5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5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0" s="28" t="str">
        <x:v>напиток, соус, десерт или горячее блюдо после пробной дегустации</x:v>
      </x:c>
      <x:c r="K150" s="28" t="str">
        <x:v>Средняя</x:v>
      </x:c>
      <x:c r="L150" s="28" t="str">
        <x:v>The Art &amp; Science of Foodpairing.pdf</x:v>
      </x:c>
      <x:c r="M150" s="28" t="str">
        <x:v>The Art &amp; Science of Foodpairing.pdf: 260–261</x:v>
      </x:c>
    </x:row>
    <x:row r="151" ht="64" customHeight="1">
      <x:c r="A151" s="28" t="str">
        <x:v>STN-0231</x:v>
      </x:c>
      <x:c r="B151" s="28" t="str">
        <x:v>персик</x:v>
      </x:c>
      <x:c r="C151" s="28" t="str">
        <x:v>персик</x:v>
      </x:c>
      <x:c r="D151" s="28" t="str">
        <x:v>ягоды</x:v>
      </x:c>
      <x:c r="E151" s="28" t="str">
        <x:v>Прочее</x:v>
      </x:c>
      <x:c r="F151" s="28" t="str">
        <x:v>комплементарность ароматических семейств, вкусовой контраст и матричный эффект</x:v>
      </x:c>
      <x:c r="G15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Ягоды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5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5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1" s="28" t="str">
        <x:v>напиток, соус, десерт или горячее блюдо после пробной дегустации</x:v>
      </x:c>
      <x:c r="K151" s="28" t="str">
        <x:v>Гипотеза / практическая</x:v>
      </x:c>
      <x:c r="L151" s="28" t="str">
        <x:v>Таблица сочетания(1).pdf</x:v>
      </x:c>
      <x:c r="M151" s="28" t="str">
        <x:v>Таблица сочетания(1).pdf: 15</x:v>
      </x:c>
    </x:row>
    <x:row r="152" ht="64" customHeight="1">
      <x:c r="A152" s="28" t="str">
        <x:v>STN-0232</x:v>
      </x:c>
      <x:c r="B152" s="28" t="str">
        <x:v>персик</x:v>
      </x:c>
      <x:c r="C152" s="28" t="str">
        <x:v>персик</x:v>
      </x:c>
      <x:c r="D152" s="28" t="str">
        <x:v>ягоды можжевельника</x:v>
      </x:c>
      <x:c r="E152" s="28" t="str">
        <x:v>Прочее</x:v>
      </x:c>
      <x:c r="F152" s="28" t="str">
        <x:v>комплементарность ароматических семейств, вкусовой контраст и матричный эффект</x:v>
      </x:c>
      <x:c r="G15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Ягоды можжевельника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5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5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2" s="28" t="str">
        <x:v>напиток, соус, десерт или горячее блюдо после пробной дегустации</x:v>
      </x:c>
      <x:c r="K152" s="28" t="str">
        <x:v>Гипотеза / практическая</x:v>
      </x:c>
      <x:c r="L152" s="28" t="str">
        <x:v>Таблица сочетания(1).pdf</x:v>
      </x:c>
      <x:c r="M152" s="28" t="str">
        <x:v>Таблица сочетания(1).pdf: 10</x:v>
      </x:c>
    </x:row>
    <x:row r="153" ht="64" customHeight="1">
      <x:c r="A153" s="28" t="str">
        <x:v>STN-0234</x:v>
      </x:c>
      <x:c r="B153" s="28" t="str">
        <x:v>нектарин</x:v>
      </x:c>
      <x:c r="C153" s="28" t="str">
        <x:v>нектарин</x:v>
      </x:c>
      <x:c r="D153" s="28" t="str">
        <x:v>абрикосовый бренди</x:v>
      </x:c>
      <x:c r="E153" s="28" t="str">
        <x:v>Алкогольные напитки</x:v>
      </x:c>
      <x:c r="F153" s="28" t="str">
        <x:v>прямое или классовое перекрытие характерных одорантов + вкусовой баланс</x:v>
      </x:c>
      <x:c r="G15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Абрикосовый бренди относится к группе «Алкогольные напитки» 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В рабочих профилях пересекаются: эфиры. Общие ароматические направления: цветочный, фруктовый. Этанол усиливает летучесть лактонов и терпенов; сахар и кислотность должны быть настроены так, чтобы крепость не маскировала плод. Матрица пары: 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 Обработка: 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H153" s="28" t="str">
        <x:v>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I153" s="28" t="str">
        <x:v>не перегревать и не переслащивать; иначе исчезает свежая фруктовая детализация. Высокая крепость и избыток сахара маскируют свежесть; после мацерации контролируйте терпкость кожицы.</x:v>
      </x:c>
      <x:c r="J153" s="28" t="str">
        <x:v>коктейль, кордиал, настой, спритц, чайный или кофейный напиток</x:v>
      </x:c>
      <x:c r="K153" s="28" t="str">
        <x:v>Средняя</x:v>
      </x:c>
      <x:c r="L153" s="28" t="str">
        <x:v>The Art &amp; Science of Foodpairing.pdf</x:v>
      </x:c>
      <x:c r="M153" s="28" t="str">
        <x:v>The Art &amp; Science of Foodpairing.pdf: 260–261</x:v>
      </x:c>
    </x:row>
    <x:row r="154" ht="64" customHeight="1">
      <x:c r="A154" s="28" t="str">
        <x:v>STN-0235</x:v>
      </x:c>
      <x:c r="B154" s="28" t="str">
        <x:v>нектарин</x:v>
      </x:c>
      <x:c r="C154" s="28" t="str">
        <x:v>нектарин</x:v>
      </x:c>
      <x:c r="D154" s="28" t="str">
        <x:v>абсент</x:v>
      </x:c>
      <x:c r="E154" s="28" t="str">
        <x:v>Алкогольные напитки</x:v>
      </x:c>
      <x:c r="F154" s="28" t="str">
        <x:v>прямое или классовое перекрытие характерных одорантов + вкусовой баланс</x:v>
      </x:c>
      <x:c r="G15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Абсент относится к группе «Алкогольные напитки» 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В рабочих профилях пересекаются: эфиры. Общие ароматические направления: цветочный, фруктовый. Этанол усиливает летучесть лактонов и терпенов; сахар и кислотность должны быть настроены так, чтобы крепость не маскировала плод. Матрица пары: 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 Обработка: 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H154" s="28" t="str">
        <x:v>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I154" s="28" t="str">
        <x:v>не перегревать и не переслащивать; иначе исчезает свежая фруктовая детализация. Высокая крепость и избыток сахара маскируют свежесть; после мацерации контролируйте терпкость кожицы.</x:v>
      </x:c>
      <x:c r="J154" s="28" t="str">
        <x:v>коктейль, кордиал, настой, спритц, чайный или кофейный напиток</x:v>
      </x:c>
      <x:c r="K154" s="28" t="str">
        <x:v>Средняя</x:v>
      </x:c>
      <x:c r="L154" s="28" t="str">
        <x:v>The Art &amp; Science of Foodpairing.pdf</x:v>
      </x:c>
      <x:c r="M154" s="28" t="str">
        <x:v>The Art &amp; Science of Foodpairing.pdf: 260–261</x:v>
      </x:c>
    </x:row>
    <x:row r="155" ht="64" customHeight="1">
      <x:c r="A155" s="28" t="str">
        <x:v>STN-0236</x:v>
      </x:c>
      <x:c r="B155" s="28" t="str">
        <x:v>нектарин</x:v>
      </x:c>
      <x:c r="C155" s="28" t="str">
        <x:v>нектарин</x:v>
      </x:c>
      <x:c r="D155" s="28" t="str">
        <x:v>авокадо</x:v>
      </x:c>
      <x:c r="E155" s="28" t="str">
        <x:v>Тропические фрукты и жирные матрицы</x:v>
      </x:c>
      <x:c r="F155" s="28" t="str">
        <x:v>комплементарность ароматических семейств, вкусовой контраст и матричный эффект</x:v>
      </x:c>
      <x:c r="G15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мягкий, жирный, почти несладкий; лёгкая растительная горечь.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высокожировая эмульсия; хорошо растворяет гидрофобные ароматические молекулы.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15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15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55" s="28" t="str">
        <x:v>напиток, соус, десерт или горячее блюдо после пробной дегустации</x:v>
      </x:c>
      <x:c r="K155" s="28" t="str">
        <x:v>Средняя</x:v>
      </x:c>
      <x:c r="L155" s="28" t="str">
        <x:v>The Art &amp; Science of Foodpairing.pdf</x:v>
      </x:c>
      <x:c r="M155" s="28" t="str">
        <x:v>The Art &amp; Science of Foodpairing.pdf: 260–261</x:v>
      </x:c>
    </x:row>
    <x:row r="156" ht="64" customHeight="1">
      <x:c r="A156" s="28" t="str">
        <x:v>STN-0237</x:v>
      </x:c>
      <x:c r="B156" s="28" t="str">
        <x:v>нектарин</x:v>
      </x:c>
      <x:c r="C156" s="28" t="str">
        <x:v>нектарин</x:v>
      </x:c>
      <x:c r="D156" s="28" t="str">
        <x:v>айва</x:v>
      </x:c>
      <x:c r="E156" s="28" t="str">
        <x:v>Семечковые фрукты</x:v>
      </x:c>
      <x:c r="F156" s="28" t="str">
        <x:v>прямое или классовое перекрытие характерных одорантов + вкусовой баланс</x:v>
      </x:c>
      <x:c r="G15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Айва относится к группе «Семечковые фрукты» и даёт профиль «цветочный, яблочно-грушевый, цитрусовый, медовый и слегка древесный»; типичные соединения или классы: эфиры жирных кислот, лактоны, линалоол, α-терпинеол, C6-альдегиды. В рабочих профилях пересекаются: линалоол, c6-альдегиды, эфиры.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кислотность и выраженная терпкость в сыром виде; после нагрева — сладко-фруктовый профиль.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плотная, пектиновая и малосочная; хорошо удерживает аромат в желе и сиропах.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сырая айва жёсткая и вяжущая; избыток дубильных веществ требует сахара, жира или длительного нагрева.</x:v>
      </x:c>
      <x:c r="H15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сырая айва жёсткая и вяжущая; избыток дубильных веществ требует сахара, жира или длительного нагрева.</x:v>
      </x:c>
      <x:c r="I15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56" s="28" t="str">
        <x:v>напиток, соус, десерт или горячее блюдо после пробной дегустации</x:v>
      </x:c>
      <x:c r="K156" s="28" t="str">
        <x:v>Гипотеза / практическая</x:v>
      </x:c>
      <x:c r="L156" s="28" t="str">
        <x:v>Таблица сочетания(1).pdf</x:v>
      </x:c>
      <x:c r="M156" s="28" t="str">
        <x:v>Таблица сочетания(1).pdf: Таблица сочетаний: 18 | Таблица сочетания(1).pdf: 18</x:v>
      </x:c>
    </x:row>
    <x:row r="157" ht="64" customHeight="1">
      <x:c r="A157" s="28" t="str">
        <x:v>STN-0238</x:v>
      </x:c>
      <x:c r="B157" s="28" t="str">
        <x:v>нектарин</x:v>
      </x:c>
      <x:c r="C157" s="28" t="str">
        <x:v>нектарин</x:v>
      </x:c>
      <x:c r="D157" s="28" t="str">
        <x:v>амаретто</x:v>
      </x:c>
      <x:c r="E157" s="28" t="str">
        <x:v>Алкогольные напитки</x:v>
      </x:c>
      <x:c r="F157" s="28" t="str">
        <x:v>прямое или классовое перекрытие характерных одорантов + вкусовой баланс</x:v>
      </x:c>
      <x:c r="G15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Амаретто относится к группе «Алкогольные напитки» и даёт профиль «эфирный, фруктовый, цветочный, древесный или ферментативный»; типичные соединения или классы: этиловые эфиры, высшие спирты, альдегиды, дубовые лактоны. В рабочих профилях пересекаются: эфиры. Общие ароматические направления: цветочный, фруктовый. Этанол усиливает летучесть лактонов и терпенов; сахар и кислотность должны быть настроены так, чтобы крепость не маскировала плод. Матрица пары: 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 Обработка: 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H157" s="28" t="str">
        <x:v>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 Для партнёра важно: разбавление, температура и выдержка определяют высвобождение аромата.</x:v>
      </x:c>
      <x:c r="I157" s="28" t="str">
        <x:v>не перегревать и не переслащивать; иначе исчезает свежая фруктовая детализация. Высокая крепость и избыток сахара маскируют свежесть; после мацерации контролируйте терпкость кожицы.</x:v>
      </x:c>
      <x:c r="J157" s="28" t="str">
        <x:v>коктейль, кордиал, настой, спритц, чайный или кофейный напиток</x:v>
      </x:c>
      <x:c r="K157" s="28" t="str">
        <x:v>Средняя</x:v>
      </x:c>
      <x:c r="L157" s="28" t="str">
        <x:v>The Art &amp; Science of Foodpairing.pdf</x:v>
      </x:c>
      <x:c r="M157" s="28" t="str">
        <x:v>The Art &amp; Science of Foodpairing.pdf: 260–261</x:v>
      </x:c>
    </x:row>
    <x:row r="158" ht="64" customHeight="1">
      <x:c r="A158" s="28" t="str">
        <x:v>STN-0239</x:v>
      </x:c>
      <x:c r="B158" s="28" t="str">
        <x:v>нектарин</x:v>
      </x:c>
      <x:c r="C158" s="28" t="str">
        <x:v>нектарин</x:v>
      </x:c>
      <x:c r="D158" s="28" t="str">
        <x:v>ананас</x:v>
      </x:c>
      <x:c r="E158" s="28" t="str">
        <x:v>Тропические фрукты</x:v>
      </x:c>
      <x:c r="F158" s="28" t="str">
        <x:v>комплементарность ароматических семейств, вкусовой контраст и матричный эффект</x:v>
      </x:c>
      <x:c r="G15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Ананас относится к группе «Тропические фрукты» и даёт профиль «яркий фруктовый, конфетный, цитрусовый, зелёный и слегка сернистый»; типичные соединения или классы: метилгексаноат, этилгексаноат, этилбутират, метил-3-(метилтио)пропионат и другие сернистые следы. По доступным материалам нельзя уверенно свести совместимость к одной общей молекуле. Общие ароматические направления: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выраженная сладость и кислотность; лёгкая терпкость сердцевины.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кислая; содержит протеазу бромелайн, разрушающую белки.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H15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I15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58" s="28" t="str">
        <x:v>напиток, соус, десерт или горячее блюдо после пробной дегустации</x:v>
      </x:c>
      <x:c r="K158" s="28" t="str">
        <x:v>Средняя</x:v>
      </x:c>
      <x:c r="L158" s="28" t="str">
        <x:v>The Art &amp; Science of Foodpairing.pdf</x:v>
      </x:c>
      <x:c r="M158" s="28" t="str">
        <x:v>The Art &amp; Science of Foodpairing.pdf: The Art &amp; Science of Foodpairing: 243 | The Art &amp; Science of Foodpairing.pdf: 243</x:v>
      </x:c>
    </x:row>
    <x:row r="159" ht="64" customHeight="1">
      <x:c r="A159" s="28" t="str">
        <x:v>STN-0240</x:v>
      </x:c>
      <x:c r="B159" s="28" t="str">
        <x:v>нектарин</x:v>
      </x:c>
      <x:c r="C159" s="28" t="str">
        <x:v>нектарин</x:v>
      </x:c>
      <x:c r="D159" s="28" t="str">
        <x:v>анис</x:v>
      </x:c>
      <x:c r="E159" s="28" t="str">
        <x:v>Специи и острые компоненты</x:v>
      </x:c>
      <x:c r="F159" s="28" t="str">
        <x:v>комплементарность ароматических семейств, вкусовой контраст и матричный эффект</x:v>
      </x:c>
      <x:c r="G15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Анис относится к группе «Специи и острые компоненты» и даёт профиль «сладкий лакричный и пряный»; типичные соединения или классы: анетол.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59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59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159" s="28" t="str">
        <x:v>напиток, соус, десерт или горячее блюдо после пробной дегустации</x:v>
      </x:c>
      <x:c r="K159" s="28" t="str">
        <x:v>Гипотеза / практическая</x:v>
      </x:c>
      <x:c r="L159" s="28" t="str">
        <x:v>Таблица сочетания(1).pdf</x:v>
      </x:c>
      <x:c r="M159" s="28" t="str">
        <x:v>Таблица сочетания(1).pdf: 14</x:v>
      </x:c>
    </x:row>
    <x:row r="160" ht="64" customHeight="1">
      <x:c r="A160" s="28" t="str">
        <x:v>STN-0241</x:v>
      </x:c>
      <x:c r="B160" s="28" t="str">
        <x:v>нектарин</x:v>
      </x:c>
      <x:c r="C160" s="28" t="str">
        <x:v>нектарин</x:v>
      </x:c>
      <x:c r="D160" s="28" t="str">
        <x:v>апельсин</x:v>
      </x:c>
      <x:c r="E160" s="28" t="str">
        <x:v>Цитрусовые</x:v>
      </x:c>
      <x:c r="F160" s="28" t="str">
        <x:v>прямое или классовое перекрытие характерных одорантов + вкусовой баланс</x:v>
      </x:c>
      <x:c r="G16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16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16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60" s="28" t="str">
        <x:v>сорбет, салат, джем, кордиал, лимонад, коктейль или фруктовый соус</x:v>
      </x:c>
      <x:c r="K160" s="28" t="str">
        <x:v>Гипотеза / практическая</x:v>
      </x:c>
      <x:c r="L160" s="28" t="str">
        <x:v>Таблица сочетания(1).pdf</x:v>
      </x:c>
      <x:c r="M160" s="28" t="str">
        <x:v>Таблица сочетания(1).pdf: Таблица сочетания(1).pdf: 14 | Таблица сочетания(1).pdf: 14</x:v>
      </x:c>
    </x:row>
    <x:row r="161" ht="64" customHeight="1">
      <x:c r="A161" s="28" t="str">
        <x:v>STN-0242</x:v>
      </x:c>
      <x:c r="B161" s="28" t="str">
        <x:v>нектарин</x:v>
      </x:c>
      <x:c r="C161" s="28" t="str">
        <x:v>нектарин</x:v>
      </x:c>
      <x:c r="D161" s="28" t="str">
        <x:v>артишок</x:v>
      </x:c>
      <x:c r="E161" s="28" t="str">
        <x:v>Овощи и грибы</x:v>
      </x:c>
      <x:c r="F161" s="28" t="str">
        <x:v>прямое или классовое перекрытие характерных одорантов + вкусовой баланс</x:v>
      </x:c>
      <x:c r="G16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Артишок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растительный, иногда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высокая доля воды; нагрев меняет зелёный профиль.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6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6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61" s="28" t="str">
        <x:v>напиток, соус, десерт или горячее блюдо после пробной дегустации</x:v>
      </x:c>
      <x:c r="K161" s="28" t="str">
        <x:v>Средняя</x:v>
      </x:c>
      <x:c r="L161" s="28" t="str">
        <x:v>The Art &amp; Science of Foodpairing.pdf</x:v>
      </x:c>
      <x:c r="M161" s="28" t="str">
        <x:v>The Art &amp; Science of Foodpairing.pdf: 329</x:v>
      </x:c>
    </x:row>
    <x:row r="162" ht="64" customHeight="1">
      <x:c r="A162" s="28" t="str">
        <x:v>STN-0243</x:v>
      </x:c>
      <x:c r="B162" s="28" t="str">
        <x:v>нектарин</x:v>
      </x:c>
      <x:c r="C162" s="28" t="str">
        <x:v>нектарин</x:v>
      </x:c>
      <x:c r="D162" s="28" t="str">
        <x:v>бадьян</x:v>
      </x:c>
      <x:c r="E162" s="28" t="str">
        <x:v>Специи и острые компоненты</x:v>
      </x:c>
      <x:c r="F162" s="28" t="str">
        <x:v>комплементарность ароматических семейств, вкусовой контраст и матричный эффект</x:v>
      </x:c>
      <x:c r="G16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Бадьян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62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62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162" s="28" t="str">
        <x:v>напиток, соус, десерт или горячее блюдо после пробной дегустации</x:v>
      </x:c>
      <x:c r="K162" s="28" t="str">
        <x:v>Средняя</x:v>
      </x:c>
      <x:c r="L162" s="28" t="str">
        <x:v>The Art &amp; Science of Foodpairing.pdf</x:v>
      </x:c>
      <x:c r="M162" s="28" t="str">
        <x:v>The Art &amp; Science of Foodpairing.pdf: 260–261</x:v>
      </x:c>
    </x:row>
    <x:row r="163" ht="64" customHeight="1">
      <x:c r="A163" s="28" t="str">
        <x:v>STN-0247</x:v>
      </x:c>
      <x:c r="B163" s="28" t="str">
        <x:v>нектарин</x:v>
      </x:c>
      <x:c r="C163" s="28" t="str">
        <x:v>нектарин</x:v>
      </x:c>
      <x:c r="D163" s="28" t="str">
        <x:v>белый перец</x:v>
      </x:c>
      <x:c r="E163" s="28" t="str">
        <x:v>Специи и острые компоненты</x:v>
      </x:c>
      <x:c r="F163" s="28" t="str">
        <x:v>комплементарность ароматических семейств, вкусовой контраст и матричный эффект</x:v>
      </x:c>
      <x:c r="G16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Белый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163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163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163" s="28" t="str">
        <x:v>напиток, соус, десерт или горячее блюдо после пробной дегустации</x:v>
      </x:c>
      <x:c r="K163" s="28" t="str">
        <x:v>Средняя</x:v>
      </x:c>
      <x:c r="L163" s="28" t="str">
        <x:v>The Art &amp; Science of Foodpairing.pdf</x:v>
      </x:c>
      <x:c r="M163" s="28" t="str">
        <x:v>The Art &amp; Science of Foodpairing.pdf: 273</x:v>
      </x:c>
    </x:row>
    <x:row r="164" ht="64" customHeight="1">
      <x:c r="A164" s="28" t="str">
        <x:v>STN-0249</x:v>
      </x:c>
      <x:c r="B164" s="28" t="str">
        <x:v>нектарин</x:v>
      </x:c>
      <x:c r="C164" s="28" t="str">
        <x:v>нектарин</x:v>
      </x:c>
      <x:c r="D164" s="28" t="str">
        <x:v>бергамот</x:v>
      </x:c>
      <x:c r="E164" s="28" t="str">
        <x:v>Цитрусовые</x:v>
      </x:c>
      <x:c r="F164" s="28" t="str">
        <x:v>прямое или классовое перекрытие характерных одорантов + вкусовой баланс</x:v>
      </x:c>
      <x:c r="G16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Бергамот относится к группе «Цитрусовые» и даёт профиль «зелёный, цветочный, цитрусовый»; типичные соединения или классы: лимонен, линалоол, цитраль.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вода и эфирные масла; цедра гидрофобна.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6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6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64" s="28" t="str">
        <x:v>сорбет, салат, джем, кордиал, лимонад, коктейль или фруктовый соус</x:v>
      </x:c>
      <x:c r="K164" s="28" t="str">
        <x:v>Средняя</x:v>
      </x:c>
      <x:c r="L164" s="28" t="str">
        <x:v>The Art &amp; Science of Foodpairing.pdf</x:v>
      </x:c>
      <x:c r="M164" s="28" t="str">
        <x:v>The Art &amp; Science of Foodpairing.pdf: 260–261</x:v>
      </x:c>
    </x:row>
    <x:row r="165" ht="64" customHeight="1">
      <x:c r="A165" s="28" t="str">
        <x:v>STN-0250</x:v>
      </x:c>
      <x:c r="B165" s="28" t="str">
        <x:v>нектарин</x:v>
      </x:c>
      <x:c r="C165" s="28" t="str">
        <x:v>нектарин</x:v>
      </x:c>
      <x:c r="D165" s="28" t="str">
        <x:v>бриошь</x:v>
      </x:c>
      <x:c r="E165" s="28" t="str">
        <x:v>Злаки, хлеб и выпечка</x:v>
      </x:c>
      <x:c r="F165" s="28" t="str">
        <x:v>комплементарность ароматических семейств, вкусовой контраст и матричный эффект</x:v>
      </x:c>
      <x:c r="G16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Бриошь относится к группе «Злаки, хлеб и выпечка» и даёт профиль «хлебный, зерновой, ореховый, жареный и карамельный»; типичные соединения или классы: 2-ацетил-1-пирролин, пиразины, фураны, мальтол.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крахмалистость, лёгкая сладость и жареная горечь.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 и клетчатка смягчают кислоту и поглощают ароматические соусы.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H16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I16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65" s="28" t="str">
        <x:v>напиток, соус, десерт или горячее блюдо после пробной дегустации</x:v>
      </x:c>
      <x:c r="K165" s="28" t="str">
        <x:v>Средняя</x:v>
      </x:c>
      <x:c r="L165" s="28" t="str">
        <x:v>The Art &amp; Science of Foodpairing.pdf</x:v>
      </x:c>
      <x:c r="M165" s="28" t="str">
        <x:v>The Art &amp; Science of Foodpairing.pdf: 260–261</x:v>
      </x:c>
    </x:row>
    <x:row r="166" ht="64" customHeight="1">
      <x:c r="A166" s="28" t="str">
        <x:v>STN-0252</x:v>
      </x:c>
      <x:c r="B166" s="28" t="str">
        <x:v>нектарин</x:v>
      </x:c>
      <x:c r="C166" s="28" t="str">
        <x:v>нектарин</x:v>
      </x:c>
      <x:c r="D166" s="28" t="str">
        <x:v>вишня</x:v>
      </x:c>
      <x:c r="E166" s="28" t="str">
        <x:v>Косточковые фрукты</x:v>
      </x:c>
      <x:c r="F166" s="28" t="str">
        <x:v>прямое или классовое перекрытие характерных одорантов + вкусовой баланс</x:v>
      </x:c>
      <x:c r="G16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линалоол, эфиры. Общие ароматические направления: цветочный, фруктовый, лактонный.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 и умеренная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пектиновая; кожица и косточка могут давать терпкость и миндальные ноты.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16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16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66" s="28" t="str">
        <x:v>напиток, соус, десерт или горячее блюдо после пробной дегустации</x:v>
      </x:c>
      <x:c r="K166" s="28" t="str">
        <x:v>Гипотеза / практическая</x:v>
      </x:c>
      <x:c r="L166" s="28" t="str">
        <x:v>Таблица сочетания(1).pdf</x:v>
      </x:c>
      <x:c r="M166" s="28" t="str">
        <x:v>Таблица сочетания(1).pdf: Таблица сочетаний: 4, 14 | Таблица сочетания(1).pdf: 4 | Таблица сочетания(1).pdf: 14</x:v>
      </x:c>
    </x:row>
    <x:row r="167" ht="64" customHeight="1">
      <x:c r="A167" s="28" t="str">
        <x:v>STN-0254</x:v>
      </x:c>
      <x:c r="B167" s="28" t="str">
        <x:v>нектарин</x:v>
      </x:c>
      <x:c r="C167" s="28" t="str">
        <x:v>нектарин</x:v>
      </x:c>
      <x:c r="D167" s="28" t="str">
        <x:v>выдержанный хересный уксус</x:v>
      </x:c>
      <x:c r="E167" s="28" t="str">
        <x:v>Алкогольные напитки</x:v>
      </x:c>
      <x:c r="F167" s="28" t="str">
        <x:v>прямое или классовое перекрытие характерных одорантов + вкусовой баланс</x:v>
      </x:c>
      <x:c r="G16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Выдержанный хересный уксус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В рабочих профилях пересекаются: эфиры. Общие ароматические направления: фруктовый. Этанол усиливает летучесть лактонов и терпенов; сахар и кислотность должны быть настроены так, чтобы крепость не маскировала плод. Матрица пары: 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 Обработка: 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</x:v>
      </x:c>
      <x:c r="H167" s="28" t="str">
        <x:v>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</x:v>
      </x:c>
      <x:c r="I167" s="28" t="str">
        <x:v>не перегревать и не переслащивать; иначе исчезает свежая фруктовая детализация. Высокая крепость и избыток сахара маскируют свежесть; после мацерации контролируйте терпкость кожицы.</x:v>
      </x:c>
      <x:c r="J167" s="28" t="str">
        <x:v>коктейль, кордиал, настой, спритц, чайный или кофейный напиток</x:v>
      </x:c>
      <x:c r="K167" s="28" t="str">
        <x:v>Средняя</x:v>
      </x:c>
      <x:c r="L167" s="28" t="str">
        <x:v>The Art &amp; Science of Foodpairing.pdf</x:v>
      </x:c>
      <x:c r="M167" s="28" t="str">
        <x:v>The Art &amp; Science of Foodpairing.pdf: 260–261</x:v>
      </x:c>
    </x:row>
    <x:row r="168" ht="64" customHeight="1">
      <x:c r="A168" s="28" t="str">
        <x:v>STN-0256</x:v>
      </x:c>
      <x:c r="B168" s="28" t="str">
        <x:v>нектарин</x:v>
      </x:c>
      <x:c r="C168" s="28" t="str">
        <x:v>нектарин</x:v>
      </x:c>
      <x:c r="D168" s="28" t="str">
        <x:v>голубика</x:v>
      </x:c>
      <x:c r="E168" s="28" t="str">
        <x:v>Ягоды</x:v>
      </x:c>
      <x:c r="F168" s="28" t="str">
        <x:v>прямое или классовое перекрытие характерных одорантов + вкусовой баланс</x:v>
      </x:c>
      <x:c r="G16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6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6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68" s="28" t="str">
        <x:v>сорбет, салат, джем, кордиал, лимонад, коктейль или фруктовый соус</x:v>
      </x:c>
      <x:c r="K168" s="28" t="str">
        <x:v>Высокая</x:v>
      </x:c>
      <x:c r="L168" s="28" t="str">
        <x:v>The Art &amp; Science of Foodpairing.pdf | Таблица сочетания(1).pdf</x:v>
      </x:c>
      <x:c r="M168" s="28" t="str">
        <x:v>Таблица сочетания(1).pdf: Таблица сочетаний: 14 | Таблица сочетания(1).pdf: 14 | The Art &amp; Science of Foodpairing.pdf: 202</x:v>
      </x:c>
    </x:row>
    <x:row r="169" ht="64" customHeight="1">
      <x:c r="A169" s="28" t="str">
        <x:v>STN-0257</x:v>
      </x:c>
      <x:c r="B169" s="28" t="str">
        <x:v>нектарин</x:v>
      </x:c>
      <x:c r="C169" s="28" t="str">
        <x:v>нектарин</x:v>
      </x:c>
      <x:c r="D169" s="28" t="str">
        <x:v>горгонзола</x:v>
      </x:c>
      <x:c r="E169" s="28" t="str">
        <x:v>Прочее</x:v>
      </x:c>
      <x:c r="F169" s="28" t="str">
        <x:v>комплементарность ароматических семейств, вкусовой контраст и матричный эффект</x:v>
      </x:c>
      <x:c r="G16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Горгонзола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важны вода, жир, белок, сахар и температура.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6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6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69" s="28" t="str">
        <x:v>напиток, соус, десерт или горячее блюдо после пробной дегустации</x:v>
      </x:c>
      <x:c r="K169" s="28" t="str">
        <x:v>Средняя</x:v>
      </x:c>
      <x:c r="L169" s="28" t="str">
        <x:v>The Art &amp; Science of Foodpairing.pdf</x:v>
      </x:c>
      <x:c r="M169" s="28" t="str">
        <x:v>The Art &amp; Science of Foodpairing.pdf: 260–261</x:v>
      </x:c>
    </x:row>
    <x:row r="170" ht="64" customHeight="1">
      <x:c r="A170" s="28" t="str">
        <x:v>STN-0258</x:v>
      </x:c>
      <x:c r="B170" s="28" t="str">
        <x:v>нектарин</x:v>
      </x:c>
      <x:c r="C170" s="28" t="str">
        <x:v>нектарин</x:v>
      </x:c>
      <x:c r="D170" s="28" t="str">
        <x:v>гранат</x:v>
      </x:c>
      <x:c r="E170" s="28" t="str">
        <x:v>Субтропические фрукты</x:v>
      </x:c>
      <x:c r="F170" s="28" t="str">
        <x:v>прямое или классовое перекрытие характерных одорантов + вкусовой баланс</x:v>
      </x:c>
      <x:c r="G17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Гранат относится к группе «Субтропические фрукты» и даёт профиль «красно-фруктовый, цветочный, зелёный и винный»; типичные соединения или классы: гексаналь, (E)-2-гексеналь, эфиры, терпены; нелетучие пуникалагины и антоцианы. В рабочих профилях пересекаются: эфиры. Общие ароматические направления: цветочный,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яркая кислотность, сладость и выраженная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водный сок с полифенолами; семена дают хруст и лёгкую горечь.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H17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I17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0" s="28" t="str">
        <x:v>напиток, соус, десерт или горячее блюдо после пробной дегустации</x:v>
      </x:c>
      <x:c r="K170" s="28" t="str">
        <x:v>Средняя</x:v>
      </x:c>
      <x:c r="L170" s="28" t="str">
        <x:v>The Art &amp; Science of Foodpairing.pdf</x:v>
      </x:c>
      <x:c r="M170" s="28" t="str">
        <x:v>The Art &amp; Science of Foodpairing.pdf: 260–261</x:v>
      </x:c>
    </x:row>
    <x:row r="171" ht="64" customHeight="1">
      <x:c r="A171" s="28" t="str">
        <x:v>STN-0259</x:v>
      </x:c>
      <x:c r="B171" s="28" t="str">
        <x:v>нектарин</x:v>
      </x:c>
      <x:c r="C171" s="28" t="str">
        <x:v>нектарин</x:v>
      </x:c>
      <x:c r="D171" s="28" t="str">
        <x:v>грейпфрут</x:v>
      </x:c>
      <x:c r="E171" s="28" t="str">
        <x:v>Цитрусовые</x:v>
      </x:c>
      <x:c r="F171" s="28" t="str">
        <x:v>прямое или классовое перекрытие характерных одорантов + вкусовой баланс</x:v>
      </x:c>
      <x:c r="G17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Грейпфрут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17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17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1" s="28" t="str">
        <x:v>сорбет, салат, джем, кордиал, лимонад, коктейль или фруктовый соус</x:v>
      </x:c>
      <x:c r="K171" s="28" t="str">
        <x:v>Средняя</x:v>
      </x:c>
      <x:c r="L171" s="28" t="str">
        <x:v>The Art &amp; Science of Foodpairing.pdf</x:v>
      </x:c>
      <x:c r="M171" s="28" t="str">
        <x:v>The Art &amp; Science of Foodpairing.pdf: 359</x:v>
      </x:c>
    </x:row>
    <x:row r="172" ht="64" customHeight="1">
      <x:c r="A172" s="28" t="str">
        <x:v>STN-0260</x:v>
      </x:c>
      <x:c r="B172" s="28" t="str">
        <x:v>нектарин</x:v>
      </x:c>
      <x:c r="C172" s="28" t="str">
        <x:v>нектарин</x:v>
      </x:c>
      <x:c r="D172" s="28" t="str">
        <x:v>груша</x:v>
      </x:c>
      <x:c r="E172" s="28" t="str">
        <x:v>Семечковые фрукты</x:v>
      </x:c>
      <x:c r="F172" s="28" t="str">
        <x:v>прямое или классовое перекрытие характерных одорантов + вкусовой баланс</x:v>
      </x:c>
      <x:c r="G17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Груша относится к группе «Семечковые фрукты» и даёт профиль «сочный фруктовый, цветочный, медовый, зелёный; у зрелых сортов — винный и пряный»; типичные соединения или классы: этил (E,Z)-2,4-декадиеноат («грушевый эфир»), гексилацетат, бутилацетат, гексаналь, линалоол. В рабочих профилях пересекаются: линалоол. Общие ароматические направления: цветочный,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мягкая сладость, умеренная кислотность, иногда лёгкая зернистость и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водная, богатая пектином и каменистыми клетками; летучие эфиры чувствительны к перегреву.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H17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I17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2" s="28" t="str">
        <x:v>напиток, соус, десерт или горячее блюдо после пробной дегустации</x:v>
      </x:c>
      <x:c r="K172" s="28" t="str">
        <x:v>Гипотеза / практическая</x:v>
      </x:c>
      <x:c r="L172" s="28" t="str">
        <x:v>The Art &amp; Science of Foodpairing.pdf</x:v>
      </x:c>
      <x:c r="M172" s="28" t="str">
        <x:v>The Art &amp; Science of Foodpairing.pdf: The Art &amp; Science of Foodpairing: 351</x:v>
      </x:c>
    </x:row>
    <x:row r="173" ht="64" customHeight="1">
      <x:c r="A173" s="28" t="str">
        <x:v>STN-0261</x:v>
      </x:c>
      <x:c r="B173" s="28" t="str">
        <x:v>нектарин</x:v>
      </x:c>
      <x:c r="C173" s="28" t="str">
        <x:v>нектарин</x:v>
      </x:c>
      <x:c r="D173" s="28" t="str">
        <x:v>груша conference</x:v>
      </x:c>
      <x:c r="E173" s="28" t="str">
        <x:v>Фрукты</x:v>
      </x:c>
      <x:c r="F173" s="28" t="str">
        <x:v>прямое или классовое перекрытие характерных одорантов + вкусовой баланс</x:v>
      </x:c>
      <x:c r="G17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Груша conference относится к группе «Фрукты» и даёт профиль «зелёный, фруктовый, цветочный»; типичные соединения или классы: лактоны, терпены, эфиры.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фруктовая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7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7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3" s="28" t="str">
        <x:v>сорбет, салат, джем, кордиал, лимонад, коктейль или фруктовый соус</x:v>
      </x:c>
      <x:c r="K173" s="28" t="str">
        <x:v>Средняя</x:v>
      </x:c>
      <x:c r="L173" s="28" t="str">
        <x:v>The Art &amp; Science of Foodpairing.pdf</x:v>
      </x:c>
      <x:c r="M173" s="28" t="str">
        <x:v>The Art &amp; Science of Foodpairing.pdf: 351</x:v>
      </x:c>
    </x:row>
    <x:row r="174" ht="64" customHeight="1">
      <x:c r="A174" s="28" t="str">
        <x:v>STN-0262</x:v>
      </x:c>
      <x:c r="B174" s="28" t="str">
        <x:v>нектарин</x:v>
      </x:c>
      <x:c r="C174" s="28" t="str">
        <x:v>нектарин</x:v>
      </x:c>
      <x:c r="D174" s="28" t="str">
        <x:v>грюйер</x:v>
      </x:c>
      <x:c r="E174" s="28" t="str">
        <x:v>Молочные продукты и сыры</x:v>
      </x:c>
      <x:c r="F174" s="28" t="str">
        <x:v>комплементарность ароматических семейств, вкусовой контраст и матричный эффект</x:v>
      </x:c>
      <x:c r="G17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Грюйер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жирный, кислый/солёный.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жировая и белковая матрица смягчает кислотность.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7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7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4" s="28" t="str">
        <x:v>напиток, соус, десерт или горячее блюдо после пробной дегустации</x:v>
      </x:c>
      <x:c r="K174" s="28" t="str">
        <x:v>Средняя</x:v>
      </x:c>
      <x:c r="L174" s="28" t="str">
        <x:v>The Art &amp; Science of Foodpairing.pdf</x:v>
      </x:c>
      <x:c r="M174" s="28" t="str">
        <x:v>The Art &amp; Science of Foodpairing.pdf: 260–261</x:v>
      </x:c>
    </x:row>
    <x:row r="175" ht="64" customHeight="1">
      <x:c r="A175" s="28" t="str">
        <x:v>STN-0264</x:v>
      </x:c>
      <x:c r="B175" s="28" t="str">
        <x:v>нектарин</x:v>
      </x:c>
      <x:c r="C175" s="28" t="str">
        <x:v>нектарин</x:v>
      </x:c>
      <x:c r="D175" s="28" t="str">
        <x:v>дыня ханидью</x:v>
      </x:c>
      <x:c r="E175" s="28" t="str">
        <x:v>Фрукты</x:v>
      </x:c>
      <x:c r="F175" s="28" t="str">
        <x:v>прямое или классовое перекрытие характерных одорантов + вкусовой баланс</x:v>
      </x:c>
      <x:c r="G17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Дыня ханидью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17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17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5" s="28" t="str">
        <x:v>сорбет, салат, джем, кордиал, лимонад, коктейль или фруктовый соус</x:v>
      </x:c>
      <x:c r="K175" s="28" t="str">
        <x:v>Средняя</x:v>
      </x:c>
      <x:c r="L175" s="28" t="str">
        <x:v>The Art &amp; Science of Foodpairing.pdf</x:v>
      </x:c>
      <x:c r="M175" s="28" t="str">
        <x:v>The Art &amp; Science of Foodpairing.pdf: 260–261</x:v>
      </x:c>
    </x:row>
    <x:row r="176" ht="64" customHeight="1">
      <x:c r="A176" s="28" t="str">
        <x:v>STN-0265</x:v>
      </x:c>
      <x:c r="B176" s="28" t="str">
        <x:v>нектарин</x:v>
      </x:c>
      <x:c r="C176" s="28" t="str">
        <x:v>нектарин</x:v>
      </x:c>
      <x:c r="D176" s="28" t="str">
        <x:v>ежевика</x:v>
      </x:c>
      <x:c r="E176" s="28" t="str">
        <x:v>Ягоды</x:v>
      </x:c>
      <x:c r="F176" s="28" t="str">
        <x:v>прямое или классовое перекрытие характерных одорантов + вкусовой баланс</x:v>
      </x:c>
      <x:c r="G17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Ежевика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7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7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6" s="28" t="str">
        <x:v>сорбет, салат, джем, кордиал, лимонад, коктейль или фруктовый соус</x:v>
      </x:c>
      <x:c r="K176" s="28" t="str">
        <x:v>Высокая</x:v>
      </x:c>
      <x:c r="L176" s="28" t="str">
        <x:v>The Art &amp; Science of Foodpairing.pdf | Таблица сочетания(1).pdf</x:v>
      </x:c>
      <x:c r="M176" s="28" t="str">
        <x:v>Таблица сочетания(1).pdf: Таблица сочетаний: 14 | Таблица сочетания(1).pdf: 14 | The Art &amp; Science of Foodpairing.pdf: 260–261</x:v>
      </x:c>
    </x:row>
    <x:row r="177" ht="64" customHeight="1">
      <x:c r="A177" s="28" t="str">
        <x:v>STN-0266</x:v>
      </x:c>
      <x:c r="B177" s="28" t="str">
        <x:v>нектарин</x:v>
      </x:c>
      <x:c r="C177" s="28" t="str">
        <x:v>нектарин</x:v>
      </x:c>
      <x:c r="D177" s="28" t="str">
        <x:v>жареное филе куриной грудки</x:v>
      </x:c>
      <x:c r="E177" s="28" t="str">
        <x:v>Прочее</x:v>
      </x:c>
      <x:c r="F177" s="28" t="str">
        <x:v>комплементарность ароматических семейств, вкусовой контраст и матричный эффект</x:v>
      </x:c>
      <x:c r="G17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Жареное филе куриной грудки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важны вода, жир, белок, сахар и температура.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7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7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7" s="28" t="str">
        <x:v>напиток, соус, десерт или горячее блюдо после пробной дегустации</x:v>
      </x:c>
      <x:c r="K177" s="28" t="str">
        <x:v>Средняя</x:v>
      </x:c>
      <x:c r="L177" s="28" t="str">
        <x:v>The Art &amp; Science of Foodpairing.pdf</x:v>
      </x:c>
      <x:c r="M177" s="28" t="str">
        <x:v>The Art &amp; Science of Foodpairing.pdf: 260–261</x:v>
      </x:c>
    </x:row>
    <x:row r="178" ht="64" customHeight="1">
      <x:c r="A178" s="28" t="str">
        <x:v>STN-0273</x:v>
      </x:c>
      <x:c r="B178" s="28" t="str">
        <x:v>нектарин</x:v>
      </x:c>
      <x:c r="C178" s="28" t="str">
        <x:v>нектарин</x:v>
      </x:c>
      <x:c r="D178" s="28" t="str">
        <x:v>изюм</x:v>
      </x:c>
      <x:c r="E178" s="28" t="str">
        <x:v>Фрукты</x:v>
      </x:c>
      <x:c r="F178" s="28" t="str">
        <x:v>прямое или классовое перекрытие характерных одорантов + вкусовой баланс</x:v>
      </x:c>
      <x:c r="G17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Изюм относится к группе «Фрукты» и даёт профиль «зелёный, фруктовый, цветочный»; типичные соединения или классы: лактоны, терпены, эфиры.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фруктовая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7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7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8" s="28" t="str">
        <x:v>сорбет, салат, джем, кордиал, лимонад, коктейль или фруктовый соус</x:v>
      </x:c>
      <x:c r="K178" s="28" t="str">
        <x:v>Средняя</x:v>
      </x:c>
      <x:c r="L178" s="28" t="str">
        <x:v>The Art &amp; Science of Foodpairing.pdf</x:v>
      </x:c>
      <x:c r="M178" s="28" t="str">
        <x:v>The Art &amp; Science of Foodpairing.pdf: 260–261</x:v>
      </x:c>
    </x:row>
    <x:row r="179" ht="64" customHeight="1">
      <x:c r="A179" s="28" t="str">
        <x:v>STN-0274</x:v>
      </x:c>
      <x:c r="B179" s="28" t="str">
        <x:v>нектарин</x:v>
      </x:c>
      <x:c r="C179" s="28" t="str">
        <x:v>нектарин</x:v>
      </x:c>
      <x:c r="D179" s="28" t="str">
        <x:v>инжир</x:v>
      </x:c>
      <x:c r="E179" s="28" t="str">
        <x:v>Субтропические фрукты</x:v>
      </x:c>
      <x:c r="F179" s="28" t="str">
        <x:v>прямое или классовое перекрытие характерных одорантов + вкусовой баланс</x:v>
      </x:c>
      <x:c r="G17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бензальдегид, линалоол. Общие ароматические направления: цветочный, лактонный,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сладость, низкая кислотность; семена дают хруст.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пектиновая и сахаристая; сушёный инжир концентрирует сахар, фенолы и карамельные ноты.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17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17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9" s="28" t="str">
        <x:v>напиток, соус, десерт или горячее блюдо после пробной дегустации</x:v>
      </x:c>
      <x:c r="K179" s="28" t="str">
        <x:v>Гипотеза / практическая</x:v>
      </x:c>
      <x:c r="L179" s="28" t="str">
        <x:v>Таблица сочетания(1).pdf</x:v>
      </x:c>
      <x:c r="M179" s="28" t="str">
        <x:v>Таблица сочетания(1).pdf: Таблица сочетаний: 14 | Таблица сочетания(1).pdf: 14</x:v>
      </x:c>
    </x:row>
    <x:row r="180" ht="64" customHeight="1">
      <x:c r="A180" s="28" t="str">
        <x:v>STN-0275</x:v>
      </x:c>
      <x:c r="B180" s="28" t="str">
        <x:v>нектарин</x:v>
      </x:c>
      <x:c r="C180" s="28" t="str">
        <x:v>нектарин</x:v>
      </x:c>
      <x:c r="D180" s="28" t="str">
        <x:v>канталупа</x:v>
      </x:c>
      <x:c r="E180" s="28" t="str">
        <x:v>Бахчевые</x:v>
      </x:c>
      <x:c r="F180" s="28" t="str">
        <x:v>прямое или классовое перекрытие характерных одорантов + вкусовой баланс</x:v>
      </x:c>
      <x:c r="G18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Канталупа относится к группе «Бахчевые» и даёт профиль «интенсивно сладкий, мускусный, цветочный и зелёный»; типичные соединения или классы: этил-2-метилбутират, этилбутират, C9-альдегиды, тиоэфиры. В рабочих профилях пересекаются: эфиры.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выраженная сладость и слабая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мягкая; аромат быстро улетучивается после нарезки.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H18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I18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0" s="28" t="str">
        <x:v>напиток, соус, десерт или горячее блюдо после пробной дегустации</x:v>
      </x:c>
      <x:c r="K180" s="28" t="str">
        <x:v>Средняя</x:v>
      </x:c>
      <x:c r="L180" s="28" t="str">
        <x:v>The Art &amp; Science of Foodpairing.pdf</x:v>
      </x:c>
      <x:c r="M180" s="28" t="str">
        <x:v>The Art &amp; Science of Foodpairing.pdf: 260–261</x:v>
      </x:c>
    </x:row>
    <x:row r="181" ht="64" customHeight="1">
      <x:c r="A181" s="28" t="str">
        <x:v>STN-0276</x:v>
      </x:c>
      <x:c r="B181" s="28" t="str">
        <x:v>нектарин</x:v>
      </x:c>
      <x:c r="C181" s="28" t="str">
        <x:v>нектарин</x:v>
      </x:c>
      <x:c r="D181" s="28" t="str">
        <x:v>карамель</x:v>
      </x:c>
      <x:c r="E181" s="28" t="str">
        <x:v>Сахара, мёд и кондитерские основы</x:v>
      </x:c>
      <x:c r="F181" s="28" t="str">
        <x:v>комплементарность ароматических семейств, вкусовой контраст и матричный эффект</x:v>
      </x:c>
      <x:c r="G18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вязкая сахарная; снижает летучесть и смягчает кислоту.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18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18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1" s="28" t="str">
        <x:v>напиток, соус, десерт или горячее блюдо после пробной дегустации</x:v>
      </x:c>
      <x:c r="K181" s="28" t="str">
        <x:v>Гипотеза / практическая</x:v>
      </x:c>
      <x:c r="L181" s="28" t="str">
        <x:v>Таблица сочетания(1).pdf</x:v>
      </x:c>
      <x:c r="M181" s="28" t="str">
        <x:v>Таблица сочетания(1).pdf: 14</x:v>
      </x:c>
    </x:row>
    <x:row r="182" ht="64" customHeight="1">
      <x:c r="A182" s="28" t="str">
        <x:v>STN-0277</x:v>
      </x:c>
      <x:c r="B182" s="28" t="str">
        <x:v>нектарин</x:v>
      </x:c>
      <x:c r="C182" s="28" t="str">
        <x:v>нектарин</x:v>
      </x:c>
      <x:c r="D182" s="28" t="str">
        <x:v>кардамон</x:v>
      </x:c>
      <x:c r="E182" s="28" t="str">
        <x:v>Специи и острые компоненты</x:v>
      </x:c>
      <x:c r="F182" s="28" t="str">
        <x:v>прямое или классовое перекрытие характерных одорантов + вкусовой баланс</x:v>
      </x:c>
      <x:c r="G18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Кардамон относится к группе «Специи и острые компоненты» и даёт профиль «цитрусовый, камфорный и цветочный»; типичные соединения или классы: 1,8-цинеол, α-терпинилацетат, линалоол. В рабочих профилях пересекаются: линалоол.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82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82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182" s="28" t="str">
        <x:v>напиток, соус, десерт или горячее блюдо после пробной дегустации</x:v>
      </x:c>
      <x:c r="K182" s="28" t="str">
        <x:v>Гипотеза / практическая</x:v>
      </x:c>
      <x:c r="L182" s="28" t="str">
        <x:v>Таблица сочетания(1).pdf</x:v>
      </x:c>
      <x:c r="M182" s="28" t="str">
        <x:v>Таблица сочетания(1).pdf: 14</x:v>
      </x:c>
    </x:row>
    <x:row r="183" ht="64" customHeight="1">
      <x:c r="A183" s="28" t="str">
        <x:v>STN-0281</x:v>
      </x:c>
      <x:c r="B183" s="28" t="str">
        <x:v>нектарин</x:v>
      </x:c>
      <x:c r="C183" s="28" t="str">
        <x:v>нектарин</x:v>
      </x:c>
      <x:c r="D183" s="28" t="str">
        <x:v>киви</x:v>
      </x:c>
      <x:c r="E183" s="28" t="str">
        <x:v>Тропические и субтропические фрукты</x:v>
      </x:c>
      <x:c r="F183" s="28" t="str">
        <x:v>прямое или классовое перекрытие характерных одорантов + вкусовой баланс</x:v>
      </x:c>
      <x:c r="G18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Киви относится к группе «Тропические и субтропические фрукты» и даёт профиль «зелёный, травянистый, цитрусовый, фруктовый и слегка морской»; типичные соединения или классы: гексаналь, (E)-2-гексеналь, этилбутират, метилбутират, линалоол; фермент актинидин. В рабочих профилях пересекаются: линалоол. Общие ароматические направления: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кислотность, сладость и выраженная свежесть.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водная; содержит протеазу актинидин и кристаллы оксалата кальция.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H18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I18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3" s="28" t="str">
        <x:v>напиток, соус, десерт или горячее блюдо после пробной дегустации</x:v>
      </x:c>
      <x:c r="K183" s="28" t="str">
        <x:v>Средняя</x:v>
      </x:c>
      <x:c r="L183" s="28" t="str">
        <x:v>The Art &amp; Science of Foodpairing.pdf</x:v>
      </x:c>
      <x:c r="M183" s="28" t="str">
        <x:v>The Art &amp; Science of Foodpairing.pdf: 260–261</x:v>
      </x:c>
    </x:row>
    <x:row r="184" ht="64" customHeight="1">
      <x:c r="A184" s="28" t="str">
        <x:v>STN-0283</x:v>
      </x:c>
      <x:c r="B184" s="28" t="str">
        <x:v>нектарин</x:v>
      </x:c>
      <x:c r="C184" s="28" t="str">
        <x:v>нектарин</x:v>
      </x:c>
      <x:c r="D184" s="28" t="str">
        <x:v>кленовый сироп</x:v>
      </x:c>
      <x:c r="E184" s="28" t="str">
        <x:v>Сахара, мёд и кондитерские основы</x:v>
      </x:c>
      <x:c r="F184" s="28" t="str">
        <x:v>комплементарность ароматических семейств, вкусовой контраст и матричный эффект</x:v>
      </x:c>
      <x:c r="G18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вязкая сахарная; снижает летучесть и смягчает кислоту.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18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18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4" s="28" t="str">
        <x:v>напиток, соус, десерт или горячее блюдо после пробной дегустации</x:v>
      </x:c>
      <x:c r="K184" s="28" t="str">
        <x:v>Гипотеза / практическая</x:v>
      </x:c>
      <x:c r="L184" s="28" t="str">
        <x:v>Таблица сочетания(1).pdf</x:v>
      </x:c>
      <x:c r="M184" s="28" t="str">
        <x:v>Таблица сочетания(1).pdf: 14</x:v>
      </x:c>
    </x:row>
    <x:row r="185" ht="64" customHeight="1">
      <x:c r="A185" s="28" t="str">
        <x:v>STN-0284</x:v>
      </x:c>
      <x:c r="B185" s="28" t="str">
        <x:v>нектарин</x:v>
      </x:c>
      <x:c r="C185" s="28" t="str">
        <x:v>нектарин</x:v>
      </x:c>
      <x:c r="D185" s="28" t="str">
        <x:v>клубника</x:v>
      </x:c>
      <x:c r="E185" s="28" t="str">
        <x:v>Ягоды</x:v>
      </x:c>
      <x:c r="F185" s="28" t="str">
        <x:v>прямое или классовое перекрытие характерных одорантов + вкусовой баланс</x:v>
      </x:c>
      <x:c r="G18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8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8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5" s="28" t="str">
        <x:v>сорбет, салат, джем, кордиал, лимонад, коктейль или фруктовый соус</x:v>
      </x:c>
      <x:c r="K185" s="28" t="str">
        <x:v>Высокая</x:v>
      </x:c>
      <x:c r="L185" s="28" t="str">
        <x:v>The Art &amp; Science of Foodpairing.pdf | Таблица сочетания(1).pdf</x:v>
      </x:c>
      <x:c r="M185" s="28" t="str">
        <x:v>The Art &amp; Science of Foodpairing.pdf: The Art &amp; Science of Foodpairing: 70; Таблица сочетаний: 20 | Таблица сочетания(1).pdf: 20 | The Art &amp; Science of Foodpairing.pdf: 70</x:v>
      </x:c>
    </x:row>
    <x:row r="186" ht="64" customHeight="1">
      <x:c r="A186" s="28" t="str">
        <x:v>STN-0285</x:v>
      </x:c>
      <x:c r="B186" s="28" t="str">
        <x:v>нектарин</x:v>
      </x:c>
      <x:c r="C186" s="28" t="str">
        <x:v>нектарин</x:v>
      </x:c>
      <x:c r="D186" s="28" t="str">
        <x:v>клюква</x:v>
      </x:c>
      <x:c r="E186" s="28" t="str">
        <x:v>Ягоды</x:v>
      </x:c>
      <x:c r="F186" s="28" t="str">
        <x:v>прямое или классовое перекрытие характерных одорантов + вкусовой баланс</x:v>
      </x:c>
      <x:c r="G18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Клюква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8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8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6" s="28" t="str">
        <x:v>сорбет, салат, джем, кордиал, лимонад, коктейль или фруктовый соус</x:v>
      </x:c>
      <x:c r="K186" s="28" t="str">
        <x:v>Гипотеза / практическая</x:v>
      </x:c>
      <x:c r="L186" s="28" t="str">
        <x:v>Таблица сочетания(1).pdf</x:v>
      </x:c>
      <x:c r="M186" s="28" t="str">
        <x:v>Таблица сочетания(1).pdf: Таблица сочетаний: 14 | Таблица сочетания(1).pdf: 14</x:v>
      </x:c>
    </x:row>
    <x:row r="187" ht="64" customHeight="1">
      <x:c r="A187" s="28" t="str">
        <x:v>STN-0286</x:v>
      </x:c>
      <x:c r="B187" s="28" t="str">
        <x:v>нектарин</x:v>
      </x:c>
      <x:c r="C187" s="28" t="str">
        <x:v>нектарин</x:v>
      </x:c>
      <x:c r="D187" s="28" t="str">
        <x:v>кокос</x:v>
      </x:c>
      <x:c r="E187" s="28" t="str">
        <x:v>Тропические фрукты и жирные матрицы</x:v>
      </x:c>
      <x:c r="F187" s="28" t="str">
        <x:v>прямое или классовое перекрытие характерных одорантов + вкусовой баланс</x:v>
      </x:c>
      <x:c r="G18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В рабочих профилях пересекаются: декалактон.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богатая жиром эмульсия; хорошо растворяет гидрофобные терпены, специи и ароматические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18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18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7" s="28" t="str">
        <x:v>напиток, соус, десерт или горячее блюдо после пробной дегустации</x:v>
      </x:c>
      <x:c r="K187" s="28" t="str">
        <x:v>Гипотеза / практическая</x:v>
      </x:c>
      <x:c r="L187" s="28" t="str">
        <x:v>Таблица сочетания(1).pdf</x:v>
      </x:c>
      <x:c r="M187" s="28" t="str">
        <x:v>Таблица сочетания(1).pdf: Таблица сочетаний: 14 | Таблица сочетания(1).pdf: 14</x:v>
      </x:c>
    </x:row>
    <x:row r="188" ht="64" customHeight="1">
      <x:c r="A188" s="28" t="str">
        <x:v>STN-0287</x:v>
      </x:c>
      <x:c r="B188" s="28" t="str">
        <x:v>нектарин</x:v>
      </x:c>
      <x:c r="C188" s="28" t="str">
        <x:v>нектарин</x:v>
      </x:c>
      <x:c r="D188" s="28" t="str">
        <x:v>корица</x:v>
      </x:c>
      <x:c r="E188" s="28" t="str">
        <x:v>Специи и острые компоненты</x:v>
      </x:c>
      <x:c r="F188" s="28" t="str">
        <x:v>комплементарность ароматических семейств, вкусовой контраст и матричный эффект</x:v>
      </x:c>
      <x:c r="G18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88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88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188" s="28" t="str">
        <x:v>напиток, соус, десерт или горячее блюдо после пробной дегустации</x:v>
      </x:c>
      <x:c r="K188" s="28" t="str">
        <x:v>Гипотеза / практическая</x:v>
      </x:c>
      <x:c r="L188" s="28" t="str">
        <x:v>Таблица сочетания(1).pdf</x:v>
      </x:c>
      <x:c r="M188" s="28" t="str">
        <x:v>Таблица сочетания(1).pdf: 14</x:v>
      </x:c>
    </x:row>
    <x:row r="189" ht="64" customHeight="1">
      <x:c r="A189" s="28" t="str">
        <x:v>STN-0289</x:v>
      </x:c>
      <x:c r="B189" s="28" t="str">
        <x:v>нектарин</x:v>
      </x:c>
      <x:c r="C189" s="28" t="str">
        <x:v>нектарин</x:v>
      </x:c>
      <x:c r="D189" s="28" t="str">
        <x:v>лемонграсс</x:v>
      </x:c>
      <x:c r="E189" s="28" t="str">
        <x:v>Травы и цветы</x:v>
      </x:c>
      <x:c r="F189" s="28" t="str">
        <x:v>прямое или классовое перекрытие характерных одорантов + вкусовой баланс</x:v>
      </x:c>
      <x:c r="G18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Лемонграсс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8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8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9" s="28" t="str">
        <x:v>напиток, соус, десерт или горячее блюдо после пробной дегустации</x:v>
      </x:c>
      <x:c r="K189" s="28" t="str">
        <x:v>Средняя</x:v>
      </x:c>
      <x:c r="L189" s="28" t="str">
        <x:v>The Art &amp; Science of Foodpairing.pdf</x:v>
      </x:c>
      <x:c r="M189" s="28" t="str">
        <x:v>The Art &amp; Science of Foodpairing.pdf: 146</x:v>
      </x:c>
    </x:row>
    <x:row r="190" ht="64" customHeight="1">
      <x:c r="A190" s="28" t="str">
        <x:v>STN-0290</x:v>
      </x:c>
      <x:c r="B190" s="28" t="str">
        <x:v>нектарин</x:v>
      </x:c>
      <x:c r="C190" s="28" t="str">
        <x:v>нектарин</x:v>
      </x:c>
      <x:c r="D190" s="28" t="str">
        <x:v>ликер ириска</x:v>
      </x:c>
      <x:c r="E190" s="28" t="str">
        <x:v>Алкогольные напитки</x:v>
      </x:c>
      <x:c r="F190" s="28" t="str">
        <x:v>прямое или классовое перекрытие характерных одорантов + вкусовой баланс</x:v>
      </x:c>
      <x:c r="G19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Ликер ириска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В рабочих профилях пересекаются: эфиры. Общие ароматические направления: фруктовый. Этанол усиливает летучесть лактонов и терпенов; сахар и кислотность должны быть настроены так, чтобы крепость не маскировала плод. Матрица пары: 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 Обработка: 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</x:v>
      </x:c>
      <x:c r="H190" s="28" t="str">
        <x:v>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</x:v>
      </x:c>
      <x:c r="I190" s="28" t="str">
        <x:v>не перегревать и не переслащивать; иначе исчезает свежая фруктовая детализация. Высокая крепость и избыток сахара маскируют свежесть; после мацерации контролируйте терпкость кожицы.</x:v>
      </x:c>
      <x:c r="J190" s="28" t="str">
        <x:v>коктейль, кордиал, настой, спритц, чайный или кофейный напиток</x:v>
      </x:c>
      <x:c r="K190" s="28" t="str">
        <x:v>Средняя</x:v>
      </x:c>
      <x:c r="L190" s="28" t="str">
        <x:v>The Art &amp; Science of Foodpairing.pdf</x:v>
      </x:c>
      <x:c r="M190" s="28" t="str">
        <x:v>The Art &amp; Science of Foodpairing.pdf: 260–261</x:v>
      </x:c>
    </x:row>
    <x:row r="191" ht="64" customHeight="1">
      <x:c r="A191" s="28" t="str">
        <x:v>STN-0291</x:v>
      </x:c>
      <x:c r="B191" s="28" t="str">
        <x:v>нектарин</x:v>
      </x:c>
      <x:c r="C191" s="28" t="str">
        <x:v>нектарин</x:v>
      </x:c>
      <x:c r="D191" s="28" t="str">
        <x:v>лимон</x:v>
      </x:c>
      <x:c r="E191" s="28" t="str">
        <x:v>Цитрусовые</x:v>
      </x:c>
      <x:c r="F191" s="28" t="str">
        <x:v>комплементарность ароматических семейств, вкусовой контраст и матричный эффект</x:v>
      </x:c>
      <x:c r="G19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19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19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1" s="28" t="str">
        <x:v>сорбет, салат, джем, кордиал, лимонад, коктейль или фруктовый соус</x:v>
      </x:c>
      <x:c r="K191" s="28" t="str">
        <x:v>Гипотеза / практическая</x:v>
      </x:c>
      <x:c r="L191" s="28" t="str">
        <x:v>Таблица сочетания(1).pdf</x:v>
      </x:c>
      <x:c r="M191" s="28" t="str">
        <x:v>Таблица сочетания(1).pdf: Таблица сочетания(1).pdf: 14 | Таблица сочетания(1).pdf: 14</x:v>
      </x:c>
    </x:row>
    <x:row r="192" ht="64" customHeight="1">
      <x:c r="A192" s="28" t="str">
        <x:v>STN-0292</x:v>
      </x:c>
      <x:c r="B192" s="28" t="str">
        <x:v>нектарин</x:v>
      </x:c>
      <x:c r="C192" s="28" t="str">
        <x:v>нектарин</x:v>
      </x:c>
      <x:c r="D192" s="28" t="str">
        <x:v>лист шисо</x:v>
      </x:c>
      <x:c r="E192" s="28" t="str">
        <x:v>Травы, листья и цветы</x:v>
      </x:c>
      <x:c r="F192" s="28" t="str">
        <x:v>прямое или классовое перекрытие характерных одорантов + вкусовой баланс</x:v>
      </x:c>
      <x:c r="G19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Лист шисо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192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19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2" s="28" t="str">
        <x:v>напиток, соус, десерт или горячее блюдо после пробной дегустации</x:v>
      </x:c>
      <x:c r="K192" s="28" t="str">
        <x:v>Средняя</x:v>
      </x:c>
      <x:c r="L192" s="28" t="str">
        <x:v>The Art &amp; Science of Foodpairing.pdf</x:v>
      </x:c>
      <x:c r="M192" s="28" t="str">
        <x:v>The Art &amp; Science of Foodpairing.pdf: 260–261</x:v>
      </x:c>
    </x:row>
    <x:row r="193" ht="64" customHeight="1">
      <x:c r="A193" s="28" t="str">
        <x:v>STN-0293</x:v>
      </x:c>
      <x:c r="B193" s="28" t="str">
        <x:v>нектарин</x:v>
      </x:c>
      <x:c r="C193" s="28" t="str">
        <x:v>нектарин</x:v>
      </x:c>
      <x:c r="D193" s="28" t="str">
        <x:v>листья кориандра</x:v>
      </x:c>
      <x:c r="E193" s="28" t="str">
        <x:v>Травы/пряности</x:v>
      </x:c>
      <x:c r="F193" s="28" t="str">
        <x:v>комплементарность ароматических семейств, вкусовой контраст и матричный эффект</x:v>
      </x:c>
      <x:c r="G19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Листья кориандра относится к группе «Травы/пряности» и даёт профиль «цитрусовый, зелёный, цветочный»; типичные соединения или классы: линалол, деканаль, додеканаль.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травяной, слегка горький.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листья чувствительны к нагреву; семена устойчивее и слаще.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H19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I19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3" s="28" t="str">
        <x:v>напиток, соус, десерт или горячее блюдо после пробной дегустации</x:v>
      </x:c>
      <x:c r="K193" s="28" t="str">
        <x:v>Средняя</x:v>
      </x:c>
      <x:c r="L193" s="28" t="str">
        <x:v>The Art &amp; Science of Foodpairing.pdf</x:v>
      </x:c>
      <x:c r="M193" s="28" t="str">
        <x:v>The Art &amp; Science of Foodpairing.pdf: 99 | The Art &amp; Science of Foodpairing.pdf: 260–261</x:v>
      </x:c>
    </x:row>
    <x:row r="194" ht="64" customHeight="1">
      <x:c r="A194" s="28" t="str">
        <x:v>STN-0294</x:v>
      </x:c>
      <x:c r="B194" s="28" t="str">
        <x:v>нектарин</x:v>
      </x:c>
      <x:c r="C194" s="28" t="str">
        <x:v>нектарин</x:v>
      </x:c>
      <x:c r="D194" s="28" t="str">
        <x:v>листья пажитника</x:v>
      </x:c>
      <x:c r="E194" s="28" t="str">
        <x:v>Травы и цветы</x:v>
      </x:c>
      <x:c r="F194" s="28" t="str">
        <x:v>прямое или классовое перекрытие характерных одорантов + вкусовой баланс</x:v>
      </x:c>
      <x:c r="G19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Листья пажитника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9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9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4" s="28" t="str">
        <x:v>напиток, соус, десерт или горячее блюдо после пробной дегустации</x:v>
      </x:c>
      <x:c r="K194" s="28" t="str">
        <x:v>Средняя</x:v>
      </x:c>
      <x:c r="L194" s="28" t="str">
        <x:v>The Art &amp; Science of Foodpairing.pdf</x:v>
      </x:c>
      <x:c r="M194" s="28" t="str">
        <x:v>The Art &amp; Science of Foodpairing.pdf: 260–261</x:v>
      </x:c>
    </x:row>
    <x:row r="195" ht="64" customHeight="1">
      <x:c r="A195" s="28" t="str">
        <x:v>STN-0295</x:v>
      </x:c>
      <x:c r="B195" s="28" t="str">
        <x:v>нектарин</x:v>
      </x:c>
      <x:c r="C195" s="28" t="str">
        <x:v>нектарин</x:v>
      </x:c>
      <x:c r="D195" s="28" t="str">
        <x:v>личи</x:v>
      </x:c>
      <x:c r="E195" s="28" t="str">
        <x:v>Тропические фрукты</x:v>
      </x:c>
      <x:c r="F195" s="28" t="str">
        <x:v>прямое или классовое перекрытие характерных одорантов + вкусовой баланс</x:v>
      </x:c>
      <x:c r="G19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Личи относится к группе «Тропические фрукты» и даёт профиль «розовый, цветочный, виноградный и цитрусовый»; типичные соединения или классы: цис- и транс-розовый оксид, линалоол, гераниол, цитронеллол. В рабочих профилях пересекаются: линалоол.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чистая сладость, мягкая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водная; цветочные терпены чувствительны к нагреву.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H19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I19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5" s="28" t="str">
        <x:v>напиток, соус, десерт или горячее блюдо после пробной дегустации</x:v>
      </x:c>
      <x:c r="K195" s="28" t="str">
        <x:v>Средняя</x:v>
      </x:c>
      <x:c r="L195" s="28" t="str">
        <x:v>The Art &amp; Science of Foodpairing.pdf</x:v>
      </x:c>
      <x:c r="M195" s="28" t="str">
        <x:v>The Art &amp; Science of Foodpairing.pdf: 260–261</x:v>
      </x:c>
    </x:row>
    <x:row r="196" ht="64" customHeight="1">
      <x:c r="A196" s="28" t="str">
        <x:v>STN-0296</x:v>
      </x:c>
      <x:c r="B196" s="28" t="str">
        <x:v>нектарин</x:v>
      </x:c>
      <x:c r="C196" s="28" t="str">
        <x:v>нектарин</x:v>
      </x:c>
      <x:c r="D196" s="28" t="str">
        <x:v>малина</x:v>
      </x:c>
      <x:c r="E196" s="28" t="str">
        <x:v>Ягоды</x:v>
      </x:c>
      <x:c r="F196" s="28" t="str">
        <x:v>прямое или классовое перекрытие характерных одорантов + вкусовой баланс</x:v>
      </x:c>
      <x:c r="G19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9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9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6" s="28" t="str">
        <x:v>сорбет, салат, джем, кордиал, лимонад, коктейль или фруктовый соус</x:v>
      </x:c>
      <x:c r="K196" s="28" t="str">
        <x:v>Высокая</x:v>
      </x:c>
      <x:c r="L196" s="28" t="str">
        <x:v>The Art &amp; Science of Foodpairing.pdf | Таблица сочетания(1).pdf</x:v>
      </x:c>
      <x:c r="M196" s="28" t="str">
        <x:v>Таблица сочетания(1).pdf: Таблица сочетаний: 19 | Таблица сочетания(1).pdf: 19 | The Art &amp; Science of Foodpairing.pdf: 260–261</x:v>
      </x:c>
    </x:row>
    <x:row r="197" ht="64" customHeight="1">
      <x:c r="A197" s="28" t="str">
        <x:v>STN-0297</x:v>
      </x:c>
      <x:c r="B197" s="28" t="str">
        <x:v>нектарин</x:v>
      </x:c>
      <x:c r="C197" s="28" t="str">
        <x:v>нектарин</x:v>
      </x:c>
      <x:c r="D197" s="28" t="str">
        <x:v>мандарин</x:v>
      </x:c>
      <x:c r="E197" s="28" t="str">
        <x:v>Цитрусовые</x:v>
      </x:c>
      <x:c r="F197" s="28" t="str">
        <x:v>прямое или классовое перекрытие характерных одорантов + вкусовой баланс</x:v>
      </x:c>
      <x:c r="G19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Мандарин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19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19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7" s="28" t="str">
        <x:v>сорбет, салат, джем, кордиал, лимонад, коктейль или фруктовый соус</x:v>
      </x:c>
      <x:c r="K197" s="28" t="str">
        <x:v>Средняя</x:v>
      </x:c>
      <x:c r="L197" s="28" t="str">
        <x:v>The Art &amp; Science of Foodpairing.pdf</x:v>
      </x:c>
      <x:c r="M197" s="28" t="str">
        <x:v>The Art &amp; Science of Foodpairing.pdf: 260–261</x:v>
      </x:c>
    </x:row>
    <x:row r="198" ht="64" customHeight="1">
      <x:c r="A198" s="28" t="str">
        <x:v>STN-0298</x:v>
      </x:c>
      <x:c r="B198" s="28" t="str">
        <x:v>нектарин</x:v>
      </x:c>
      <x:c r="C198" s="28" t="str">
        <x:v>нектарин</x:v>
      </x:c>
      <x:c r="D198" s="28" t="str">
        <x:v>мед</x:v>
      </x:c>
      <x:c r="E198" s="28" t="str">
        <x:v>Сахара, мёд и кондитерские основы</x:v>
      </x:c>
      <x:c r="F198" s="28" t="str">
        <x:v>комплементарность ароматических семейств, вкусовой контраст и матричный эффект</x:v>
      </x:c>
      <x:c r="G19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вязкая сахарная; снижает летучесть и смягчает кислоту.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19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19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8" s="28" t="str">
        <x:v>напиток, соус, десерт или горячее блюдо после пробной дегустации</x:v>
      </x:c>
      <x:c r="K198" s="28" t="str">
        <x:v>Гипотеза / практическая</x:v>
      </x:c>
      <x:c r="L198" s="28" t="str">
        <x:v>Таблица сочетания(1).pdf</x:v>
      </x:c>
      <x:c r="M198" s="28" t="str">
        <x:v>Таблица сочетания(1).pdf: 14</x:v>
      </x:c>
    </x:row>
    <x:row r="199" ht="64" customHeight="1">
      <x:c r="A199" s="28" t="str">
        <x:v>STN-0300</x:v>
      </x:c>
      <x:c r="B199" s="28" t="str">
        <x:v>нектарин</x:v>
      </x:c>
      <x:c r="C199" s="28" t="str">
        <x:v>нектарин</x:v>
      </x:c>
      <x:c r="D199" s="28" t="str">
        <x:v>момбин желтый</x:v>
      </x:c>
      <x:c r="E199" s="28" t="str">
        <x:v>Фрукты</x:v>
      </x:c>
      <x:c r="F199" s="28" t="str">
        <x:v>прямое или классовое перекрытие характерных одорантов + вкусовой баланс</x:v>
      </x:c>
      <x:c r="G19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Момбин желтый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19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19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9" s="28" t="str">
        <x:v>сорбет, салат, джем, кордиал, лимонад, коктейль или фруктовый соус</x:v>
      </x:c>
      <x:c r="K199" s="28" t="str">
        <x:v>Средняя</x:v>
      </x:c>
      <x:c r="L199" s="28" t="str">
        <x:v>The Art &amp; Science of Foodpairing.pdf</x:v>
      </x:c>
      <x:c r="M199" s="28" t="str">
        <x:v>The Art &amp; Science of Foodpairing.pdf: 260–261</x:v>
      </x:c>
    </x:row>
    <x:row r="200" ht="64" customHeight="1">
      <x:c r="A200" s="28" t="str">
        <x:v>STN-0303</x:v>
      </x:c>
      <x:c r="B200" s="28" t="str">
        <x:v>нектарин</x:v>
      </x:c>
      <x:c r="C200" s="28" t="str">
        <x:v>нектарин</x:v>
      </x:c>
      <x:c r="D200" s="28" t="str">
        <x:v>мушмула японская</x:v>
      </x:c>
      <x:c r="E200" s="28" t="str">
        <x:v>Фрукты</x:v>
      </x:c>
      <x:c r="F200" s="28" t="str">
        <x:v>прямое или классовое перекрытие характерных одорантов + вкусовой баланс</x:v>
      </x:c>
      <x:c r="G20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Мушмула японская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0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0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0" s="28" t="str">
        <x:v>сорбет, салат, джем, кордиал, лимонад, коктейль или фруктовый соус</x:v>
      </x:c>
      <x:c r="K200" s="28" t="str">
        <x:v>Средняя</x:v>
      </x:c>
      <x:c r="L200" s="28" t="str">
        <x:v>The Art &amp; Science of Foodpairing.pdf</x:v>
      </x:c>
      <x:c r="M200" s="28" t="str">
        <x:v>The Art &amp; Science of Foodpairing.pdf: 260–261</x:v>
      </x:c>
    </x:row>
    <x:row r="201" ht="64" customHeight="1">
      <x:c r="A201" s="28" t="str">
        <x:v>STN-0304</x:v>
      </x:c>
      <x:c r="B201" s="28" t="str">
        <x:v>нектарин</x:v>
      </x:c>
      <x:c r="C201" s="28" t="str">
        <x:v>нектарин</x:v>
      </x:c>
      <x:c r="D201" s="28" t="str">
        <x:v>мята</x:v>
      </x:c>
      <x:c r="E201" s="28" t="str">
        <x:v>Травы и цветы</x:v>
      </x:c>
      <x:c r="F201" s="28" t="str">
        <x:v>комплементарность ароматических семейств, вкусовой контраст и матричный эффект</x:v>
      </x:c>
      <x:c r="G20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0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0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1" s="28" t="str">
        <x:v>напиток, соус, десерт или горячее блюдо после пробной дегустации</x:v>
      </x:c>
      <x:c r="K201" s="28" t="str">
        <x:v>Гипотеза / практическая</x:v>
      </x:c>
      <x:c r="L201" s="28" t="str">
        <x:v>Таблица сочетания(1).pdf</x:v>
      </x:c>
      <x:c r="M201" s="28" t="str">
        <x:v>Таблица сочетания(1).pdf: 14</x:v>
      </x:c>
    </x:row>
    <x:row r="202" ht="64" customHeight="1">
      <x:c r="A202" s="28" t="str">
        <x:v>STN-0306</x:v>
      </x:c>
      <x:c r="B202" s="28" t="str">
        <x:v>нектарин</x:v>
      </x:c>
      <x:c r="C202" s="28" t="str">
        <x:v>нектарин</x:v>
      </x:c>
      <x:c r="D202" s="28" t="str">
        <x:v>обжаренный bacon</x:v>
      </x:c>
      <x:c r="E202" s="28" t="str">
        <x:v>Прочее</x:v>
      </x:c>
      <x:c r="F202" s="28" t="str">
        <x:v>комплементарность ароматических семейств, вкусовой контраст и матричный эффект</x:v>
      </x:c>
      <x:c r="G20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Обжаренный bacon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0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0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2" s="28" t="str">
        <x:v>напиток, соус, десерт или горячее блюдо после пробной дегустации</x:v>
      </x:c>
      <x:c r="K202" s="28" t="str">
        <x:v>Средняя</x:v>
      </x:c>
      <x:c r="L202" s="28" t="str">
        <x:v>The Art &amp; Science of Foodpairing.pdf</x:v>
      </x:c>
      <x:c r="M202" s="28" t="str">
        <x:v>The Art &amp; Science of Foodpairing.pdf: 260–261</x:v>
      </x:c>
    </x:row>
    <x:row r="203" ht="64" customHeight="1">
      <x:c r="A203" s="28" t="str">
        <x:v>STN-0307</x:v>
      </x:c>
      <x:c r="B203" s="28" t="str">
        <x:v>нектарин</x:v>
      </x:c>
      <x:c r="C203" s="28" t="str">
        <x:v>нектарин</x:v>
      </x:c>
      <x:c r="D203" s="28" t="str">
        <x:v>обжаренный duck breast</x:v>
      </x:c>
      <x:c r="E203" s="28" t="str">
        <x:v>Прочее</x:v>
      </x:c>
      <x:c r="F203" s="28" t="str">
        <x:v>комплементарность ароматических семейств, вкусовой контраст и матричный эффект</x:v>
      </x:c>
      <x:c r="G20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Обжаренный duck breast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0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0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3" s="28" t="str">
        <x:v>напиток, соус, десерт или горячее блюдо после пробной дегустации</x:v>
      </x:c>
      <x:c r="K203" s="28" t="str">
        <x:v>Средняя</x:v>
      </x:c>
      <x:c r="L203" s="28" t="str">
        <x:v>The Art &amp; Science of Foodpairing.pdf</x:v>
      </x:c>
      <x:c r="M203" s="28" t="str">
        <x:v>The Art &amp; Science of Foodpairing.pdf: 260–261</x:v>
      </x:c>
    </x:row>
    <x:row r="204" ht="64" customHeight="1">
      <x:c r="A204" s="28" t="str">
        <x:v>STN-0309</x:v>
      </x:c>
      <x:c r="B204" s="28" t="str">
        <x:v>нектарин</x:v>
      </x:c>
      <x:c r="C204" s="28" t="str">
        <x:v>нектарин</x:v>
      </x:c>
      <x:c r="D204" s="28" t="str">
        <x:v>оливковое масло</x:v>
      </x:c>
      <x:c r="E204" s="28" t="str">
        <x:v>Молочные продукты и сыры</x:v>
      </x:c>
      <x:c r="F204" s="28" t="str">
        <x:v>комплементарность ароматических семейств, вкусовой контраст и матричный эффект</x:v>
      </x:c>
      <x:c r="G20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жирный, кислый/солёный.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жировая и белковая матрица смягчает кислотность.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0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0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4" s="28" t="str">
        <x:v>напиток, соус, десерт или горячее блюдо после пробной дегустации</x:v>
      </x:c>
      <x:c r="K204" s="28" t="str">
        <x:v>Средняя</x:v>
      </x:c>
      <x:c r="L204" s="28" t="str">
        <x:v>The Art &amp; Science of Foodpairing.pdf</x:v>
      </x:c>
      <x:c r="M204" s="28" t="str">
        <x:v>The Art &amp; Science of Foodpairing.pdf: 172</x:v>
      </x:c>
    </x:row>
    <x:row r="205" ht="64" customHeight="1">
      <x:c r="A205" s="28" t="str">
        <x:v>STN-0310</x:v>
      </x:c>
      <x:c r="B205" s="28" t="str">
        <x:v>нектарин</x:v>
      </x:c>
      <x:c r="C205" s="28" t="str">
        <x:v>нектарин</x:v>
      </x:c>
      <x:c r="D205" s="28" t="str">
        <x:v>оливковое масло арбекина</x:v>
      </x:c>
      <x:c r="E205" s="28" t="str">
        <x:v>Прочее</x:v>
      </x:c>
      <x:c r="F205" s="28" t="str">
        <x:v>комплементарность ароматических семейств, вкусовой контраст и матричный эффект</x:v>
      </x:c>
      <x:c r="G20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Оливковое масло арбекина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баланс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матрица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0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0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5" s="28" t="str">
        <x:v>напиток, соус, десерт или горячее блюдо после пробной дегустации</x:v>
      </x:c>
      <x:c r="K205" s="28" t="str">
        <x:v>Средняя</x:v>
      </x:c>
      <x:c r="L205" s="28" t="str">
        <x:v>The Art &amp; Science of Foodpairing.pdf</x:v>
      </x:c>
      <x:c r="M205" s="28" t="str">
        <x:v>The Art &amp; Science of Foodpairing.pdf: 260–261</x:v>
      </x:c>
    </x:row>
    <x:row r="206" ht="64" customHeight="1">
      <x:c r="A206" s="28" t="str">
        <x:v>STN-0316</x:v>
      </x:c>
      <x:c r="B206" s="28" t="str">
        <x:v>нектарин</x:v>
      </x:c>
      <x:c r="C206" s="28" t="str">
        <x:v>нектарин</x:v>
      </x:c>
      <x:c r="D206" s="28" t="str">
        <x:v>отварной broccoli</x:v>
      </x:c>
      <x:c r="E206" s="28" t="str">
        <x:v>Прочее</x:v>
      </x:c>
      <x:c r="F206" s="28" t="str">
        <x:v>комплементарность ароматических семейств, вкусовой контраст и матричный эффект</x:v>
      </x:c>
      <x:c r="G20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Отварной broccoli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0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0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6" s="28" t="str">
        <x:v>напиток, соус, десерт или горячее блюдо после пробной дегустации</x:v>
      </x:c>
      <x:c r="K206" s="28" t="str">
        <x:v>Средняя</x:v>
      </x:c>
      <x:c r="L206" s="28" t="str">
        <x:v>The Art &amp; Science of Foodpairing.pdf</x:v>
      </x:c>
      <x:c r="M206" s="28" t="str">
        <x:v>The Art &amp; Science of Foodpairing.pdf: 260–261</x:v>
      </x:c>
    </x:row>
    <x:row r="207" ht="64" customHeight="1">
      <x:c r="A207" s="28" t="str">
        <x:v>STN-0321</x:v>
      </x:c>
      <x:c r="B207" s="28" t="str">
        <x:v>нектарин</x:v>
      </x:c>
      <x:c r="C207" s="28" t="str">
        <x:v>нектарин</x:v>
      </x:c>
      <x:c r="D207" s="28" t="str">
        <x:v>пастернак</x:v>
      </x:c>
      <x:c r="E207" s="28" t="str">
        <x:v>Прочее</x:v>
      </x:c>
      <x:c r="F207" s="28" t="str">
        <x:v>комплементарность ароматических семейств, вкусовой контраст и матричный эффект</x:v>
      </x:c>
      <x:c r="G20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Пастернак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важны вода, жир, белок, сахар и температура.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20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20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7" s="28" t="str">
        <x:v>напиток, соус, десерт или горячее блюдо после пробной дегустации</x:v>
      </x:c>
      <x:c r="K207" s="28" t="str">
        <x:v>Средняя</x:v>
      </x:c>
      <x:c r="L207" s="28" t="str">
        <x:v>The Art &amp; Science of Foodpairing.pdf</x:v>
      </x:c>
      <x:c r="M207" s="28" t="str">
        <x:v>The Art &amp; Science of Foodpairing.pdf: 260–261</x:v>
      </x:c>
    </x:row>
    <x:row r="208" ht="64" customHeight="1">
      <x:c r="A208" s="28" t="str">
        <x:v>STN-0323</x:v>
      </x:c>
      <x:c r="B208" s="28" t="str">
        <x:v>нектарин</x:v>
      </x:c>
      <x:c r="C208" s="28" t="str">
        <x:v>нектарин</x:v>
      </x:c>
      <x:c r="D208" s="28" t="str">
        <x:v>перец рокото</x:v>
      </x:c>
      <x:c r="E208" s="28" t="str">
        <x:v>Специи и острые компоненты</x:v>
      </x:c>
      <x:c r="F208" s="28" t="str">
        <x:v>комплементарность ароматических семейств, вкусовой контраст и матричный эффект</x:v>
      </x:c>
      <x:c r="G20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Перец рокото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208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208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08" s="28" t="str">
        <x:v>напиток, соус, десерт или горячее блюдо после пробной дегустации</x:v>
      </x:c>
      <x:c r="K208" s="28" t="str">
        <x:v>Средняя</x:v>
      </x:c>
      <x:c r="L208" s="28" t="str">
        <x:v>The Art &amp; Science of Foodpairing.pdf</x:v>
      </x:c>
      <x:c r="M208" s="28" t="str">
        <x:v>The Art &amp; Science of Foodpairing.pdf: 260–261</x:v>
      </x:c>
    </x:row>
    <x:row r="209" ht="64" customHeight="1">
      <x:c r="A209" s="28" t="str">
        <x:v>STN-0324</x:v>
      </x:c>
      <x:c r="B209" s="28" t="str">
        <x:v>нектарин</x:v>
      </x:c>
      <x:c r="C209" s="28" t="str">
        <x:v>нектарин</x:v>
      </x:c>
      <x:c r="D209" s="28" t="str">
        <x:v>перец урфа</x:v>
      </x:c>
      <x:c r="E209" s="28" t="str">
        <x:v>Специи и острые компоненты</x:v>
      </x:c>
      <x:c r="F209" s="28" t="str">
        <x:v>комплементарность ароматических семейств, вкусовой контраст и матричный эффект</x:v>
      </x:c>
      <x:c r="G20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Перец урфа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09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09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09" s="28" t="str">
        <x:v>напиток, соус, десерт или горячее блюдо после пробной дегустации</x:v>
      </x:c>
      <x:c r="K209" s="28" t="str">
        <x:v>Средняя</x:v>
      </x:c>
      <x:c r="L209" s="28" t="str">
        <x:v>The Art &amp; Science of Foodpairing.pdf</x:v>
      </x:c>
      <x:c r="M209" s="28" t="str">
        <x:v>The Art &amp; Science of Foodpairing.pdf: 260–261</x:v>
      </x:c>
    </x:row>
    <x:row r="210" ht="64" customHeight="1">
      <x:c r="A210" s="28" t="str">
        <x:v>STN-0325</x:v>
      </x:c>
      <x:c r="B210" s="28" t="str">
        <x:v>нектарин</x:v>
      </x:c>
      <x:c r="C210" s="28" t="str">
        <x:v>нектарин</x:v>
      </x:c>
      <x:c r="D210" s="28" t="str">
        <x:v>приготовленный black salsify</x:v>
      </x:c>
      <x:c r="E210" s="28" t="str">
        <x:v>Прочее</x:v>
      </x:c>
      <x:c r="F210" s="28" t="str">
        <x:v>комплементарность ароматических семейств, вкусовой контраст и матричный эффект</x:v>
      </x:c>
      <x:c r="G21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Приготовленный black salsify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1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1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0" s="28" t="str">
        <x:v>напиток, соус, десерт или горячее блюдо после пробной дегустации</x:v>
      </x:c>
      <x:c r="K210" s="28" t="str">
        <x:v>Средняя</x:v>
      </x:c>
      <x:c r="L210" s="28" t="str">
        <x:v>The Art &amp; Science of Foodpairing.pdf</x:v>
      </x:c>
      <x:c r="M210" s="28" t="str">
        <x:v>The Art &amp; Science of Foodpairing.pdf: 260–261</x:v>
      </x:c>
    </x:row>
    <x:row r="211" ht="64" customHeight="1">
      <x:c r="A211" s="28" t="str">
        <x:v>STN-0329</x:v>
      </x:c>
      <x:c r="B211" s="28" t="str">
        <x:v>нектарин</x:v>
      </x:c>
      <x:c r="C211" s="28" t="str">
        <x:v>нектарин</x:v>
      </x:c>
      <x:c r="D211" s="28" t="str">
        <x:v>розмарин</x:v>
      </x:c>
      <x:c r="E211" s="28" t="str">
        <x:v>Травы и цветы</x:v>
      </x:c>
      <x:c r="F211" s="28" t="str">
        <x:v>комплементарность ароматических семейств, вкусовой контраст и матричный эффект</x:v>
      </x:c>
      <x:c r="G21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Розмарин относится к группе «Травы и цветы» и даёт профиль «хвойный, камфорный и древесный»; типичные соединения или классы: 1,8-цинеол, камфора, α-пинен.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1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1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1" s="28" t="str">
        <x:v>напиток, соус, десерт или горячее блюдо после пробной дегустации</x:v>
      </x:c>
      <x:c r="K211" s="28" t="str">
        <x:v>Гипотеза / практическая</x:v>
      </x:c>
      <x:c r="L211" s="28" t="str">
        <x:v>Таблица сочетания(1).pdf</x:v>
      </x:c>
      <x:c r="M211" s="28" t="str">
        <x:v>Таблица сочетания(1).pdf: 14</x:v>
      </x:c>
    </x:row>
    <x:row r="212" ht="64" customHeight="1">
      <x:c r="A212" s="28" t="str">
        <x:v>STN-0331</x:v>
      </x:c>
      <x:c r="B212" s="28" t="str">
        <x:v>нектарин</x:v>
      </x:c>
      <x:c r="C212" s="28" t="str">
        <x:v>нектарин</x:v>
      </x:c>
      <x:c r="D212" s="28" t="str">
        <x:v>свиная корейка</x:v>
      </x:c>
      <x:c r="E212" s="28" t="str">
        <x:v>Прочее</x:v>
      </x:c>
      <x:c r="F212" s="28" t="str">
        <x:v>комплементарность ароматических семейств, вкусовой контраст и матричный эффект</x:v>
      </x:c>
      <x:c r="G21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баланс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матрица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1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1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2" s="28" t="str">
        <x:v>напиток, соус, десерт или горячее блюдо после пробной дегустации</x:v>
      </x:c>
      <x:c r="K212" s="28" t="str">
        <x:v>Средняя</x:v>
      </x:c>
      <x:c r="L212" s="28" t="str">
        <x:v>The Art &amp; Science of Foodpairing.pdf</x:v>
      </x:c>
      <x:c r="M212" s="28" t="str">
        <x:v>The Art &amp; Science of Foodpairing.pdf: 187 | The Art &amp; Science of Foodpairing.pdf: 189</x:v>
      </x:c>
    </x:row>
    <x:row r="213" ht="64" customHeight="1">
      <x:c r="A213" s="28" t="str">
        <x:v>STN-0332</x:v>
      </x:c>
      <x:c r="B213" s="28" t="str">
        <x:v>нектарин</x:v>
      </x:c>
      <x:c r="C213" s="28" t="str">
        <x:v>нектарин</x:v>
      </x:c>
      <x:c r="D213" s="28" t="str">
        <x:v>сельдерей</x:v>
      </x:c>
      <x:c r="E213" s="28" t="str">
        <x:v>Овощи и бобовые</x:v>
      </x:c>
      <x:c r="F213" s="28" t="str">
        <x:v>прямое или классовое перекрытие характерных одорантов + вкусовой баланс</x:v>
      </x:c>
      <x:c r="G21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Сельдерей относится к группе «Овощи и бобовые» и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варьирует от сладости до горечи, умами и крахмалистости.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водная, волокнистая или крахмальная.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H21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I21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3" s="28" t="str">
        <x:v>напиток, соус, десерт или горячее блюдо после пробной дегустации</x:v>
      </x:c>
      <x:c r="K213" s="28" t="str">
        <x:v>Средняя</x:v>
      </x:c>
      <x:c r="L213" s="28" t="str">
        <x:v>The Art &amp; Science of Foodpairing.pdf</x:v>
      </x:c>
      <x:c r="M213" s="28" t="str">
        <x:v>The Art &amp; Science of Foodpairing.pdf: 260–261</x:v>
      </x:c>
    </x:row>
    <x:row r="214" ht="64" customHeight="1">
      <x:c r="A214" s="28" t="str">
        <x:v>STN-0333</x:v>
      </x:c>
      <x:c r="B214" s="28" t="str">
        <x:v>нектарин</x:v>
      </x:c>
      <x:c r="C214" s="28" t="str">
        <x:v>нектарин</x:v>
      </x:c>
      <x:c r="D214" s="28" t="str">
        <x:v>семена кардамона</x:v>
      </x:c>
      <x:c r="E214" s="28" t="str">
        <x:v>Специи</x:v>
      </x:c>
      <x:c r="F214" s="28" t="str">
        <x:v>комплементарность ароматических семейств, вкусовой контраст и матричный эффект</x:v>
      </x:c>
      <x:c r="G21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Семена кардамона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пряный, иногда горький.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хорошо извлекаются спиртом и жиром.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1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1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4" s="28" t="str">
        <x:v>напиток, соус, десерт или горячее блюдо после пробной дегустации</x:v>
      </x:c>
      <x:c r="K214" s="28" t="str">
        <x:v>Средняя</x:v>
      </x:c>
      <x:c r="L214" s="28" t="str">
        <x:v>The Art &amp; Science of Foodpairing.pdf</x:v>
      </x:c>
      <x:c r="M214" s="28" t="str">
        <x:v>The Art &amp; Science of Foodpairing.pdf: 257</x:v>
      </x:c>
    </x:row>
    <x:row r="215" ht="64" customHeight="1">
      <x:c r="A215" s="28" t="str">
        <x:v>STN-0334</x:v>
      </x:c>
      <x:c r="B215" s="28" t="str">
        <x:v>нектарин</x:v>
      </x:c>
      <x:c r="C215" s="28" t="str">
        <x:v>нектарин</x:v>
      </x:c>
      <x:c r="D215" s="28" t="str">
        <x:v>скрэмбл</x:v>
      </x:c>
      <x:c r="E215" s="28" t="str">
        <x:v>Прочее</x:v>
      </x:c>
      <x:c r="F215" s="28" t="str">
        <x:v>комплементарность ароматических семейств, вкусовой контраст и матричный эффект</x:v>
      </x:c>
      <x:c r="G21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Скрэмбл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21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21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5" s="28" t="str">
        <x:v>напиток, соус, десерт или горячее блюдо после пробной дегустации</x:v>
      </x:c>
      <x:c r="K215" s="28" t="str">
        <x:v>Средняя</x:v>
      </x:c>
      <x:c r="L215" s="28" t="str">
        <x:v>The Art &amp; Science of Foodpairing.pdf</x:v>
      </x:c>
      <x:c r="M215" s="28" t="str">
        <x:v>The Art &amp; Science of Foodpairing.pdf: 260–261</x:v>
      </x:c>
    </x:row>
    <x:row r="216" ht="64" customHeight="1">
      <x:c r="A216" s="28" t="str">
        <x:v>STN-0335</x:v>
      </x:c>
      <x:c r="B216" s="28" t="str">
        <x:v>нектарин</x:v>
      </x:c>
      <x:c r="C216" s="28" t="str">
        <x:v>нектарин</x:v>
      </x:c>
      <x:c r="D216" s="28" t="str">
        <x:v>слива</x:v>
      </x:c>
      <x:c r="E216" s="28" t="str">
        <x:v>Косточковые фрукты</x:v>
      </x:c>
      <x:c r="F216" s="28" t="str">
        <x:v>прямое или классовое перекрытие характерных одорантов + вкусовой баланс</x:v>
      </x:c>
      <x:c r="G21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Слива относится к группе «Косточковые фрукты» и даёт профиль «винно-фруктовый, цветочный, зелёный, пряный, миндальный; от свежего до тёмно-джемового»; типичные соединения или классы: фруктовые эфиры, γ- и δ-лактоны, бензальдегид, линалоол, C6-альдегиды, дамасконы. В рабочих профилях пересекаются: бензальдегид, линалоол, c6-альдегиды, фруктовые эфиры. Общие ароматические направления: цветочный,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 и заметная яблочно-лимонная кислотность; кожица часто терпкая.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сочная пектиновая мякоть; кожица богата полифенолами; аромат хорошо работает в воде, сахаре 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H21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I21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6" s="28" t="str">
        <x:v>напиток, соус, десерт или горячее блюдо после пробной дегустации</x:v>
      </x:c>
      <x:c r="K216" s="28" t="str">
        <x:v>Гипотеза / практическая</x:v>
      </x:c>
      <x:c r="L216" s="28" t="str">
        <x:v>Таблица сочетания(1).pdf</x:v>
      </x:c>
      <x:c r="M216" s="28" t="str">
        <x:v>Таблица сочетания(1).pdf: 14 | Таблица сочетания(1).pdf: 17</x:v>
      </x:c>
    </x:row>
    <x:row r="217" ht="64" customHeight="1">
      <x:c r="A217" s="28" t="str">
        <x:v>STN-0336</x:v>
      </x:c>
      <x:c r="B217" s="28" t="str">
        <x:v>нектарин</x:v>
      </x:c>
      <x:c r="C217" s="28" t="str">
        <x:v>нектарин</x:v>
      </x:c>
      <x:c r="D217" s="28" t="str">
        <x:v>сок яблока кешью</x:v>
      </x:c>
      <x:c r="E217" s="28" t="str">
        <x:v>Фрукты</x:v>
      </x:c>
      <x:c r="F217" s="28" t="str">
        <x:v>прямое или классовое перекрытие характерных одорантов + вкусовой баланс</x:v>
      </x:c>
      <x:c r="G21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Сок яблока кешью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1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1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7" s="28" t="str">
        <x:v>сорбет, салат, джем, кордиал, лимонад, коктейль или фруктовый соус</x:v>
      </x:c>
      <x:c r="K217" s="28" t="str">
        <x:v>Средняя</x:v>
      </x:c>
      <x:c r="L217" s="28" t="str">
        <x:v>The Art &amp; Science of Foodpairing.pdf</x:v>
      </x:c>
      <x:c r="M217" s="28" t="str">
        <x:v>The Art &amp; Science of Foodpairing.pdf: 260–261</x:v>
      </x:c>
    </x:row>
    <x:row r="218" ht="64" customHeight="1">
      <x:c r="A218" s="28" t="str">
        <x:v>STN-0337</x:v>
      </x:c>
      <x:c r="B218" s="28" t="str">
        <x:v>нектарин</x:v>
      </x:c>
      <x:c r="C218" s="28" t="str">
        <x:v>нектарин</x:v>
      </x:c>
      <x:c r="D218" s="28" t="str">
        <x:v>сушеная вешенка</x:v>
      </x:c>
      <x:c r="E218" s="28" t="str">
        <x:v>Прочее</x:v>
      </x:c>
      <x:c r="F218" s="28" t="str">
        <x:v>комплементарность ароматических семейств, вкусовой контраст и матричный эффект</x:v>
      </x:c>
      <x:c r="G21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Сушеная вешенка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21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21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8" s="28" t="str">
        <x:v>напиток, соус, десерт или горячее блюдо после пробной дегустации</x:v>
      </x:c>
      <x:c r="K218" s="28" t="str">
        <x:v>Средняя</x:v>
      </x:c>
      <x:c r="L218" s="28" t="str">
        <x:v>The Art &amp; Science of Foodpairing.pdf</x:v>
      </x:c>
      <x:c r="M218" s="28" t="str">
        <x:v>The Art &amp; Science of Foodpairing.pdf: 260–261</x:v>
      </x:c>
    </x:row>
    <x:row r="219" ht="64" customHeight="1">
      <x:c r="A219" s="28" t="str">
        <x:v>STN-0338</x:v>
      </x:c>
      <x:c r="B219" s="28" t="str">
        <x:v>нектарин</x:v>
      </x:c>
      <x:c r="C219" s="28" t="str">
        <x:v>нектарин</x:v>
      </x:c>
      <x:c r="D219" s="28" t="str">
        <x:v>сушеная ромашка</x:v>
      </x:c>
      <x:c r="E219" s="28" t="str">
        <x:v>Алкогольные напитки</x:v>
      </x:c>
      <x:c r="F219" s="28" t="str">
        <x:v>прямое или классовое перекрытие характерных одорантов + вкусовой баланс</x:v>
      </x:c>
      <x:c r="G21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Сушеная ромашка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В рабочих профилях пересекаются: эфиры. Общие ароматические направления: фруктовый. Этанол усиливает летучесть лактонов и терпенов; сахар и кислотность должны быть настроены так, чтобы крепость не маскировала плод. Матрица пары: водно-пектиновая; гидрофобные лактоны лучше проявляются в жире и этаноле. Этанол хорошо извлекает лактоны, бензальдегид и терпены, но высокая крепость усиливает жжение и горечь. Обработка: 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</x:v>
      </x:c>
      <x:c r="H219" s="28" t="str">
        <x:v>нагрев делает профиль джемовым и сглаживает различия между нектарином и персиком. Холодная мацерация сохраняет свежие эфиры; длительное настаивание увеличивает экстракцию кожицы и терпкость.</x:v>
      </x:c>
      <x:c r="I219" s="28" t="str">
        <x:v>не перегревать и не переслащивать; иначе исчезает свежая фруктовая детализация. Высокая крепость и избыток сахара маскируют свежесть; после мацерации контролируйте терпкость кожицы.</x:v>
      </x:c>
      <x:c r="J219" s="28" t="str">
        <x:v>коктейль, кордиал, настой, спритц, чайный или кофейный напиток</x:v>
      </x:c>
      <x:c r="K219" s="28" t="str">
        <x:v>Средняя</x:v>
      </x:c>
      <x:c r="L219" s="28" t="str">
        <x:v>The Art &amp; Science of Foodpairing.pdf</x:v>
      </x:c>
      <x:c r="M219" s="28" t="str">
        <x:v>The Art &amp; Science of Foodpairing.pdf: 260–261</x:v>
      </x:c>
    </x:row>
    <x:row r="220" ht="64" customHeight="1">
      <x:c r="A220" s="28" t="str">
        <x:v>STN-0340</x:v>
      </x:c>
      <x:c r="B220" s="28" t="str">
        <x:v>нектарин</x:v>
      </x:c>
      <x:c r="C220" s="28" t="str">
        <x:v>нектарин</x:v>
      </x:c>
      <x:c r="D220" s="28" t="str">
        <x:v>сушеные листья тмина</x:v>
      </x:c>
      <x:c r="E220" s="28" t="str">
        <x:v>Прочее</x:v>
      </x:c>
      <x:c r="F220" s="28" t="str">
        <x:v>комплементарность ароматических семейств, вкусовой контраст и матричный эффект</x:v>
      </x:c>
      <x:c r="G22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листья тмина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22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22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0" s="28" t="str">
        <x:v>напиток, соус, десерт или горячее блюдо после пробной дегустации</x:v>
      </x:c>
      <x:c r="K220" s="28" t="str">
        <x:v>Средняя</x:v>
      </x:c>
      <x:c r="L220" s="28" t="str">
        <x:v>The Art &amp; Science of Foodpairing.pdf</x:v>
      </x:c>
      <x:c r="M220" s="28" t="str">
        <x:v>The Art &amp; Science of Foodpairing.pdf: 260–261</x:v>
      </x:c>
    </x:row>
    <x:row r="221" ht="64" customHeight="1">
      <x:c r="A221" s="28" t="str">
        <x:v>STN-0341</x:v>
      </x:c>
      <x:c r="B221" s="28" t="str">
        <x:v>нектарин</x:v>
      </x:c>
      <x:c r="C221" s="28" t="str">
        <x:v>нектарин</x:v>
      </x:c>
      <x:c r="D221" s="28" t="str">
        <x:v>сушеные семена черного тмина</x:v>
      </x:c>
      <x:c r="E221" s="28" t="str">
        <x:v>Специи и острые компоненты</x:v>
      </x:c>
      <x:c r="F221" s="28" t="str">
        <x:v>комплементарность ароматических семейств, вкусовой контраст и матричный эффект</x:v>
      </x:c>
      <x:c r="G22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семена черного тмина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221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221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21" s="28" t="str">
        <x:v>напиток, соус, десерт или горячее блюдо после пробной дегустации</x:v>
      </x:c>
      <x:c r="K221" s="28" t="str">
        <x:v>Средняя</x:v>
      </x:c>
      <x:c r="L221" s="28" t="str">
        <x:v>The Art &amp; Science of Foodpairing.pdf</x:v>
      </x:c>
      <x:c r="M221" s="28" t="str">
        <x:v>The Art &amp; Science of Foodpairing.pdf: 260–261</x:v>
      </x:c>
    </x:row>
    <x:row r="222" ht="64" customHeight="1">
      <x:c r="A222" s="28" t="str">
        <x:v>STN-0342</x:v>
      </x:c>
      <x:c r="B222" s="28" t="str">
        <x:v>нектарин</x:v>
      </x:c>
      <x:c r="C222" s="28" t="str">
        <x:v>нектарин</x:v>
      </x:c>
      <x:c r="D222" s="28" t="str">
        <x:v>сушеные цветы сакуры</x:v>
      </x:c>
      <x:c r="E222" s="28" t="str">
        <x:v>Травы, листья и цветы</x:v>
      </x:c>
      <x:c r="F222" s="28" t="str">
        <x:v>прямое или классовое перекрытие характерных одорантов + вкусовой баланс</x:v>
      </x:c>
      <x:c r="G22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цветы сакуры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222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22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2" s="28" t="str">
        <x:v>напиток, соус, десерт или горячее блюдо после пробной дегустации</x:v>
      </x:c>
      <x:c r="K222" s="28" t="str">
        <x:v>Средняя</x:v>
      </x:c>
      <x:c r="L222" s="28" t="str">
        <x:v>The Art &amp; Science of Foodpairing.pdf</x:v>
      </x:c>
      <x:c r="M222" s="28" t="str">
        <x:v>The Art &amp; Science of Foodpairing.pdf: 260–261</x:v>
      </x:c>
    </x:row>
    <x:row r="223" ht="64" customHeight="1">
      <x:c r="A223" s="28" t="str">
        <x:v>STN-0344</x:v>
      </x:c>
      <x:c r="B223" s="28" t="str">
        <x:v>нектарин</x:v>
      </x:c>
      <x:c r="C223" s="28" t="str">
        <x:v>нектарин</x:v>
      </x:c>
      <x:c r="D223" s="28" t="str">
        <x:v>сычуаньский перец</x:v>
      </x:c>
      <x:c r="E223" s="28" t="str">
        <x:v>Специи и острые компоненты</x:v>
      </x:c>
      <x:c r="F223" s="28" t="str">
        <x:v>комплементарность ароматических семейств, вкусовой контраст и матричный эффект</x:v>
      </x:c>
      <x:c r="G22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Сычуаньский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223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223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23" s="28" t="str">
        <x:v>напиток, соус, десерт или горячее блюдо после пробной дегустации</x:v>
      </x:c>
      <x:c r="K223" s="28" t="str">
        <x:v>Средняя</x:v>
      </x:c>
      <x:c r="L223" s="28" t="str">
        <x:v>The Art &amp; Science of Foodpairing.pdf</x:v>
      </x:c>
      <x:c r="M223" s="28" t="str">
        <x:v>The Art &amp; Science of Foodpairing.pdf: 260–261</x:v>
      </x:c>
    </x:row>
    <x:row r="224" ht="64" customHeight="1">
      <x:c r="A224" s="28" t="str">
        <x:v>STN-0345</x:v>
      </x:c>
      <x:c r="B224" s="28" t="str">
        <x:v>нектарин</x:v>
      </x:c>
      <x:c r="C224" s="28" t="str">
        <x:v>нектарин</x:v>
      </x:c>
      <x:c r="D224" s="28" t="str">
        <x:v>таитянская ваниль</x:v>
      </x:c>
      <x:c r="E224" s="28" t="str">
        <x:v>Прочее</x:v>
      </x:c>
      <x:c r="F224" s="28" t="str">
        <x:v>комплементарность ароматических семейств, вкусовой контраст и матричный эффект</x:v>
      </x:c>
      <x:c r="G22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Таитянская ваниль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2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2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4" s="28" t="str">
        <x:v>напиток, соус, десерт или горячее блюдо после пробной дегустации</x:v>
      </x:c>
      <x:c r="K224" s="28" t="str">
        <x:v>Средняя</x:v>
      </x:c>
      <x:c r="L224" s="28" t="str">
        <x:v>The Art &amp; Science of Foodpairing.pdf</x:v>
      </x:c>
      <x:c r="M224" s="28" t="str">
        <x:v>The Art &amp; Science of Foodpairing.pdf: 260–261</x:v>
      </x:c>
    </x:row>
    <x:row r="225" ht="64" customHeight="1">
      <x:c r="A225" s="28" t="str">
        <x:v>STN-0346</x:v>
      </x:c>
      <x:c r="B225" s="28" t="str">
        <x:v>нектарин</x:v>
      </x:c>
      <x:c r="C225" s="28" t="str">
        <x:v>нектарин</x:v>
      </x:c>
      <x:c r="D225" s="28" t="str">
        <x:v>темный шоколад</x:v>
      </x:c>
      <x:c r="E225" s="28" t="str">
        <x:v>Чай, кофе и какао</x:v>
      </x:c>
      <x:c r="F225" s="28" t="str">
        <x:v>комплементарность ароматических семейств, вкусовой контраст и матричный эффект</x:v>
      </x:c>
      <x:c r="G22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Темный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горечь, терпкость и жареная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водные настои извлекают полифенолы; жир и сахар смягчают горечь.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22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22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5" s="28" t="str">
        <x:v>напиток, соус, десерт или горячее блюдо после пробной дегустации</x:v>
      </x:c>
      <x:c r="K225" s="28" t="str">
        <x:v>Высокая</x:v>
      </x:c>
      <x:c r="L225" s="28" t="str">
        <x:v>The Art &amp; Science of Foodpairing.pdf | Таблица сочетания(1).pdf</x:v>
      </x:c>
      <x:c r="M225" s="28" t="str">
        <x:v>Таблица сочетания(1).pdf: 14 | The Art &amp; Science of Foodpairing.pdf: 260–261</x:v>
      </x:c>
    </x:row>
    <x:row r="226" ht="64" customHeight="1">
      <x:c r="A226" s="28" t="str">
        <x:v>STN-0350</x:v>
      </x:c>
      <x:c r="B226" s="28" t="str">
        <x:v>нектарин</x:v>
      </x:c>
      <x:c r="C226" s="28" t="str">
        <x:v>нектарин</x:v>
      </x:c>
      <x:c r="D226" s="28" t="str">
        <x:v>укроп</x:v>
      </x:c>
      <x:c r="E226" s="28" t="str">
        <x:v>Травы и цветы</x:v>
      </x:c>
      <x:c r="F226" s="28" t="str">
        <x:v>прямое или классовое перекрытие характерных одорантов + вкусовой баланс</x:v>
      </x:c>
      <x:c r="G22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2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2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6" s="28" t="str">
        <x:v>напиток, соус, десерт или горячее блюдо после пробной дегустации</x:v>
      </x:c>
      <x:c r="K226" s="28" t="str">
        <x:v>Средняя</x:v>
      </x:c>
      <x:c r="L226" s="28" t="str">
        <x:v>The Art &amp; Science of Foodpairing.pdf</x:v>
      </x:c>
      <x:c r="M226" s="28" t="str">
        <x:v>The Art &amp; Science of Foodpairing.pdf: 260–261</x:v>
      </x:c>
    </x:row>
    <x:row r="227" ht="64" customHeight="1">
      <x:c r="A227" s="28" t="str">
        <x:v>STN-0354</x:v>
      </x:c>
      <x:c r="B227" s="28" t="str">
        <x:v>нектарин</x:v>
      </x:c>
      <x:c r="C227" s="28" t="str">
        <x:v>нектарин</x:v>
      </x:c>
      <x:c r="D227" s="28" t="str">
        <x:v>финик</x:v>
      </x:c>
      <x:c r="E227" s="28" t="str">
        <x:v>Сухофрукты и тропические плоды</x:v>
      </x:c>
      <x:c r="F227" s="28" t="str">
        <x:v>комплементарность ароматических семейств, вкусовой контраст и матричный эффект</x:v>
      </x:c>
      <x:c r="G22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Финик относится к группе «Сухофрукты и тропические плоды» и даёт профиль «медовый, карамельный, сухофруктовый, ореховый и пряный»; типичные соединения или классы: фураны, альдегиды Стреккера, фенольные соединения и продукты карамелизации.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очень высокая сладость, низкая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плотная сахаристая и вязкая; хорошо связывает жир и специи.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H22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I22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7" s="28" t="str">
        <x:v>напиток, соус, десерт или горячее блюдо после пробной дегустации</x:v>
      </x:c>
      <x:c r="K227" s="28" t="str">
        <x:v>Гипотеза / практическая</x:v>
      </x:c>
      <x:c r="L227" s="28" t="str">
        <x:v>Таблица сочетания(1).pdf</x:v>
      </x:c>
      <x:c r="M227" s="28" t="str">
        <x:v>Таблица сочетания(1).pdf: Таблица сочетаний: 7 | Таблица сочетания(1).pdf: 7</x:v>
      </x:c>
    </x:row>
    <x:row r="228" ht="64" customHeight="1">
      <x:c r="A228" s="28" t="str">
        <x:v>STN-0357</x:v>
      </x:c>
      <x:c r="B228" s="28" t="str">
        <x:v>нектарин</x:v>
      </x:c>
      <x:c r="C228" s="28" t="str">
        <x:v>нектарин</x:v>
      </x:c>
      <x:c r="D228" s="28" t="str">
        <x:v>хвоя сосны</x:v>
      </x:c>
      <x:c r="E228" s="28" t="str">
        <x:v>Травы, листья и цветы</x:v>
      </x:c>
      <x:c r="F228" s="28" t="str">
        <x:v>прямое или классовое перекрытие характерных одорантов + вкусовой баланс</x:v>
      </x:c>
      <x:c r="G22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Хвоя сосны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228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22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8" s="28" t="str">
        <x:v>напиток, соус, десерт или горячее блюдо после пробной дегустации</x:v>
      </x:c>
      <x:c r="K228" s="28" t="str">
        <x:v>Средняя</x:v>
      </x:c>
      <x:c r="L228" s="28" t="str">
        <x:v>The Art &amp; Science of Foodpairing.pdf</x:v>
      </x:c>
      <x:c r="M228" s="28" t="str">
        <x:v>The Art &amp; Science of Foodpairing.pdf: 260–261</x:v>
      </x:c>
    </x:row>
    <x:row r="229" ht="64" customHeight="1">
      <x:c r="A229" s="28" t="str">
        <x:v>STN-0358</x:v>
      </x:c>
      <x:c r="B229" s="28" t="str">
        <x:v>нектарин</x:v>
      </x:c>
      <x:c r="C229" s="28" t="str">
        <x:v>нектарин</x:v>
      </x:c>
      <x:c r="D229" s="28" t="str">
        <x:v>хурма</x:v>
      </x:c>
      <x:c r="E229" s="28" t="str">
        <x:v>Субтропические фрукты</x:v>
      </x:c>
      <x:c r="F229" s="28" t="str">
        <x:v>прямое или классовое перекрытие характерных одорантов + вкусовой баланс</x:v>
      </x:c>
      <x:c r="G22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Хурма относится к группе «Субтропические фрукты» и даёт профиль «медовый, абрикосовый, цветочный, пряный и слегка тыквенный»; типичные соединения или классы: каротиноидные норизопреноиды, фруктовые эфиры, линалоол, C6-альдегиды. В рабочих профилях пересекаются: линалоол, c6-альдегиды, фруктовые эфиры.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сладость; у вяжущих сортов много растворимых танинов.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пектиновая, мягкая и вязкая; зрелость резко меняет терпкость.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хурма сильно вяжет; с большим количеством дубильных партнёров сочетание становится сухим.</x:v>
      </x:c>
      <x:c r="H22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хурма сильно вяжет; с большим количеством дубильных партнёров сочетание становится сухим.</x:v>
      </x:c>
      <x:c r="I22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9" s="28" t="str">
        <x:v>напиток, соус, десерт или горячее блюдо после пробной дегустации</x:v>
      </x:c>
      <x:c r="K229" s="28" t="str">
        <x:v>Гипотеза / практическая</x:v>
      </x:c>
      <x:c r="L229" s="28" t="str">
        <x:v>Таблица сочетания(1).pdf</x:v>
      </x:c>
      <x:c r="M229" s="28" t="str">
        <x:v>Таблица сочетания(1).pdf: Таблица сочетаний: 16 | Таблица сочетания(1).pdf: 16</x:v>
      </x:c>
    </x:row>
    <x:row r="230" ht="64" customHeight="1">
      <x:c r="A230" s="28" t="str">
        <x:v>STN-0359</x:v>
      </x:c>
      <x:c r="B230" s="28" t="str">
        <x:v>нектарин</x:v>
      </x:c>
      <x:c r="C230" s="28" t="str">
        <x:v>нектарин</x:v>
      </x:c>
      <x:c r="D230" s="28" t="str">
        <x:v>цветы бузины</x:v>
      </x:c>
      <x:c r="E230" s="28" t="str">
        <x:v>Травы и цветы</x:v>
      </x:c>
      <x:c r="F230" s="28" t="str">
        <x:v>прямое или классовое перекрытие характерных одорантов + вкусовой баланс</x:v>
      </x:c>
      <x:c r="G23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Цветы бузины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3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3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0" s="28" t="str">
        <x:v>напиток, соус, десерт или горячее блюдо после пробной дегустации</x:v>
      </x:c>
      <x:c r="K230" s="28" t="str">
        <x:v>Средняя</x:v>
      </x:c>
      <x:c r="L230" s="28" t="str">
        <x:v>The Art &amp; Science of Foodpairing.pdf</x:v>
      </x:c>
      <x:c r="M230" s="28" t="str">
        <x:v>The Art &amp; Science of Foodpairing.pdf: 260–261</x:v>
      </x:c>
    </x:row>
    <x:row r="231" ht="64" customHeight="1">
      <x:c r="A231" s="28" t="str">
        <x:v>STN-0361</x:v>
      </x:c>
      <x:c r="B231" s="28" t="str">
        <x:v>нектарин</x:v>
      </x:c>
      <x:c r="C231" s="28" t="str">
        <x:v>нектарин</x:v>
      </x:c>
      <x:c r="D231" s="28" t="str">
        <x:v>черешня</x:v>
      </x:c>
      <x:c r="E231" s="28" t="str">
        <x:v>Ягоды и производные</x:v>
      </x:c>
      <x:c r="F231" s="28" t="str">
        <x:v>прямое или классовое перекрытие характерных одорантов + вкусовой баланс</x:v>
      </x:c>
      <x:c r="G23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Черешня относится к группе «Ягоды и производные» и даёт профиль «миндальный, сладко-фруктовый, цветочный»; типичные соединения или классы: бензальдегид, бета-дамасценон, эфиры. В рабочих профилях пересекаются: бензальдегид, эфиры. Общие ароматические направления: цветочный,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сладкий, умеренно кислый.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нежнее кислой вишни; легко становится приторной.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H23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I23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1" s="28" t="str">
        <x:v>напиток, соус, десерт или горячее блюдо после пробной дегустации</x:v>
      </x:c>
      <x:c r="K231" s="28" t="str">
        <x:v>Средняя</x:v>
      </x:c>
      <x:c r="L231" s="28" t="str">
        <x:v>The Art &amp; Science of Foodpairing.pdf</x:v>
      </x:c>
      <x:c r="M231" s="28" t="str">
        <x:v>The Art &amp; Science of Foodpairing.pdf: 260–261</x:v>
      </x:c>
    </x:row>
    <x:row r="232" ht="64" customHeight="1">
      <x:c r="A232" s="28" t="str">
        <x:v>STN-0362</x:v>
      </x:c>
      <x:c r="B232" s="28" t="str">
        <x:v>нектарин</x:v>
      </x:c>
      <x:c r="C232" s="28" t="str">
        <x:v>нектарин</x:v>
      </x:c>
      <x:c r="D232" s="28" t="str">
        <x:v>чернослив</x:v>
      </x:c>
      <x:c r="E232" s="28" t="str">
        <x:v>Сушёные косточковые фрукты</x:v>
      </x:c>
      <x:c r="F232" s="28" t="str">
        <x:v>прямое или классовое перекрытие характерных одорантов + вкусовой баланс</x:v>
      </x:c>
      <x:c r="G23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Чернослив относится к группе «Сушёные косточковые фрукты» и даёт профиль «тёмно-фруктовый, карамельный, винный, слегка дымный и миндальный»; типичные соединения или классы: фурфурол, 5-метилфурфурол, мальтол, лактоны, бензальдегид, продукты термического распада сахаров. В рабочих профилях пересекаются: бензальдегид. Общие ароматические направления: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маловодная, богатая сахарами, пектином и сорбитолом; хорошо удерживает специи и алкоголь.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H23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I23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2" s="28" t="str">
        <x:v>напиток, соус, десерт или горячее блюдо после пробной дегустации</x:v>
      </x:c>
      <x:c r="K232" s="28" t="str">
        <x:v>Средняя</x:v>
      </x:c>
      <x:c r="L232" s="28" t="str">
        <x:v>The Art &amp; Science of Foodpairing.pdf</x:v>
      </x:c>
      <x:c r="M232" s="28" t="str">
        <x:v>The Art &amp; Science of Foodpairing.pdf: 260–261</x:v>
      </x:c>
    </x:row>
    <x:row r="233" ht="64" customHeight="1">
      <x:c r="A233" s="28" t="str">
        <x:v>STN-0363</x:v>
      </x:c>
      <x:c r="B233" s="28" t="str">
        <x:v>нектарин</x:v>
      </x:c>
      <x:c r="C233" s="28" t="str">
        <x:v>нектарин</x:v>
      </x:c>
      <x:c r="D233" s="28" t="str">
        <x:v>шнитт-лук</x:v>
      </x:c>
      <x:c r="E233" s="28" t="str">
        <x:v>Травы, листья и цветы</x:v>
      </x:c>
      <x:c r="F233" s="28" t="str">
        <x:v>прямое или классовое перекрытие характерных одорантов + вкусовой баланс</x:v>
      </x:c>
      <x:c r="G23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Шнитт-лук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233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23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3" s="28" t="str">
        <x:v>напиток, соус, десерт или горячее блюдо после пробной дегустации</x:v>
      </x:c>
      <x:c r="K233" s="28" t="str">
        <x:v>Средняя</x:v>
      </x:c>
      <x:c r="L233" s="28" t="str">
        <x:v>The Art &amp; Science of Foodpairing.pdf</x:v>
      </x:c>
      <x:c r="M233" s="28" t="str">
        <x:v>The Art &amp; Science of Foodpairing.pdf: 260–261</x:v>
      </x:c>
    </x:row>
    <x:row r="234" ht="64" customHeight="1">
      <x:c r="A234" s="28" t="str">
        <x:v>STN-0364</x:v>
      </x:c>
      <x:c r="B234" s="28" t="str">
        <x:v>нектарин</x:v>
      </x:c>
      <x:c r="C234" s="28" t="str">
        <x:v>нектарин</x:v>
      </x:c>
      <x:c r="D234" s="28" t="str">
        <x:v>эстрагон</x:v>
      </x:c>
      <x:c r="E234" s="28" t="str">
        <x:v>Травы и цветы</x:v>
      </x:c>
      <x:c r="F234" s="28" t="str">
        <x:v>прямое или классовое перекрытие характерных одорантов + вкусовой баланс</x:v>
      </x:c>
      <x:c r="G23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Эстрагон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горьковатый, свежий.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летучие масла чувствительны к нагреву.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3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3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4" s="28" t="str">
        <x:v>напиток, соус, десерт или горячее блюдо после пробной дегустации</x:v>
      </x:c>
      <x:c r="K234" s="28" t="str">
        <x:v>Средняя</x:v>
      </x:c>
      <x:c r="L234" s="28" t="str">
        <x:v>The Art &amp; Science of Foodpairing.pdf</x:v>
      </x:c>
      <x:c r="M234" s="28" t="str">
        <x:v>The Art &amp; Science of Foodpairing.pdf: 260–261</x:v>
      </x:c>
    </x:row>
    <x:row r="235" ht="64" customHeight="1">
      <x:c r="A235" s="28" t="str">
        <x:v>STN-0365</x:v>
      </x:c>
      <x:c r="B235" s="28" t="str">
        <x:v>слива</x:v>
      </x:c>
      <x:c r="C235" s="28" t="str">
        <x:v>слива</x:v>
      </x:c>
      <x:c r="D235" s="28" t="str">
        <x:v>авокадо</x:v>
      </x:c>
      <x:c r="E235" s="28" t="str">
        <x:v>Тропические фрукты и жирные матрицы</x:v>
      </x:c>
      <x:c r="F235" s="28" t="str">
        <x:v>комплементарность ароматических семейств, вкусовой контраст и матричный эффект</x:v>
      </x:c>
      <x:c r="G23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Общие ароматические направления: зелёный. Базовый фрукт даёт: сладость и заметная яблочно-лимонная кислотность; кожица часто терпкая. Партнёр добавляет: мягкий, жирный, почти несладкий; лёгкая растительная горечь.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высокожировая эмульсия; хорошо растворяет гидрофобные ароматические молекулы.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235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235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35" s="28" t="str">
        <x:v>напиток, соус, десерт или горячее блюдо после пробной дегустации</x:v>
      </x:c>
      <x:c r="K235" s="28" t="str">
        <x:v>Гипотеза / практическая</x:v>
      </x:c>
      <x:c r="L235" s="28" t="str">
        <x:v>Таблица сочетания(1).pdf</x:v>
      </x:c>
      <x:c r="M235" s="28" t="str">
        <x:v>Таблица сочетания(1).pdf: Таблица сочетаний: 2 | Таблица сочетания(1).pdf: 2</x:v>
      </x:c>
    </x:row>
    <x:row r="236" ht="64" customHeight="1">
      <x:c r="A236" s="28" t="str">
        <x:v>STN-0366</x:v>
      </x:c>
      <x:c r="B236" s="28" t="str">
        <x:v>слива</x:v>
      </x:c>
      <x:c r="C236" s="28" t="str">
        <x:v>слива</x:v>
      </x:c>
      <x:c r="D236" s="28" t="str">
        <x:v>анис</x:v>
      </x:c>
      <x:c r="E236" s="28" t="str">
        <x:v>Специи и острые компоненты</x:v>
      </x:c>
      <x:c r="F236" s="28" t="str">
        <x:v>комплементарность ароматических семейств, вкусовой контраст и матричный эффект</x:v>
      </x:c>
      <x:c r="G23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Анис относится к группе «Специи и острые компоненты» и даёт профиль «сладкий лакричный и пряный»; типичные соединения или классы: анетол.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36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36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236" s="28" t="str">
        <x:v>напиток, соус, десерт или горячее блюдо после пробной дегустации</x:v>
      </x:c>
      <x:c r="K236" s="28" t="str">
        <x:v>Гипотеза / практическая</x:v>
      </x:c>
      <x:c r="L236" s="28" t="str">
        <x:v>Таблица сочетания(1).pdf</x:v>
      </x:c>
      <x:c r="M236" s="28" t="str">
        <x:v>Таблица сочетания(1).pdf: 17</x:v>
      </x:c>
    </x:row>
    <x:row r="237" ht="64" customHeight="1">
      <x:c r="A237" s="28" t="str">
        <x:v>STN-0367</x:v>
      </x:c>
      <x:c r="B237" s="28" t="str">
        <x:v>слива</x:v>
      </x:c>
      <x:c r="C237" s="28" t="str">
        <x:v>слива</x:v>
      </x:c>
      <x:c r="D237" s="28" t="str">
        <x:v>апельсин</x:v>
      </x:c>
      <x:c r="E237" s="28" t="str">
        <x:v>Цитрусовые</x:v>
      </x:c>
      <x:c r="F237" s="28" t="str">
        <x:v>прямое или классовое перекрытие характерных одорантов + вкусовой баланс</x:v>
      </x:c>
      <x:c r="G23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37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37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37" s="28" t="str">
        <x:v>сорбет, салат, джем, кордиал, лимонад, коктейль или фруктовый соус</x:v>
      </x:c>
      <x:c r="K237" s="28" t="str">
        <x:v>Средняя</x:v>
      </x:c>
      <x:c r="L237" s="28" t="str">
        <x:v>The Art &amp; Science of Foodpairing.pdf</x:v>
      </x:c>
      <x:c r="M237" s="28" t="str">
        <x:v>The Art &amp; Science of Foodpairing.pdf: 237</x:v>
      </x:c>
    </x:row>
    <x:row r="238" ht="64" customHeight="1">
      <x:c r="A238" s="28" t="str">
        <x:v>STN-0368</x:v>
      </x:c>
      <x:c r="B238" s="28" t="str">
        <x:v>слива</x:v>
      </x:c>
      <x:c r="C238" s="28" t="str">
        <x:v>слива</x:v>
      </x:c>
      <x:c r="D238" s="28" t="str">
        <x:v>бадьян</x:v>
      </x:c>
      <x:c r="E238" s="28" t="str">
        <x:v>Специи и острые компоненты</x:v>
      </x:c>
      <x:c r="F238" s="28" t="str">
        <x:v>комплементарность ароматических семейств, вкусовой контраст и матричный эффект</x:v>
      </x:c>
      <x:c r="G23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Бадьян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38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38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238" s="28" t="str">
        <x:v>напиток, соус, десерт или горячее блюдо после пробной дегустации</x:v>
      </x:c>
      <x:c r="K238" s="28" t="str">
        <x:v>Гипотеза / практическая</x:v>
      </x:c>
      <x:c r="L238" s="28" t="str">
        <x:v>Таблица сочетания(1).pdf</x:v>
      </x:c>
      <x:c r="M238" s="28" t="str">
        <x:v>Таблица сочетания(1).pdf: 20</x:v>
      </x:c>
    </x:row>
    <x:row r="239" ht="64" customHeight="1">
      <x:c r="A239" s="28" t="str">
        <x:v>STN-0369</x:v>
      </x:c>
      <x:c r="B239" s="28" t="str">
        <x:v>слива</x:v>
      </x:c>
      <x:c r="C239" s="28" t="str">
        <x:v>слива</x:v>
      </x:c>
      <x:c r="D239" s="28" t="str">
        <x:v>базилик</x:v>
      </x:c>
      <x:c r="E239" s="28" t="str">
        <x:v>Травы и цветы</x:v>
      </x:c>
      <x:c r="F239" s="28" t="str">
        <x:v>прямое или классовое перекрытие характерных одорантов + вкусовой баланс</x:v>
      </x:c>
      <x:c r="G23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В рабочих профилях пересекаются: линалоол. Общие ароматические направления: цветочный, зелёный, пряный. 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39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39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39" s="28" t="str">
        <x:v>напиток, соус, десерт или горячее блюдо после пробной дегустации</x:v>
      </x:c>
      <x:c r="K239" s="28" t="str">
        <x:v>Гипотеза / практическая</x:v>
      </x:c>
      <x:c r="L239" s="28" t="str">
        <x:v>Таблица сочетания(1).pdf</x:v>
      </x:c>
      <x:c r="M239" s="28" t="str">
        <x:v>Таблица сочетания(1).pdf: 17</x:v>
      </x:c>
    </x:row>
    <x:row r="240" ht="64" customHeight="1">
      <x:c r="A240" s="28" t="str">
        <x:v>STN-0370</x:v>
      </x:c>
      <x:c r="B240" s="28" t="str">
        <x:v>слива</x:v>
      </x:c>
      <x:c r="C240" s="28" t="str">
        <x:v>слива</x:v>
      </x:c>
      <x:c r="D240" s="28" t="str">
        <x:v>ваниль</x:v>
      </x:c>
      <x:c r="E240" s="28" t="str">
        <x:v>Специи и острые компоненты</x:v>
      </x:c>
      <x:c r="F240" s="28" t="str">
        <x:v>прямое или классовое перекрытие характерных одорантов + вкусовой баланс</x:v>
      </x:c>
      <x:c r="G24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Ваниль относится к группе «Специи и острые компоненты» и даёт профиль «сладкий, сливочный и древесный»; типичные соединения или классы: ванилин, п-гидроксибензальдегид. В рабочих профилях пересекаются: бензальдегид.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40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40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240" s="28" t="str">
        <x:v>напиток, соус, десерт или горячее блюдо после пробной дегустации</x:v>
      </x:c>
      <x:c r="K240" s="28" t="str">
        <x:v>Гипотеза / практическая</x:v>
      </x:c>
      <x:c r="L240" s="28" t="str">
        <x:v>Таблица сочетания(1).pdf</x:v>
      </x:c>
      <x:c r="M240" s="28" t="str">
        <x:v>Таблица сочетания(1).pdf: 17</x:v>
      </x:c>
    </x:row>
    <x:row r="241" ht="64" customHeight="1">
      <x:c r="A241" s="28" t="str">
        <x:v>STN-0371</x:v>
      </x:c>
      <x:c r="B241" s="28" t="str">
        <x:v>слива</x:v>
      </x:c>
      <x:c r="C241" s="28" t="str">
        <x:v>слива</x:v>
      </x:c>
      <x:c r="D241" s="28" t="str">
        <x:v>вишня</x:v>
      </x:c>
      <x:c r="E241" s="28" t="str">
        <x:v>Косточковые фрукты</x:v>
      </x:c>
      <x:c r="F241" s="28" t="str">
        <x:v>прямое или классовое перекрытие характерных одорантов + вкусовой баланс</x:v>
      </x:c>
      <x:c r="G24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линалоол, эфиры. Общие ароматические направления: цветочный, фруктовый, миндальный. Базовый фрукт даёт: сладость и заметная яблочно-лимонная кислотность; кожица часто терпкая. Партнёр добавляет: сладость и умеренная кислотность.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пектиновая; кожица и косточка могут давать терпкость и миндальные ноты.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241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241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41" s="28" t="str">
        <x:v>напиток, соус, десерт или горячее блюдо после пробной дегустации</x:v>
      </x:c>
      <x:c r="K241" s="28" t="str">
        <x:v>Гипотеза / практическая</x:v>
      </x:c>
      <x:c r="L241" s="28" t="str">
        <x:v>Таблица сочетания(1).pdf</x:v>
      </x:c>
      <x:c r="M241" s="28" t="str">
        <x:v>Таблица сочетания(1).pdf: Таблица сочетаний: 4, 17 | Таблица сочетания(1).pdf: 4 | Таблица сочетания(1).pdf: 17</x:v>
      </x:c>
    </x:row>
    <x:row r="242" ht="64" customHeight="1">
      <x:c r="A242" s="28" t="str">
        <x:v>STN-0372</x:v>
      </x:c>
      <x:c r="B242" s="28" t="str">
        <x:v>слива</x:v>
      </x:c>
      <x:c r="C242" s="28" t="str">
        <x:v>слива</x:v>
      </x:c>
      <x:c r="D242" s="28" t="str">
        <x:v>грейпфрут</x:v>
      </x:c>
      <x:c r="E242" s="28" t="str">
        <x:v>Цитрусовые</x:v>
      </x:c>
      <x:c r="F242" s="28" t="str">
        <x:v>прямое или классовое перекрытие характерных одорантов + вкусовой баланс</x:v>
      </x:c>
      <x:c r="G24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Грейпфрут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4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42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42" s="28" t="str">
        <x:v>сорбет, салат, джем, кордиал, лимонад, коктейль или фруктовый соус</x:v>
      </x:c>
      <x:c r="K242" s="28" t="str">
        <x:v>Средняя</x:v>
      </x:c>
      <x:c r="L242" s="28" t="str">
        <x:v>The Art &amp; Science of Foodpairing.pdf</x:v>
      </x:c>
      <x:c r="M242" s="28" t="str">
        <x:v>The Art &amp; Science of Foodpairing.pdf: 359</x:v>
      </x:c>
    </x:row>
    <x:row r="243" ht="64" customHeight="1">
      <x:c r="A243" s="28" t="str">
        <x:v>STN-0374</x:v>
      </x:c>
      <x:c r="B243" s="28" t="str">
        <x:v>слива</x:v>
      </x:c>
      <x:c r="C243" s="28" t="str">
        <x:v>слива</x:v>
      </x:c>
      <x:c r="D243" s="28" t="str">
        <x:v>имбирь</x:v>
      </x:c>
      <x:c r="E243" s="28" t="str">
        <x:v>Специи и острые компоненты</x:v>
      </x:c>
      <x:c r="F243" s="28" t="str">
        <x:v>комплементарность ароматических семейств, вкусовой контраст и матричный эффект</x:v>
      </x:c>
      <x:c r="G24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43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43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243" s="28" t="str">
        <x:v>напиток, соус, десерт или горячее блюдо после пробной дегустации</x:v>
      </x:c>
      <x:c r="K243" s="28" t="str">
        <x:v>Гипотеза / практическая</x:v>
      </x:c>
      <x:c r="L243" s="28" t="str">
        <x:v>Таблица сочетания(1).pdf</x:v>
      </x:c>
      <x:c r="M243" s="28" t="str">
        <x:v>Таблица сочетания(1).pdf: 8 | Таблица сочетания(1).pdf: 17</x:v>
      </x:c>
    </x:row>
    <x:row r="244" ht="64" customHeight="1">
      <x:c r="A244" s="28" t="str">
        <x:v>STN-0375</x:v>
      </x:c>
      <x:c r="B244" s="28" t="str">
        <x:v>слива</x:v>
      </x:c>
      <x:c r="C244" s="28" t="str">
        <x:v>слива</x:v>
      </x:c>
      <x:c r="D244" s="28" t="str">
        <x:v>инжир</x:v>
      </x:c>
      <x:c r="E244" s="28" t="str">
        <x:v>Субтропические фрукты</x:v>
      </x:c>
      <x:c r="F244" s="28" t="str">
        <x:v>прямое или классовое перекрытие характерных одорантов + вкусовой баланс</x:v>
      </x:c>
      <x:c r="G24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бензальдегид, линалоол. Общие ароматические направления: цветочный, зелёный. Базовый фрукт даёт: сладость и заметная яблочно-лимонная кислотность; кожица часто терпкая. Партнёр добавляет: высокая сладость, низкая кислотность; семена дают хруст.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пектиновая и сахаристая; сушёный инжир концентрирует сахар, фенолы и карамельные ноты.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244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244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44" s="28" t="str">
        <x:v>напиток, соус, десерт или горячее блюдо после пробной дегустации</x:v>
      </x:c>
      <x:c r="K244" s="28" t="str">
        <x:v>Гипотеза / практическая</x:v>
      </x:c>
      <x:c r="L244" s="28" t="str">
        <x:v>Таблица сочетания(1).pdf</x:v>
      </x:c>
      <x:c r="M244" s="28" t="str">
        <x:v>Таблица сочетания(1).pdf: Таблица сочетаний: 17 | Таблица сочетания(1).pdf: 17</x:v>
      </x:c>
    </x:row>
    <x:row r="245" ht="64" customHeight="1">
      <x:c r="A245" s="28" t="str">
        <x:v>STN-0377</x:v>
      </x:c>
      <x:c r="B245" s="28" t="str">
        <x:v>слива</x:v>
      </x:c>
      <x:c r="C245" s="28" t="str">
        <x:v>слива</x:v>
      </x:c>
      <x:c r="D245" s="28" t="str">
        <x:v>кардамон</x:v>
      </x:c>
      <x:c r="E245" s="28" t="str">
        <x:v>Специи и острые компоненты</x:v>
      </x:c>
      <x:c r="F245" s="28" t="str">
        <x:v>прямое или классовое перекрытие характерных одорантов + вкусовой баланс</x:v>
      </x:c>
      <x:c r="G24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Кардамон относится к группе «Специи и острые компоненты» и даёт профиль «цитрусовый, камфорный и цветочный»; типичные соединения или классы: 1,8-цинеол, α-терпинилацетат, линалоол. В рабочих профилях пересекаются: линалоол.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45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45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245" s="28" t="str">
        <x:v>напиток, соус, десерт или горячее блюдо после пробной дегустации</x:v>
      </x:c>
      <x:c r="K245" s="28" t="str">
        <x:v>Гипотеза / практическая</x:v>
      </x:c>
      <x:c r="L245" s="28" t="str">
        <x:v>Таблица сочетания(1).pdf</x:v>
      </x:c>
      <x:c r="M245" s="28" t="str">
        <x:v>Таблица сочетания(1).pdf: 17</x:v>
      </x:c>
    </x:row>
    <x:row r="246" ht="64" customHeight="1">
      <x:c r="A246" s="28" t="str">
        <x:v>STN-0378</x:v>
      </x:c>
      <x:c r="B246" s="28" t="str">
        <x:v>слива</x:v>
      </x:c>
      <x:c r="C246" s="28" t="str">
        <x:v>слива</x:v>
      </x:c>
      <x:c r="D246" s="28" t="str">
        <x:v>каштан</x:v>
      </x:c>
      <x:c r="E246" s="28" t="str">
        <x:v>Прочее</x:v>
      </x:c>
      <x:c r="F246" s="28" t="str">
        <x:v>комплементарность ароматических семейств, вкусовой контраст и матричный эффект</x:v>
      </x:c>
      <x:c r="G24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Каштан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24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246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46" s="28" t="str">
        <x:v>напиток, соус, десерт или горячее блюдо после пробной дегустации</x:v>
      </x:c>
      <x:c r="K246" s="28" t="str">
        <x:v>Гипотеза / практическая</x:v>
      </x:c>
      <x:c r="L246" s="28" t="str">
        <x:v>Таблица сочетания(1).pdf</x:v>
      </x:c>
      <x:c r="M246" s="28" t="str">
        <x:v>Таблица сочетания(1).pdf: 17</x:v>
      </x:c>
    </x:row>
    <x:row r="247" ht="64" customHeight="1">
      <x:c r="A247" s="28" t="str">
        <x:v>STN-0380</x:v>
      </x:c>
      <x:c r="B247" s="28" t="str">
        <x:v>слива</x:v>
      </x:c>
      <x:c r="C247" s="28" t="str">
        <x:v>слива</x:v>
      </x:c>
      <x:c r="D247" s="28" t="str">
        <x:v>клубника</x:v>
      </x:c>
      <x:c r="E247" s="28" t="str">
        <x:v>Ягоды</x:v>
      </x:c>
      <x:c r="F247" s="28" t="str">
        <x:v>прямое или классовое перекрытие характерных одорантов + вкусовой баланс</x:v>
      </x:c>
      <x:c r="G24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47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47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47" s="28" t="str">
        <x:v>сорбет, салат, джем, кордиал, лимонад, коктейль или фруктовый соус</x:v>
      </x:c>
      <x:c r="K247" s="28" t="str">
        <x:v>Гипотеза / практическая</x:v>
      </x:c>
      <x:c r="L247" s="28" t="str">
        <x:v>Таблица сочетания(1).pdf</x:v>
      </x:c>
      <x:c r="M247" s="28" t="str">
        <x:v>Таблица сочетания(1).pdf: Таблица сочетаний: 17 | Таблица сочетания(1).pdf: 17</x:v>
      </x:c>
    </x:row>
    <x:row r="248" ht="64" customHeight="1">
      <x:c r="A248" s="28" t="str">
        <x:v>STN-0381</x:v>
      </x:c>
      <x:c r="B248" s="28" t="str">
        <x:v>слива</x:v>
      </x:c>
      <x:c r="C248" s="28" t="str">
        <x:v>слива</x:v>
      </x:c>
      <x:c r="D248" s="28" t="str">
        <x:v>клюква</x:v>
      </x:c>
      <x:c r="E248" s="28" t="str">
        <x:v>Ягоды</x:v>
      </x:c>
      <x:c r="F248" s="28" t="str">
        <x:v>прямое или классовое перекрытие характерных одорантов + вкусовой баланс</x:v>
      </x:c>
      <x:c r="G24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Клюква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48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48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48" s="28" t="str">
        <x:v>сорбет, салат, джем, кордиал, лимонад, коктейль или фруктовый соус</x:v>
      </x:c>
      <x:c r="K248" s="28" t="str">
        <x:v>Гипотеза / практическая</x:v>
      </x:c>
      <x:c r="L248" s="28" t="str">
        <x:v>Таблица сочетания(1).pdf</x:v>
      </x:c>
      <x:c r="M248" s="28" t="str">
        <x:v>Таблица сочетания(1).pdf: Таблица сочетаний: 17 | Таблица сочетания(1).pdf: 17</x:v>
      </x:c>
    </x:row>
    <x:row r="249" ht="64" customHeight="1">
      <x:c r="A249" s="28" t="str">
        <x:v>STN-0383</x:v>
      </x:c>
      <x:c r="B249" s="28" t="str">
        <x:v>слива</x:v>
      </x:c>
      <x:c r="C249" s="28" t="str">
        <x:v>слива</x:v>
      </x:c>
      <x:c r="D249" s="28" t="str">
        <x:v>корица</x:v>
      </x:c>
      <x:c r="E249" s="28" t="str">
        <x:v>Специи и острые компоненты</x:v>
      </x:c>
      <x:c r="F249" s="28" t="str">
        <x:v>комплементарность ароматических семейств, вкусовой контраст и матричный эффект</x:v>
      </x:c>
      <x:c r="G24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49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49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249" s="28" t="str">
        <x:v>напиток, соус, десерт или горячее блюдо после пробной дегустации</x:v>
      </x:c>
      <x:c r="K249" s="28" t="str">
        <x:v>Гипотеза / практическая</x:v>
      </x:c>
      <x:c r="L249" s="28" t="str">
        <x:v>Таблица сочетания(1).pdf</x:v>
      </x:c>
      <x:c r="M249" s="28" t="str">
        <x:v>Таблица сочетания(1).pdf: 17</x:v>
      </x:c>
    </x:row>
    <x:row r="250" ht="64" customHeight="1">
      <x:c r="A250" s="28" t="str">
        <x:v>STN-0384</x:v>
      </x:c>
      <x:c r="B250" s="28" t="str">
        <x:v>слива</x:v>
      </x:c>
      <x:c r="C250" s="28" t="str">
        <x:v>слива</x:v>
      </x:c>
      <x:c r="D250" s="28" t="str">
        <x:v>кумкват</x:v>
      </x:c>
      <x:c r="E250" s="28" t="str">
        <x:v>Цитрусовые</x:v>
      </x:c>
      <x:c r="F250" s="28" t="str">
        <x:v>прямое или классовое перекрытие характерных одорантов + вкусовой баланс</x:v>
      </x:c>
      <x:c r="G25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Кумкват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50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50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50" s="28" t="str">
        <x:v>сорбет, салат, джем, кордиал, лимонад, коктейль или фруктовый соус</x:v>
      </x:c>
      <x:c r="K250" s="28" t="str">
        <x:v>Гипотеза / практическая</x:v>
      </x:c>
      <x:c r="L250" s="28" t="str">
        <x:v>Таблица сочетания(1).pdf</x:v>
      </x:c>
      <x:c r="M250" s="28" t="str">
        <x:v>Таблица сочетания(1).pdf: Таблица сочетания(1).pdf: 10, 17 | Таблица сочетания(1).pdf: 10 | Таблица сочетания(1).pdf: 17</x:v>
      </x:c>
    </x:row>
    <x:row r="251" ht="64" customHeight="1">
      <x:c r="A251" s="28" t="str">
        <x:v>STN-0385</x:v>
      </x:c>
      <x:c r="B251" s="28" t="str">
        <x:v>слива</x:v>
      </x:c>
      <x:c r="C251" s="28" t="str">
        <x:v>слива</x:v>
      </x:c>
      <x:c r="D251" s="28" t="str">
        <x:v>лимон</x:v>
      </x:c>
      <x:c r="E251" s="28" t="str">
        <x:v>Цитрусовые</x:v>
      </x:c>
      <x:c r="F251" s="28" t="str">
        <x:v>комплементарность ароматических семейств, вкусовой контраст и матричный эффект</x:v>
      </x:c>
      <x:c r="G25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51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51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51" s="28" t="str">
        <x:v>сорбет, салат, джем, кордиал, лимонад, коктейль или фруктовый соус</x:v>
      </x:c>
      <x:c r="K251" s="28" t="str">
        <x:v>Гипотеза / практическая</x:v>
      </x:c>
      <x:c r="L251" s="28" t="str">
        <x:v>Таблица сочетания(1).pdf</x:v>
      </x:c>
      <x:c r="M251" s="28" t="str">
        <x:v>Таблица сочетания(1).pdf: Таблица сочетания(1).pdf: 17 | Таблица сочетания(1).pdf: 17</x:v>
      </x:c>
    </x:row>
    <x:row r="252" ht="64" customHeight="1">
      <x:c r="A252" s="28" t="str">
        <x:v>STN-0386</x:v>
      </x:c>
      <x:c r="B252" s="28" t="str">
        <x:v>слива</x:v>
      </x:c>
      <x:c r="C252" s="28" t="str">
        <x:v>слива</x:v>
      </x:c>
      <x:c r="D252" s="28" t="str">
        <x:v>листья кориандра</x:v>
      </x:c>
      <x:c r="E252" s="28" t="str">
        <x:v>Травы/пряности</x:v>
      </x:c>
      <x:c r="F252" s="28" t="str">
        <x:v>комплементарность ароматических семейств, вкусовой контраст и матричный эффект</x:v>
      </x:c>
      <x:c r="G25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Листья кориандра относится к группе «Травы/пряности» и даёт профиль «цитрусовый, зелёный, цветочный»; типичные соединения или классы: линалол, деканаль, додеканаль.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сладость и заметная яблочно-лимонная кислотность; кожица часто терпкая. Партнёр добавляет: травяной, слегка горький.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листья чувствительны к нагреву; семена устойчивее и слаще.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H25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I252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52" s="28" t="str">
        <x:v>напиток, соус, десерт или горячее блюдо после пробной дегустации</x:v>
      </x:c>
      <x:c r="K252" s="28" t="str">
        <x:v>Средняя</x:v>
      </x:c>
      <x:c r="L252" s="28" t="str">
        <x:v>The Art &amp; Science of Foodpairing.pdf</x:v>
      </x:c>
      <x:c r="M252" s="28" t="str">
        <x:v>The Art &amp; Science of Foodpairing.pdf: 98 | The Art &amp; Science of Foodpairing.pdf: 99</x:v>
      </x:c>
    </x:row>
    <x:row r="253" ht="64" customHeight="1">
      <x:c r="A253" s="28" t="str">
        <x:v>STN-0388</x:v>
      </x:c>
      <x:c r="B253" s="28" t="str">
        <x:v>слива</x:v>
      </x:c>
      <x:c r="C253" s="28" t="str">
        <x:v>слива</x:v>
      </x:c>
      <x:c r="D253" s="28" t="str">
        <x:v>малина</x:v>
      </x:c>
      <x:c r="E253" s="28" t="str">
        <x:v>Ягоды</x:v>
      </x:c>
      <x:c r="F253" s="28" t="str">
        <x:v>прямое или классовое перекрытие характерных одорантов + вкусовой баланс</x:v>
      </x:c>
      <x:c r="G25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53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53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53" s="28" t="str">
        <x:v>сорбет, салат, джем, кордиал, лимонад, коктейль или фруктовый соус</x:v>
      </x:c>
      <x:c r="K253" s="28" t="str">
        <x:v>Гипотеза / практическая</x:v>
      </x:c>
      <x:c r="L253" s="28" t="str">
        <x:v>Таблица сочетания(1).pdf</x:v>
      </x:c>
      <x:c r="M253" s="28" t="str">
        <x:v>Таблица сочетания(1).pdf: Таблица сочетаний: 17, 19 | Таблица сочетания(1).pdf: 17 | Таблица сочетания(1).pdf: 19</x:v>
      </x:c>
    </x:row>
    <x:row r="254" ht="64" customHeight="1">
      <x:c r="A254" s="28" t="str">
        <x:v>STN-0389</x:v>
      </x:c>
      <x:c r="B254" s="28" t="str">
        <x:v>слива</x:v>
      </x:c>
      <x:c r="C254" s="28" t="str">
        <x:v>слива</x:v>
      </x:c>
      <x:c r="D254" s="28" t="str">
        <x:v>мед</x:v>
      </x:c>
      <x:c r="E254" s="28" t="str">
        <x:v>Сахара, мёд и кондитерские основы</x:v>
      </x:c>
      <x:c r="F254" s="28" t="str">
        <x:v>комплементарность ароматических семейств, вкусовой контраст и матричный эффект</x:v>
      </x:c>
      <x:c r="G25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сладость и заметная яблочно-лимонная кислотность; кожица часто терпкая. Партнёр добавляет: высокая сладость.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вязкая сахарная; снижает летучесть и смягчает кислоту.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54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54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54" s="28" t="str">
        <x:v>напиток, соус, десерт или горячее блюдо после пробной дегустации</x:v>
      </x:c>
      <x:c r="K254" s="28" t="str">
        <x:v>Гипотеза / практическая</x:v>
      </x:c>
      <x:c r="L254" s="28" t="str">
        <x:v>Таблица сочетания(1).pdf</x:v>
      </x:c>
      <x:c r="M254" s="28" t="str">
        <x:v>Таблица сочетания(1).pdf: 17</x:v>
      </x:c>
    </x:row>
    <x:row r="255" ht="64" customHeight="1">
      <x:c r="A255" s="28" t="str">
        <x:v>STN-0392</x:v>
      </x:c>
      <x:c r="B255" s="28" t="str">
        <x:v>слива</x:v>
      </x:c>
      <x:c r="C255" s="28" t="str">
        <x:v>слива</x:v>
      </x:c>
      <x:c r="D255" s="28" t="str">
        <x:v>мята</x:v>
      </x:c>
      <x:c r="E255" s="28" t="str">
        <x:v>Травы и цветы</x:v>
      </x:c>
      <x:c r="F255" s="28" t="str">
        <x:v>комплементарность ароматических семейств, вкусовой контраст и матричный эффект</x:v>
      </x:c>
      <x:c r="G25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55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55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55" s="28" t="str">
        <x:v>напиток, соус, десерт или горячее блюдо после пробной дегустации</x:v>
      </x:c>
      <x:c r="K255" s="28" t="str">
        <x:v>Гипотеза / практическая</x:v>
      </x:c>
      <x:c r="L255" s="28" t="str">
        <x:v>Таблица сочетания(1).pdf</x:v>
      </x:c>
      <x:c r="M255" s="28" t="str">
        <x:v>Таблица сочетания(1).pdf: 13 | Таблица сочетания(1).pdf: 17</x:v>
      </x:c>
    </x:row>
    <x:row r="256" ht="64" customHeight="1">
      <x:c r="A256" s="28" t="str">
        <x:v>STN-0397</x:v>
      </x:c>
      <x:c r="B256" s="28" t="str">
        <x:v>слива</x:v>
      </x:c>
      <x:c r="C256" s="28" t="str">
        <x:v>слива</x:v>
      </x:c>
      <x:c r="D256" s="28" t="str">
        <x:v>ревень</x:v>
      </x:c>
      <x:c r="E256" s="28" t="str">
        <x:v>Прочее</x:v>
      </x:c>
      <x:c r="F256" s="28" t="str">
        <x:v>комплементарность ароматических семейств, вкусовой контраст и матричный эффект</x:v>
      </x:c>
      <x:c r="G25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Ревень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25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256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56" s="28" t="str">
        <x:v>напиток, соус, десерт или горячее блюдо после пробной дегустации</x:v>
      </x:c>
      <x:c r="K256" s="28" t="str">
        <x:v>Гипотеза / практическая</x:v>
      </x:c>
      <x:c r="L256" s="28" t="str">
        <x:v>Таблица сочетания(1).pdf</x:v>
      </x:c>
      <x:c r="M256" s="28" t="str">
        <x:v>Таблица сочетания(1).pdf: 17</x:v>
      </x:c>
    </x:row>
    <x:row r="257" ht="64" customHeight="1">
      <x:c r="A257" s="28" t="str">
        <x:v>STN-0398</x:v>
      </x:c>
      <x:c r="B257" s="28" t="str">
        <x:v>слива</x:v>
      </x:c>
      <x:c r="C257" s="28" t="str">
        <x:v>слива</x:v>
      </x:c>
      <x:c r="D257" s="28" t="str">
        <x:v>рубленый чеснок</x:v>
      </x:c>
      <x:c r="E257" s="28" t="str">
        <x:v>Прочее</x:v>
      </x:c>
      <x:c r="F257" s="28" t="str">
        <x:v>комплементарность ароматических семейств, вкусовой контраст и матричный эффект</x:v>
      </x:c>
      <x:c r="G25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Рубленый чеснок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баланс зависит от продукта.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матрица зависит от формы продукта.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H257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I257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57" s="28" t="str">
        <x:v>напиток, соус, десерт или горячее блюдо после пробной дегустации</x:v>
      </x:c>
      <x:c r="K257" s="28" t="str">
        <x:v>Средняя</x:v>
      </x:c>
      <x:c r="L257" s="28" t="str">
        <x:v>The Art &amp; Science of Foodpairing.pdf</x:v>
      </x:c>
      <x:c r="M257" s="28" t="str">
        <x:v>The Art &amp; Science of Foodpairing.pdf: 112</x:v>
      </x:c>
    </x:row>
    <x:row r="258" ht="64" customHeight="1">
      <x:c r="A258" s="28" t="str">
        <x:v>STN-0399</x:v>
      </x:c>
      <x:c r="B258" s="28" t="str">
        <x:v>слива</x:v>
      </x:c>
      <x:c r="C258" s="28" t="str">
        <x:v>слива</x:v>
      </x:c>
      <x:c r="D258" s="28" t="str">
        <x:v>семена кардамона</x:v>
      </x:c>
      <x:c r="E258" s="28" t="str">
        <x:v>Специи</x:v>
      </x:c>
      <x:c r="F258" s="28" t="str">
        <x:v>комплементарность ароматических семейств, вкусовой контраст и матричный эффект</x:v>
      </x:c>
      <x:c r="G25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Семена кардамона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Общие ароматические направления: пряный. Базовый фрукт даёт: сладость и заметная яблочно-лимонная кислотность; кожица часто терпкая. Партнёр добавляет: пряный, иногда горький.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хорошо извлекаются спиртом и жиром.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58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58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58" s="28" t="str">
        <x:v>напиток, соус, десерт или горячее блюдо после пробной дегустации</x:v>
      </x:c>
      <x:c r="K258" s="28" t="str">
        <x:v>Средняя</x:v>
      </x:c>
      <x:c r="L258" s="28" t="str">
        <x:v>The Art &amp; Science of Foodpairing.pdf</x:v>
      </x:c>
      <x:c r="M258" s="28" t="str">
        <x:v>The Art &amp; Science of Foodpairing.pdf: 256</x:v>
      </x:c>
    </x:row>
    <x:row r="259" ht="64" customHeight="1">
      <x:c r="A259" s="28" t="str">
        <x:v>STN-0401</x:v>
      </x:c>
      <x:c r="B259" s="28" t="str">
        <x:v>слива</x:v>
      </x:c>
      <x:c r="C259" s="28" t="str">
        <x:v>слива</x:v>
      </x:c>
      <x:c r="D259" s="28" t="str">
        <x:v>укроп</x:v>
      </x:c>
      <x:c r="E259" s="28" t="str">
        <x:v>Травы и цветы</x:v>
      </x:c>
      <x:c r="F259" s="28" t="str">
        <x:v>прямое или классовое перекрытие характерных одорантов + вкусовой баланс</x:v>
      </x:c>
      <x:c r="G25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59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59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59" s="28" t="str">
        <x:v>напиток, соус, десерт или горячее блюдо после пробной дегустации</x:v>
      </x:c>
      <x:c r="K259" s="28" t="str">
        <x:v>Гипотеза / практическая</x:v>
      </x:c>
      <x:c r="L259" s="28" t="str">
        <x:v>Таблица сочетания(1).pdf</x:v>
      </x:c>
      <x:c r="M259" s="28" t="str">
        <x:v>Таблица сочетания(1).pdf: 17</x:v>
      </x:c>
    </x:row>
    <x:row r="260" ht="64" customHeight="1">
      <x:c r="A260" s="28" t="str">
        <x:v>STN-0404</x:v>
      </x:c>
      <x:c r="B260" s="28" t="str">
        <x:v>слива</x:v>
      </x:c>
      <x:c r="C260" s="28" t="str">
        <x:v>слива</x:v>
      </x:c>
      <x:c r="D260" s="28" t="str">
        <x:v>черный перец</x:v>
      </x:c>
      <x:c r="E260" s="28" t="str">
        <x:v>Специи и острые компоненты</x:v>
      </x:c>
      <x:c r="F260" s="28" t="str">
        <x:v>комплементарность ароматических семейств, вкусовой контраст и матричный эффект</x:v>
      </x:c>
      <x:c r="G26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Черный перец относится к группе «Специи и острые компоненты» и даёт профиль «древесный, цитрусовый и пряный»; типичные соединения или классы: пиперин, лимонен, сабинен.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60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60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260" s="28" t="str">
        <x:v>напиток, соус, десерт или горячее блюдо после пробной дегустации</x:v>
      </x:c>
      <x:c r="K260" s="28" t="str">
        <x:v>Гипотеза / практическая</x:v>
      </x:c>
      <x:c r="L260" s="28" t="str">
        <x:v>Таблица сочетания(1).pdf</x:v>
      </x:c>
      <x:c r="M260" s="28" t="str">
        <x:v>Таблица сочетания(1).pdf: 17</x:v>
      </x:c>
    </x:row>
    <x:row r="261" ht="64" customHeight="1">
      <x:c r="A261" s="28" t="str">
        <x:v>STN-0405</x:v>
      </x:c>
      <x:c r="B261" s="28" t="str">
        <x:v>слива</x:v>
      </x:c>
      <x:c r="C261" s="28" t="str">
        <x:v>слива</x:v>
      </x:c>
      <x:c r="D261" s="28" t="str">
        <x:v>шелковица</x:v>
      </x:c>
      <x:c r="E261" s="28" t="str">
        <x:v>Ягоды</x:v>
      </x:c>
      <x:c r="F261" s="28" t="str">
        <x:v>прямое или классовое перекрытие характерных одорантов + вкусовой баланс</x:v>
      </x:c>
      <x:c r="G26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Шелковица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61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61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61" s="28" t="str">
        <x:v>сорбет, салат, джем, кордиал, лимонад, коктейль или фруктовый соус</x:v>
      </x:c>
      <x:c r="K261" s="28" t="str">
        <x:v>Гипотеза / практическая</x:v>
      </x:c>
      <x:c r="L261" s="28" t="str">
        <x:v>Таблица сочетания(1).pdf</x:v>
      </x:c>
      <x:c r="M261" s="28" t="str">
        <x:v>Таблица сочетания(1).pdf: Таблица сочетаний: 13 | Таблица сочетания(1).pdf: 13</x:v>
      </x:c>
    </x:row>
    <x:row r="262" ht="64" customHeight="1">
      <x:c r="A262" s="28" t="str">
        <x:v>STN-0406</x:v>
      </x:c>
      <x:c r="B262" s="28" t="str">
        <x:v>слива</x:v>
      </x:c>
      <x:c r="C262" s="28" t="str">
        <x:v>слива</x:v>
      </x:c>
      <x:c r="D262" s="28" t="str">
        <x:v>шоколад</x:v>
      </x:c>
      <x:c r="E262" s="28" t="str">
        <x:v>Чай, кофе и какао</x:v>
      </x:c>
      <x:c r="F262" s="28" t="str">
        <x:v>комплементарность ароматических семейств, вкусовой контраст и матричный эффект</x:v>
      </x:c>
      <x:c r="G26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яблочно-лимонная кислотность; кожица часто терпкая. Партнёр добавляет: горечь, терпкость и жареная сладость.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водные настои извлекают полифенолы; жир и сахар смягчают горечь.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26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262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62" s="28" t="str">
        <x:v>напиток, соус, десерт или горячее блюдо после пробной дегустации</x:v>
      </x:c>
      <x:c r="K262" s="28" t="str">
        <x:v>Гипотеза / практическая</x:v>
      </x:c>
      <x:c r="L262" s="28" t="str">
        <x:v>Таблица сочетания(1).pdf</x:v>
      </x:c>
      <x:c r="M262" s="28" t="str">
        <x:v>Таблица сочетания(1).pdf: 17</x:v>
      </x:c>
    </x:row>
    <x:row r="263" ht="64" customHeight="1">
      <x:c r="A263" s="28" t="str">
        <x:v>STN-0407</x:v>
      </x:c>
      <x:c r="B263" s="28" t="str">
        <x:v>слива</x:v>
      </x:c>
      <x:c r="C263" s="28" t="str">
        <x:v>слива</x:v>
      </x:c>
      <x:c r="D263" s="28" t="str">
        <x:v>ягоды можжевельника</x:v>
      </x:c>
      <x:c r="E263" s="28" t="str">
        <x:v>Прочее</x:v>
      </x:c>
      <x:c r="F263" s="28" t="str">
        <x:v>комплементарность ароматических семейств, вкусовой контраст и матричный эффект</x:v>
      </x:c>
      <x:c r="G26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Ягоды можжевельника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263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263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63" s="28" t="str">
        <x:v>напиток, соус, десерт или горячее блюдо после пробной дегустации</x:v>
      </x:c>
      <x:c r="K263" s="28" t="str">
        <x:v>Гипотеза / практическая</x:v>
      </x:c>
      <x:c r="L263" s="28" t="str">
        <x:v>Таблица сочетания(1).pdf</x:v>
      </x:c>
      <x:c r="M263" s="28" t="str">
        <x:v>Таблица сочетания(1).pdf: 10</x:v>
      </x:c>
    </x:row>
    <x:row r="264" ht="64" customHeight="1">
      <x:c r="A264" s="28" t="str">
        <x:v>STN-0408</x:v>
      </x:c>
      <x:c r="B264" s="28" t="str">
        <x:v>чернослив</x:v>
      </x:c>
      <x:c r="C264" s="28" t="str">
        <x:v>чернослив</x:v>
      </x:c>
      <x:c r="D264" s="28" t="str">
        <x:v>авокадо</x:v>
      </x:c>
      <x:c r="E264" s="28" t="str">
        <x:v>Тропические фрукты и жирные матрицы</x:v>
      </x:c>
      <x:c r="F264" s="28" t="str">
        <x:v>комплементарность ароматических семейств, вкусовой контраст и матричный эффект</x:v>
      </x:c>
      <x:c r="G26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мягкий, жирный, почти несладкий; лёгкая растительная горечь.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высокожировая эмульсия; хорошо растворяет гидрофобные ароматические молекулы.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26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264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64" s="28" t="str">
        <x:v>напиток, соус, десерт или горячее блюдо после пробной дегустации</x:v>
      </x:c>
      <x:c r="K264" s="28" t="str">
        <x:v>Средняя</x:v>
      </x:c>
      <x:c r="L264" s="28" t="str">
        <x:v>The Art &amp; Science of Foodpairing.pdf</x:v>
      </x:c>
      <x:c r="M264" s="28" t="str">
        <x:v>The Art &amp; Science of Foodpairing.pdf: 354</x:v>
      </x:c>
    </x:row>
    <x:row r="265" ht="64" customHeight="1">
      <x:c r="A265" s="28" t="str">
        <x:v>STN-0409</x:v>
      </x:c>
      <x:c r="B265" s="28" t="str">
        <x:v>чернослив</x:v>
      </x:c>
      <x:c r="C265" s="28" t="str">
        <x:v>чернослив</x:v>
      </x:c>
      <x:c r="D265" s="28" t="str">
        <x:v>ананас</x:v>
      </x:c>
      <x:c r="E265" s="28" t="str">
        <x:v>Тропические фрукты</x:v>
      </x:c>
      <x:c r="F265" s="28" t="str">
        <x:v>комплементарность ароматических семейств, вкусовой контраст и матричный эффект</x:v>
      </x:c>
      <x:c r="G265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Ананас относится к группе «Тропические фрукты» и даёт профиль «яркий фруктовый, конфетный, цитрусовый, зелёный и слегка сернистый»; типичные соединения или классы: метилгексаноат, этилгексаноат, этилбутират, метил-3-(метилтио)пропионат и другие сернистые следы.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выраженная сладость и кислотность; лёгкая терпкость сердцевины.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водная и кислая; содержит протеазу бромелайн, разрушающую белки.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H265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I265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65" s="28" t="str">
        <x:v>напиток, соус, десерт или горячее блюдо после пробной дегустации</x:v>
      </x:c>
      <x:c r="K265" s="28" t="str">
        <x:v>Средняя</x:v>
      </x:c>
      <x:c r="L265" s="28" t="str">
        <x:v>The Art &amp; Science of Foodpairing.pdf</x:v>
      </x:c>
      <x:c r="M265" s="28" t="str">
        <x:v>The Art &amp; Science of Foodpairing.pdf: 242</x:v>
      </x:c>
    </x:row>
    <x:row r="266" ht="64" customHeight="1">
      <x:c r="A266" s="28" t="str">
        <x:v>STN-0410</x:v>
      </x:c>
      <x:c r="B266" s="28" t="str">
        <x:v>чернослив</x:v>
      </x:c>
      <x:c r="C266" s="28" t="str">
        <x:v>чернослив</x:v>
      </x:c>
      <x:c r="D266" s="28" t="str">
        <x:v>анис</x:v>
      </x:c>
      <x:c r="E266" s="28" t="str">
        <x:v>Специи и острые компоненты</x:v>
      </x:c>
      <x:c r="F266" s="28" t="str">
        <x:v>комплементарность ароматических семейств, вкусовой контраст и матричный эффект</x:v>
      </x:c>
      <x:c r="G266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Анис относится к группе «Специи и острые компоненты» и даёт профиль «сладкий лакричный и пряный»; типичные соединения или классы: анетол.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66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66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266" s="28" t="str">
        <x:v>напиток, соус, десерт или горячее блюдо после пробной дегустации</x:v>
      </x:c>
      <x:c r="K266" s="28" t="str">
        <x:v>Гипотеза / практическая</x:v>
      </x:c>
      <x:c r="L266" s="28" t="str">
        <x:v>Таблица сочетания(1).pdf</x:v>
      </x:c>
      <x:c r="M266" s="28" t="str">
        <x:v>Таблица сочетания(1).pdf: 18</x:v>
      </x:c>
    </x:row>
    <x:row r="267" ht="64" customHeight="1">
      <x:c r="A267" s="28" t="str">
        <x:v>STN-0411</x:v>
      </x:c>
      <x:c r="B267" s="28" t="str">
        <x:v>чернослив</x:v>
      </x:c>
      <x:c r="C267" s="28" t="str">
        <x:v>чернослив</x:v>
      </x:c>
      <x:c r="D267" s="28" t="str">
        <x:v>апельсин</x:v>
      </x:c>
      <x:c r="E267" s="28" t="str">
        <x:v>Цитрусовые</x:v>
      </x:c>
      <x:c r="F267" s="28" t="str">
        <x:v>комплементарность ароматических семейств, вкусовой контраст и матричный эффект</x:v>
      </x:c>
      <x:c r="G267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сок водный и кислый, цедра содержит гидрофобные эфирные масла.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67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67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67" s="28" t="str">
        <x:v>сорбет, салат, джем, кордиал, лимонад, коктейль или фруктовый соус</x:v>
      </x:c>
      <x:c r="K267" s="28" t="str">
        <x:v>Гипотеза / практическая</x:v>
      </x:c>
      <x:c r="L267" s="28" t="str">
        <x:v>Таблица сочетания(1).pdf</x:v>
      </x:c>
      <x:c r="M267" s="28" t="str">
        <x:v>Таблица сочетания(1).pdf: Таблица сочетания(1).pdf: 18 | Таблица сочетания(1).pdf: 18</x:v>
      </x:c>
    </x:row>
    <x:row r="268" ht="64" customHeight="1">
      <x:c r="A268" s="28" t="str">
        <x:v>STN-0412</x:v>
      </x:c>
      <x:c r="B268" s="28" t="str">
        <x:v>чернослив</x:v>
      </x:c>
      <x:c r="C268" s="28" t="str">
        <x:v>чернослив</x:v>
      </x:c>
      <x:c r="D268" s="28" t="str">
        <x:v>артишок</x:v>
      </x:c>
      <x:c r="E268" s="28" t="str">
        <x:v>Овощи и грибы</x:v>
      </x:c>
      <x:c r="F268" s="28" t="str">
        <x:v>комплементарность ароматических семейств, вкусовой контраст и матричный эффект</x:v>
      </x:c>
      <x:c r="G268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Артишок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растительный, иногда умами.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высокая доля воды; нагрев меняет зелёный профиль.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68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68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68" s="28" t="str">
        <x:v>напиток, соус, десерт или горячее блюдо после пробной дегустации</x:v>
      </x:c>
      <x:c r="K268" s="28" t="str">
        <x:v>Средняя</x:v>
      </x:c>
      <x:c r="L268" s="28" t="str">
        <x:v>The Art &amp; Science of Foodpairing.pdf</x:v>
      </x:c>
      <x:c r="M268" s="28" t="str">
        <x:v>The Art &amp; Science of Foodpairing.pdf: 328</x:v>
      </x:c>
    </x:row>
    <x:row r="269" ht="64" customHeight="1">
      <x:c r="A269" s="28" t="str">
        <x:v>STN-0413</x:v>
      </x:c>
      <x:c r="B269" s="28" t="str">
        <x:v>чернослив</x:v>
      </x:c>
      <x:c r="C269" s="28" t="str">
        <x:v>чернослив</x:v>
      </x:c>
      <x:c r="D269" s="28" t="str">
        <x:v>базилик</x:v>
      </x:c>
      <x:c r="E269" s="28" t="str">
        <x:v>Травы и цветы</x:v>
      </x:c>
      <x:c r="F269" s="28" t="str">
        <x:v>комплементарность ароматических семейств, вкусовой контраст и матричный эффект</x:v>
      </x:c>
      <x:c r="G26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69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69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69" s="28" t="str">
        <x:v>напиток, соус, десерт или горячее блюдо после пробной дегустации</x:v>
      </x:c>
      <x:c r="K269" s="28" t="str">
        <x:v>Средняя</x:v>
      </x:c>
      <x:c r="L269" s="28" t="str">
        <x:v>The Art &amp; Science of Foodpairing.pdf</x:v>
      </x:c>
      <x:c r="M269" s="28" t="str">
        <x:v>The Art &amp; Science of Foodpairing.pdf: 75</x:v>
      </x:c>
    </x:row>
    <x:row r="270" ht="64" customHeight="1">
      <x:c r="A270" s="28" t="str">
        <x:v>STN-0414</x:v>
      </x:c>
      <x:c r="B270" s="28" t="str">
        <x:v>чернослив</x:v>
      </x:c>
      <x:c r="C270" s="28" t="str">
        <x:v>чернослив</x:v>
      </x:c>
      <x:c r="D270" s="28" t="str">
        <x:v>бри</x:v>
      </x:c>
      <x:c r="E270" s="28" t="str">
        <x:v>Прочее</x:v>
      </x:c>
      <x:c r="F270" s="28" t="str">
        <x:v>комплементарность ароматических семейств, вкусовой контраст и матричный эффект</x:v>
      </x:c>
      <x:c r="G27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Бри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важны вода, жир, белок, сахар и температура.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270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270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70" s="28" t="str">
        <x:v>напиток, соус, десерт или горячее блюдо после пробной дегустации</x:v>
      </x:c>
      <x:c r="K270" s="28" t="str">
        <x:v>Средняя</x:v>
      </x:c>
      <x:c r="L270" s="28" t="str">
        <x:v>The Art &amp; Science of Foodpairing.pdf</x:v>
      </x:c>
      <x:c r="M270" s="28" t="str">
        <x:v>The Art &amp; Science of Foodpairing.pdf: 336</x:v>
      </x:c>
    </x:row>
    <x:row r="271" ht="64" customHeight="1">
      <x:c r="A271" s="28" t="str">
        <x:v>STN-0415</x:v>
      </x:c>
      <x:c r="B271" s="28" t="str">
        <x:v>чернослив</x:v>
      </x:c>
      <x:c r="C271" s="28" t="str">
        <x:v>чернослив</x:v>
      </x:c>
      <x:c r="D271" s="28" t="str">
        <x:v>гвоздика</x:v>
      </x:c>
      <x:c r="E271" s="28" t="str">
        <x:v>Специи и острые компоненты</x:v>
      </x:c>
      <x:c r="F271" s="28" t="str">
        <x:v>комплементарность ароматических семейств, вкусовой контраст и матричный эффект</x:v>
      </x:c>
      <x:c r="G27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Гвоздика относится к группе «Специи и острые компоненты» и даёт профиль «тёплый, фенольный и пряный»; типичные соединения или классы: эвгенол, эвгенилацетат.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71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71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271" s="28" t="str">
        <x:v>напиток, соус, десерт или горячее блюдо после пробной дегустации</x:v>
      </x:c>
      <x:c r="K271" s="28" t="str">
        <x:v>Гипотеза / практическая</x:v>
      </x:c>
      <x:c r="L271" s="28" t="str">
        <x:v>Таблица сочетания(1).pdf</x:v>
      </x:c>
      <x:c r="M271" s="28" t="str">
        <x:v>Таблица сочетания(1).pdf: 5 | Таблица сочетания(1).pdf: 18</x:v>
      </x:c>
    </x:row>
    <x:row r="272" ht="64" customHeight="1">
      <x:c r="A272" s="28" t="str">
        <x:v>STN-0417</x:v>
      </x:c>
      <x:c r="B272" s="28" t="str">
        <x:v>чернослив</x:v>
      </x:c>
      <x:c r="C272" s="28" t="str">
        <x:v>чернослив</x:v>
      </x:c>
      <x:c r="D272" s="28" t="str">
        <x:v>груша</x:v>
      </x:c>
      <x:c r="E272" s="28" t="str">
        <x:v>Семечковые фрукты</x:v>
      </x:c>
      <x:c r="F272" s="28" t="str">
        <x:v>комплементарность ароматических семейств, вкусовой контраст и матричный эффект</x:v>
      </x:c>
      <x:c r="G27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Груша относится к группе «Семечковые фрукты» и даёт профиль «сочный фруктовый, цветочный, медовый, зелёный; у зрелых сортов — винный и пряный»; типичные соединения или классы: этил (E,Z)-2,4-декадиеноат («грушевый эфир»), гексилацетат, бутилацетат, гексаналь, линалоол. По доступным материалам нельзя уверенно свести совместимость к одной общей молекуле. Общие ароматические направления: фруктовый, винный. Базовый фрукт даёт: высокая сладость, мягкая кислотность и плотная сухофруктовая насыщенность. Партнёр добавляет: мягкая сладость, умеренная кислотность, иногда лёгкая зернистость и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водная, богатая пектином и каменистыми клетками; летучие эфиры чувствительны к перегреву.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H272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I272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72" s="28" t="str">
        <x:v>напиток, соус, десерт или горячее блюдо после пробной дегустации</x:v>
      </x:c>
      <x:c r="K272" s="28" t="str">
        <x:v>Гипотеза / практическая</x:v>
      </x:c>
      <x:c r="L272" s="28" t="str">
        <x:v>Таблица сочетания(1).pdf</x:v>
      </x:c>
      <x:c r="M272" s="28" t="str">
        <x:v>Таблица сочетания(1).pdf: Таблица сочетаний: 18 | Таблица сочетания(1).pdf: 18</x:v>
      </x:c>
    </x:row>
    <x:row r="273" ht="64" customHeight="1">
      <x:c r="A273" s="28" t="str">
        <x:v>STN-0419</x:v>
      </x:c>
      <x:c r="B273" s="28" t="str">
        <x:v>чернослив</x:v>
      </x:c>
      <x:c r="C273" s="28" t="str">
        <x:v>чернослив</x:v>
      </x:c>
      <x:c r="D273" s="28" t="str">
        <x:v>изюм</x:v>
      </x:c>
      <x:c r="E273" s="28" t="str">
        <x:v>Фрукты</x:v>
      </x:c>
      <x:c r="F273" s="28" t="str">
        <x:v>комплементарность ароматических семейств, вкусовой контраст и матричный эффект</x:v>
      </x:c>
      <x:c r="G27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Изюм относится к группе «Фрукты» и даёт профиль «зелёный, фруктовый, цветочный»; типичные соединения или классы: лактоны, терпены, эфиры. По доступным материалам нельзя уверенно свести совместимость к одной общей молекуле. Общие ароматические направления: фруктовый.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водная фруктовая матрица.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73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73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73" s="28" t="str">
        <x:v>сорбет, салат, джем, кордиал, лимонад, коктейль или фруктовый соус</x:v>
      </x:c>
      <x:c r="K273" s="28" t="str">
        <x:v>Гипотеза / практическая</x:v>
      </x:c>
      <x:c r="L273" s="28" t="str">
        <x:v>Таблица сочетания(1).pdf</x:v>
      </x:c>
      <x:c r="M273" s="28" t="str">
        <x:v>Таблица сочетания(1).pdf: 18</x:v>
      </x:c>
    </x:row>
    <x:row r="274" ht="64" customHeight="1">
      <x:c r="A274" s="28" t="str">
        <x:v>STN-0420</x:v>
      </x:c>
      <x:c r="B274" s="28" t="str">
        <x:v>чернослив</x:v>
      </x:c>
      <x:c r="C274" s="28" t="str">
        <x:v>чернослив</x:v>
      </x:c>
      <x:c r="D274" s="28" t="str">
        <x:v>имбирь</x:v>
      </x:c>
      <x:c r="E274" s="28" t="str">
        <x:v>Специи и острые компоненты</x:v>
      </x:c>
      <x:c r="F274" s="28" t="str">
        <x:v>комплементарность ароматических семейств, вкусовой контраст и матричный эффект</x:v>
      </x:c>
      <x:c r="G27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74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74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274" s="28" t="str">
        <x:v>напиток, соус, десерт или горячее блюдо после пробной дегустации</x:v>
      </x:c>
      <x:c r="K274" s="28" t="str">
        <x:v>Гипотеза / практическая</x:v>
      </x:c>
      <x:c r="L274" s="28" t="str">
        <x:v>Таблица сочетания(1).pdf</x:v>
      </x:c>
      <x:c r="M274" s="28" t="str">
        <x:v>Таблица сочетания(1).pdf: 18</x:v>
      </x:c>
    </x:row>
    <x:row r="275" ht="64" customHeight="1">
      <x:c r="A275" s="28" t="str">
        <x:v>STN-0421</x:v>
      </x:c>
      <x:c r="B275" s="28" t="str">
        <x:v>чернослив</x:v>
      </x:c>
      <x:c r="C275" s="28" t="str">
        <x:v>чернослив</x:v>
      </x:c>
      <x:c r="D275" s="28" t="str">
        <x:v>инжир</x:v>
      </x:c>
      <x:c r="E275" s="28" t="str">
        <x:v>Субтропические фрукты</x:v>
      </x:c>
      <x:c r="F275" s="28" t="str">
        <x:v>прямое или классовое перекрытие характерных одорантов + вкусовой баланс</x:v>
      </x:c>
      <x:c r="G275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бензальдегид. Базовый фрукт даёт: высокая сладость, мягкая кислотность и плотная сухофруктовая насыщенность. Партнёр добавляет: высокая сладость, низкая кислотность; семена дают хруст.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пектиновая и сахаристая; сушёный инжир концентрирует сахар, фенолы и карамельные ноты.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275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275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75" s="28" t="str">
        <x:v>напиток, соус, десерт или горячее блюдо после пробной дегустации</x:v>
      </x:c>
      <x:c r="K275" s="28" t="str">
        <x:v>Гипотеза / практическая</x:v>
      </x:c>
      <x:c r="L275" s="28" t="str">
        <x:v>Таблица сочетания(1).pdf</x:v>
      </x:c>
      <x:c r="M275" s="28" t="str">
        <x:v>Таблица сочетания(1).pdf: Таблица сочетаний: 18, 8 | Таблица сочетания(1).pdf: 8 | Таблица сочетания(1).pdf: 18</x:v>
      </x:c>
    </x:row>
    <x:row r="276" ht="64" customHeight="1">
      <x:c r="A276" s="28" t="str">
        <x:v>STN-0422</x:v>
      </x:c>
      <x:c r="B276" s="28" t="str">
        <x:v>чернослив</x:v>
      </x:c>
      <x:c r="C276" s="28" t="str">
        <x:v>чернослив</x:v>
      </x:c>
      <x:c r="D276" s="28" t="str">
        <x:v>карамель</x:v>
      </x:c>
      <x:c r="E276" s="28" t="str">
        <x:v>Сахара, мёд и кондитерские основы</x:v>
      </x:c>
      <x:c r="F276" s="28" t="str">
        <x:v>прямое или классовое перекрытие характерных одорантов + вкусовой баланс</x:v>
      </x:c>
      <x:c r="G276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В рабочих профилях пересекаются: фурфурол, мальтол. 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76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76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76" s="28" t="str">
        <x:v>напиток, соус, десерт или горячее блюдо после пробной дегустации</x:v>
      </x:c>
      <x:c r="K276" s="28" t="str">
        <x:v>Гипотеза / практическая</x:v>
      </x:c>
      <x:c r="L276" s="28" t="str">
        <x:v>Таблица сочетания(1).pdf</x:v>
      </x:c>
      <x:c r="M276" s="28" t="str">
        <x:v>Таблица сочетания(1).pdf: 18</x:v>
      </x:c>
    </x:row>
    <x:row r="277" ht="64" customHeight="1">
      <x:c r="A277" s="28" t="str">
        <x:v>STN-0424</x:v>
      </x:c>
      <x:c r="B277" s="28" t="str">
        <x:v>чернослив</x:v>
      </x:c>
      <x:c r="C277" s="28" t="str">
        <x:v>чернослив</x:v>
      </x:c>
      <x:c r="D277" s="28" t="str">
        <x:v>каштан</x:v>
      </x:c>
      <x:c r="E277" s="28" t="str">
        <x:v>Прочее</x:v>
      </x:c>
      <x:c r="F277" s="28" t="str">
        <x:v>комплементарность ароматических семейств, вкусовой контраст и матричный эффект</x:v>
      </x:c>
      <x:c r="G277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Каштан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важны вода, жир, белок, сахар и температура.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277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277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77" s="28" t="str">
        <x:v>напиток, соус, десерт или горячее блюдо после пробной дегустации</x:v>
      </x:c>
      <x:c r="K277" s="28" t="str">
        <x:v>Гипотеза / практическая</x:v>
      </x:c>
      <x:c r="L277" s="28" t="str">
        <x:v>Таблица сочетания(1).pdf</x:v>
      </x:c>
      <x:c r="M277" s="28" t="str">
        <x:v>Таблица сочетания(1).pdf: 4 | Таблица сочетания(1).pdf: 18</x:v>
      </x:c>
    </x:row>
    <x:row r="278" ht="64" customHeight="1">
      <x:c r="A278" s="28" t="str">
        <x:v>STN-0425</x:v>
      </x:c>
      <x:c r="B278" s="28" t="str">
        <x:v>чернослив</x:v>
      </x:c>
      <x:c r="C278" s="28" t="str">
        <x:v>чернослив</x:v>
      </x:c>
      <x:c r="D278" s="28" t="str">
        <x:v>кленовый сироп</x:v>
      </x:c>
      <x:c r="E278" s="28" t="str">
        <x:v>Сахара, мёд и кондитерские основы</x:v>
      </x:c>
      <x:c r="F278" s="28" t="str">
        <x:v>прямое или классовое перекрытие характерных одорантов + вкусовой баланс</x:v>
      </x:c>
      <x:c r="G278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В рабочих профилях пересекаются: фурфурол, мальтол. Общие ароматические направления: карамельный. 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78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78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78" s="28" t="str">
        <x:v>напиток, соус, десерт или горячее блюдо после пробной дегустации</x:v>
      </x:c>
      <x:c r="K278" s="28" t="str">
        <x:v>Гипотеза / практическая</x:v>
      </x:c>
      <x:c r="L278" s="28" t="str">
        <x:v>Таблица сочетания(1).pdf</x:v>
      </x:c>
      <x:c r="M278" s="28" t="str">
        <x:v>Таблица сочетания(1).pdf: 18</x:v>
      </x:c>
    </x:row>
    <x:row r="279" ht="64" customHeight="1">
      <x:c r="A279" s="28" t="str">
        <x:v>STN-0426</x:v>
      </x:c>
      <x:c r="B279" s="28" t="str">
        <x:v>чернослив</x:v>
      </x:c>
      <x:c r="C279" s="28" t="str">
        <x:v>чернослив</x:v>
      </x:c>
      <x:c r="D279" s="28" t="str">
        <x:v>кокос</x:v>
      </x:c>
      <x:c r="E279" s="28" t="str">
        <x:v>Тропические фрукты и жирные матрицы</x:v>
      </x:c>
      <x:c r="F279" s="28" t="str">
        <x:v>комплементарность ароматических семейств, вкусовой контраст и матричный эффект</x:v>
      </x:c>
      <x:c r="G27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богатая жиром эмульсия; хорошо растворяет гидрофобные терпены, специи и ароматические масла.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279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279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79" s="28" t="str">
        <x:v>напиток, соус, десерт или горячее блюдо после пробной дегустации</x:v>
      </x:c>
      <x:c r="K279" s="28" t="str">
        <x:v>Средняя</x:v>
      </x:c>
      <x:c r="L279" s="28" t="str">
        <x:v>The Art &amp; Science of Foodpairing.pdf</x:v>
      </x:c>
      <x:c r="M279" s="28" t="str">
        <x:v>The Art &amp; Science of Foodpairing.pdf: 135</x:v>
      </x:c>
    </x:row>
    <x:row r="280" ht="64" customHeight="1">
      <x:c r="A280" s="28" t="str">
        <x:v>STN-0427</x:v>
      </x:c>
      <x:c r="B280" s="28" t="str">
        <x:v>чернослив</x:v>
      </x:c>
      <x:c r="C280" s="28" t="str">
        <x:v>чернослив</x:v>
      </x:c>
      <x:c r="D280" s="28" t="str">
        <x:v>корица</x:v>
      </x:c>
      <x:c r="E280" s="28" t="str">
        <x:v>Специи и острые компоненты</x:v>
      </x:c>
      <x:c r="F280" s="28" t="str">
        <x:v>комплементарность ароматических семейств, вкусовой контраст и матричный эффект</x:v>
      </x:c>
      <x:c r="G28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80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80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280" s="28" t="str">
        <x:v>напиток, соус, десерт или горячее блюдо после пробной дегустации</x:v>
      </x:c>
      <x:c r="K280" s="28" t="str">
        <x:v>Гипотеза / практическая</x:v>
      </x:c>
      <x:c r="L280" s="28" t="str">
        <x:v>Таблица сочетания(1).pdf</x:v>
      </x:c>
      <x:c r="M280" s="28" t="str">
        <x:v>Таблица сочетания(1).pdf: 18</x:v>
      </x:c>
    </x:row>
    <x:row r="281" ht="64" customHeight="1">
      <x:c r="A281" s="28" t="str">
        <x:v>STN-0428</x:v>
      </x:c>
      <x:c r="B281" s="28" t="str">
        <x:v>чернослив</x:v>
      </x:c>
      <x:c r="C281" s="28" t="str">
        <x:v>чернослив</x:v>
      </x:c>
      <x:c r="D281" s="28" t="str">
        <x:v>лимон</x:v>
      </x:c>
      <x:c r="E281" s="28" t="str">
        <x:v>Цитрусовые</x:v>
      </x:c>
      <x:c r="F281" s="28" t="str">
        <x:v>комплементарность ароматических семейств, вкусовой контраст и матричный эффект</x:v>
      </x:c>
      <x:c r="G28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сок водный и кислый, цедра содержит гидрофобные эфирные масла.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81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81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81" s="28" t="str">
        <x:v>сорбет, салат, джем, кордиал, лимонад, коктейль или фруктовый соус</x:v>
      </x:c>
      <x:c r="K281" s="28" t="str">
        <x:v>Гипотеза / практическая</x:v>
      </x:c>
      <x:c r="L281" s="28" t="str">
        <x:v>Таблица сочетания(1).pdf</x:v>
      </x:c>
      <x:c r="M281" s="28" t="str">
        <x:v>Таблица сочетания(1).pdf: Таблица сочетания(1).pdf: 18 | Таблица сочетания(1).pdf: 18</x:v>
      </x:c>
    </x:row>
    <x:row r="282" ht="64" customHeight="1">
      <x:c r="A282" s="28" t="str">
        <x:v>STN-0429</x:v>
      </x:c>
      <x:c r="B282" s="28" t="str">
        <x:v>чернослив</x:v>
      </x:c>
      <x:c r="C282" s="28" t="str">
        <x:v>чернослив</x:v>
      </x:c>
      <x:c r="D282" s="28" t="str">
        <x:v>мед</x:v>
      </x:c>
      <x:c r="E282" s="28" t="str">
        <x:v>Сахара, мёд и кондитерские основы</x:v>
      </x:c>
      <x:c r="F282" s="28" t="str">
        <x:v>комплементарность ароматических семейств, вкусовой контраст и матричный эффект</x:v>
      </x:c>
      <x:c r="G28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карамельный. 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82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82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82" s="28" t="str">
        <x:v>напиток, соус, десерт или горячее блюдо после пробной дегустации</x:v>
      </x:c>
      <x:c r="K282" s="28" t="str">
        <x:v>Гипотеза / практическая</x:v>
      </x:c>
      <x:c r="L282" s="28" t="str">
        <x:v>Таблица сочетания(1).pdf</x:v>
      </x:c>
      <x:c r="M282" s="28" t="str">
        <x:v>Таблица сочетания(1).pdf: 18</x:v>
      </x:c>
    </x:row>
    <x:row r="283" ht="64" customHeight="1">
      <x:c r="A283" s="28" t="str">
        <x:v>STN-0431</x:v>
      </x:c>
      <x:c r="B283" s="28" t="str">
        <x:v>чернослив</x:v>
      </x:c>
      <x:c r="C283" s="28" t="str">
        <x:v>чернослив</x:v>
      </x:c>
      <x:c r="D283" s="28" t="str">
        <x:v>мята</x:v>
      </x:c>
      <x:c r="E283" s="28" t="str">
        <x:v>Травы и цветы</x:v>
      </x:c>
      <x:c r="F283" s="28" t="str">
        <x:v>комплементарность ароматических семейств, вкусовой контраст и матричный эффект</x:v>
      </x:c>
      <x:c r="G28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83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83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83" s="28" t="str">
        <x:v>напиток, соус, десерт или горячее блюдо после пробной дегустации</x:v>
      </x:c>
      <x:c r="K283" s="28" t="str">
        <x:v>Гипотеза / практическая</x:v>
      </x:c>
      <x:c r="L283" s="28" t="str">
        <x:v>Таблица сочетания(1).pdf</x:v>
      </x:c>
      <x:c r="M283" s="28" t="str">
        <x:v>Таблица сочетания(1).pdf: 18</x:v>
      </x:c>
    </x:row>
    <x:row r="284" ht="64" customHeight="1">
      <x:c r="A284" s="28" t="str">
        <x:v>STN-0433</x:v>
      </x:c>
      <x:c r="B284" s="28" t="str">
        <x:v>чернослив</x:v>
      </x:c>
      <x:c r="C284" s="28" t="str">
        <x:v>чернослив</x:v>
      </x:c>
      <x:c r="D284" s="28" t="str">
        <x:v>розмарин</x:v>
      </x:c>
      <x:c r="E284" s="28" t="str">
        <x:v>Травы и цветы</x:v>
      </x:c>
      <x:c r="F284" s="28" t="str">
        <x:v>комплементарность ароматических семейств, вкусовой контраст и матричный эффект</x:v>
      </x:c>
      <x:c r="G28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Розмарин относится к группе «Травы и цветы» и даёт профиль «хвойный, камфорный и древесный»; типичные соединения или классы: 1,8-цинеол, камфора, α-пинен.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8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84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84" s="28" t="str">
        <x:v>напиток, соус, десерт или горячее блюдо после пробной дегустации</x:v>
      </x:c>
      <x:c r="K284" s="28" t="str">
        <x:v>Гипотеза / практическая</x:v>
      </x:c>
      <x:c r="L284" s="28" t="str">
        <x:v>Таблица сочетания(1).pdf</x:v>
      </x:c>
      <x:c r="M284" s="28" t="str">
        <x:v>Таблица сочетания(1).pdf: 18</x:v>
      </x:c>
    </x:row>
    <x:row r="285" ht="64" customHeight="1">
      <x:c r="A285" s="28" t="str">
        <x:v>STN-0434</x:v>
      </x:c>
      <x:c r="B285" s="28" t="str">
        <x:v>чернослив</x:v>
      </x:c>
      <x:c r="C285" s="28" t="str">
        <x:v>чернослив</x:v>
      </x:c>
      <x:c r="D285" s="28" t="str">
        <x:v>свиная корейка</x:v>
      </x:c>
      <x:c r="E285" s="28" t="str">
        <x:v>Прочее</x:v>
      </x:c>
      <x:c r="F285" s="28" t="str">
        <x:v>комплементарность ароматических семейств, вкусовой контраст и матричный эффект</x:v>
      </x:c>
      <x:c r="G285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баланс зависит от продукта.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матрица зависит от формы продукта.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H285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I285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85" s="28" t="str">
        <x:v>напиток, соус, десерт или горячее блюдо после пробной дегустации</x:v>
      </x:c>
      <x:c r="K285" s="28" t="str">
        <x:v>Средняя</x:v>
      </x:c>
      <x:c r="L285" s="28" t="str">
        <x:v>The Art &amp; Science of Foodpairing.pdf</x:v>
      </x:c>
      <x:c r="M285" s="28" t="str">
        <x:v>The Art &amp; Science of Foodpairing.pdf: 186</x:v>
      </x:c>
    </x:row>
    <x:row r="286" ht="64" customHeight="1">
      <x:c r="A286" s="28" t="str">
        <x:v>STN-0435</x:v>
      </x:c>
      <x:c r="B286" s="28" t="str">
        <x:v>чернослив</x:v>
      </x:c>
      <x:c r="C286" s="28" t="str">
        <x:v>чернослив</x:v>
      </x:c>
      <x:c r="D286" s="28" t="str">
        <x:v>смородина</x:v>
      </x:c>
      <x:c r="E286" s="28" t="str">
        <x:v>Ягоды</x:v>
      </x:c>
      <x:c r="F286" s="28" t="str">
        <x:v>комплементарность ароматических семейств, вкусовой контраст и матричный эффект</x:v>
      </x:c>
      <x:c r="G286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фруктовый.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водная пектиновая; антоцианы влияют на цвет, но не являются главными одорантами.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86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86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86" s="28" t="str">
        <x:v>сорбет, салат, джем, кордиал, лимонад, коктейль или фруктовый соус</x:v>
      </x:c>
      <x:c r="K286" s="28" t="str">
        <x:v>Гипотеза / практическая</x:v>
      </x:c>
      <x:c r="L286" s="28" t="str">
        <x:v>Таблица сочетания(1).pdf</x:v>
      </x:c>
      <x:c r="M286" s="28" t="str">
        <x:v>Таблица сочетания(1).pdf: Таблица сочетаний: 18 | Таблица сочетания(1).pdf: 18</x:v>
      </x:c>
    </x:row>
    <x:row r="287" ht="64" customHeight="1">
      <x:c r="A287" s="28" t="str">
        <x:v>STN-0436</x:v>
      </x:c>
      <x:c r="B287" s="28" t="str">
        <x:v>чернослив</x:v>
      </x:c>
      <x:c r="C287" s="28" t="str">
        <x:v>чернослив</x:v>
      </x:c>
      <x:c r="D287" s="28" t="str">
        <x:v>темный шоколад</x:v>
      </x:c>
      <x:c r="E287" s="28" t="str">
        <x:v>Чай, кофе и какао</x:v>
      </x:c>
      <x:c r="F287" s="28" t="str">
        <x:v>комплементарность ароматических семейств, вкусовой контраст и матричный эффект</x:v>
      </x:c>
      <x:c r="G287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Темный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горечь, терпкость и жареная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водные настои извлекают полифенолы; жир и сахар смягчают горечь.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287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287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87" s="28" t="str">
        <x:v>напиток, соус, десерт или горячее блюдо после пробной дегустации</x:v>
      </x:c>
      <x:c r="K287" s="28" t="str">
        <x:v>Гипотеза / практическая</x:v>
      </x:c>
      <x:c r="L287" s="28" t="str">
        <x:v>Таблица сочетания(1).pdf</x:v>
      </x:c>
      <x:c r="M287" s="28" t="str">
        <x:v>Таблица сочетания(1).pdf: 18</x:v>
      </x:c>
    </x:row>
    <x:row r="288" ht="64" customHeight="1">
      <x:c r="A288" s="28" t="str">
        <x:v>STN-0437</x:v>
      </x:c>
      <x:c r="B288" s="28" t="str">
        <x:v>чернослив</x:v>
      </x:c>
      <x:c r="C288" s="28" t="str">
        <x:v>чернослив</x:v>
      </x:c>
      <x:c r="D288" s="28" t="str">
        <x:v>финик</x:v>
      </x:c>
      <x:c r="E288" s="28" t="str">
        <x:v>Сухофрукты и тропические плоды</x:v>
      </x:c>
      <x:c r="F288" s="28" t="str">
        <x:v>комплементарность ароматических семейств, вкусовой контраст и матричный эффект</x:v>
      </x:c>
      <x:c r="G288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Финик относится к группе «Сухофрукты и тропические плоды» и даёт профиль «медовый, карамельный, сухофруктовый, ореховый и пряный»; типичные соединения или классы: фураны, альдегиды Стреккера, фенольные соединения и продукты карамелизации. По доступным материалам нельзя уверенно свести совместимость к одной общей молекуле. Общие ароматические направления: фруктовый, карамельный. Базовый фрукт даёт: высокая сладость, мягкая кислотность и плотная сухофруктовая насыщенность. Партнёр добавляет: очень высокая сладость, низкая кислотность.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плотная сахаристая и вязкая; хорошо связывает жир и специи.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H288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I288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88" s="28" t="str">
        <x:v>напиток, соус, десерт или горячее блюдо после пробной дегустации</x:v>
      </x:c>
      <x:c r="K288" s="28" t="str">
        <x:v>Гипотеза / практическая</x:v>
      </x:c>
      <x:c r="L288" s="28" t="str">
        <x:v>Таблица сочетания(1).pdf</x:v>
      </x:c>
      <x:c r="M288" s="28" t="str">
        <x:v>Таблица сочетания(1).pdf: Таблица сочетаний: 18, 7 | Таблица сочетания(1).pdf: 7 | Таблица сочетания(1).pdf: 18</x:v>
      </x:c>
    </x:row>
    <x:row r="289" ht="64" customHeight="1">
      <x:c r="A289" s="28" t="str">
        <x:v>STN-0440</x:v>
      </x:c>
      <x:c r="B289" s="28" t="str">
        <x:v>чернослив</x:v>
      </x:c>
      <x:c r="C289" s="28" t="str">
        <x:v>чернослив</x:v>
      </x:c>
      <x:c r="D289" s="28" t="str">
        <x:v>черная смородина</x:v>
      </x:c>
      <x:c r="E289" s="28" t="str">
        <x:v>Ягоды</x:v>
      </x:c>
      <x:c r="F289" s="28" t="str">
        <x:v>комплементарность ароматических семейств, вкусовой контраст и матричный эффект</x:v>
      </x:c>
      <x:c r="G28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Черная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фруктовый.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водная пектиновая; антоцианы влияют на цвет, но не являются главными одорантами.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89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89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89" s="28" t="str">
        <x:v>сорбет, салат, джем, кордиал, лимонад, коктейль или фруктовый соус</x:v>
      </x:c>
      <x:c r="K289" s="28" t="str">
        <x:v>Гипотеза / практическая</x:v>
      </x:c>
      <x:c r="L289" s="28" t="str">
        <x:v>Таблица сочетания(1).pdf</x:v>
      </x:c>
      <x:c r="M289" s="28" t="str">
        <x:v>Таблица сочетания(1).pdf: Таблица сочетаний: 2 | Таблица сочетания(1).pdf: 2</x:v>
      </x:c>
    </x:row>
    <x:row r="290" ht="64" customHeight="1">
      <x:c r="A290" s="28" t="str">
        <x:v>STN-0442</x:v>
      </x:c>
      <x:c r="B290" s="28" t="str">
        <x:v>чернослив</x:v>
      </x:c>
      <x:c r="C290" s="28" t="str">
        <x:v>чернослив</x:v>
      </x:c>
      <x:c r="D290" s="28" t="str">
        <x:v>шоколад</x:v>
      </x:c>
      <x:c r="E290" s="28" t="str">
        <x:v>Чай, кофе и какао</x:v>
      </x:c>
      <x:c r="F290" s="28" t="str">
        <x:v>комплементарность ароматических семейств, вкусовой контраст и матричный эффект</x:v>
      </x:c>
      <x:c r="G29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горечь, терпкость и жареная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водные настои извлекают полифенолы; жир и сахар смягчают горечь.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290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290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90" s="28" t="str">
        <x:v>напиток, соус, десерт или горячее блюдо после пробной дегустации</x:v>
      </x:c>
      <x:c r="K290" s="28" t="str">
        <x:v>Средняя</x:v>
      </x:c>
      <x:c r="L290" s="28" t="str">
        <x:v>The Art &amp; Science of Foodpairing.pdf</x:v>
      </x:c>
      <x:c r="M290" s="28" t="str">
        <x:v>The Art &amp; Science of Foodpairing.pdf: 62</x:v>
      </x:c>
    </x:row>
    <x:row r="291" ht="64" customHeight="1">
      <x:c r="A291" s="28" t="str">
        <x:v>STN-0443</x:v>
      </x:c>
      <x:c r="B291" s="28" t="str">
        <x:v>чернослив</x:v>
      </x:c>
      <x:c r="C291" s="28" t="str">
        <x:v>чернослив</x:v>
      </x:c>
      <x:c r="D291" s="28" t="str">
        <x:v>яблоко</x:v>
      </x:c>
      <x:c r="E291" s="28" t="str">
        <x:v>Семечковые фрукты</x:v>
      </x:c>
      <x:c r="F291" s="28" t="str">
        <x:v>комплементарность ароматических семейств, вкусовой контраст и матричный эффект</x:v>
      </x:c>
      <x:c r="G29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Яблоко относится к группе «Семечковые фрукты» и даёт профиль «свежий фруктовый, зелёный, цветочный, пряный; профиль сильно зависит от сорта и зрелости»; типичные соединения или классы: гексилацетат, бутил ацетат, этил-2-метилбутират, гексаналь, транс-2-гексеналь, β-дамасценон.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сладость и яблочная кислота; иногда лёгкая терпкость кожицы.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водная, с пектином; низкое содержание жира; ароматические эфиры быстро теряются после разрезания.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H291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I291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291" s="28" t="str">
        <x:v>напиток, соус, десерт или горячее блюдо после пробной дегустации</x:v>
      </x:c>
      <x:c r="K291" s="28" t="str">
        <x:v>Гипотеза / практическая</x:v>
      </x:c>
      <x:c r="L291" s="28" t="str">
        <x:v>Таблица сочетания(1).pdf</x:v>
      </x:c>
      <x:c r="M291" s="28" t="str">
        <x:v>Таблица сочетания(1).pdf: Таблица сочетаний: 18 | Таблица сочетания(1).pdf: 18</x:v>
      </x:c>
    </x:row>
    <x:row r="292" ht="64" customHeight="1">
      <x:c r="A292" s="28" t="str">
        <x:v>STN-0444</x:v>
      </x:c>
      <x:c r="B292" s="28" t="str">
        <x:v>уме</x:v>
      </x:c>
      <x:c r="C292" s="28" t="str">
        <x:v>уме</x:v>
      </x:c>
      <x:c r="D292" s="28" t="str">
        <x:v>авокадо</x:v>
      </x:c>
      <x:c r="E292" s="28" t="str">
        <x:v>Тропические фрукты и жирные матрицы</x:v>
      </x:c>
      <x:c r="F292" s="28" t="str">
        <x:v>комплементарность ароматических семейств, вкусовой контраст и матричный эффект</x:v>
      </x:c>
      <x:c r="G292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Общие ароматические направления: зелёный. Базовый фрукт даёт: высокая кислотность; у умэбоси — соль и выраженная ферментированная умами-нота. Партнёр добавляет: мягкий, жирный, почти несладкий; лёгкая растительная горечь. Баланс корректируется сахаром, кислотой, солью и горечью. Матрица пары: водная и кислотная; в умэбоси — концентрированная соль и полифенолы. Партнёр: высокожировая эмульсия; хорошо растворяет гидрофобные ароматические молекулы.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292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292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292" s="28" t="str">
        <x:v>напиток, соус, десерт или горячее блюдо после пробной дегустации</x:v>
      </x:c>
      <x:c r="K292" s="28" t="str">
        <x:v>Средняя</x:v>
      </x:c>
      <x:c r="L292" s="28" t="str">
        <x:v>The Art &amp; Science of Foodpairing.pdf</x:v>
      </x:c>
      <x:c r="M292" s="28" t="str">
        <x:v>The Art &amp; Science of Foodpairing.pdf: 354</x:v>
      </x:c>
    </x:row>
    <x:row r="293" ht="64" customHeight="1">
      <x:c r="A293" s="28" t="str">
        <x:v>STN-0445</x:v>
      </x:c>
      <x:c r="B293" s="28" t="str">
        <x:v>уме</x:v>
      </x:c>
      <x:c r="C293" s="28" t="str">
        <x:v>уме</x:v>
      </x:c>
      <x:c r="D293" s="28" t="str">
        <x:v>голубика</x:v>
      </x:c>
      <x:c r="E293" s="28" t="str">
        <x:v>Ягоды</x:v>
      </x:c>
      <x:c r="F293" s="28" t="str">
        <x:v>прямое или классовое перекрытие характерных одорантов + вкусовой баланс</x:v>
      </x:c>
      <x:c r="G293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водная пектиновая; антоцианы влияют на цвет, но не являются главными одорантами.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93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93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293" s="28" t="str">
        <x:v>сорбет, салат, джем, кордиал, лимонад, коктейль или фруктовый соус</x:v>
      </x:c>
      <x:c r="K293" s="28" t="str">
        <x:v>Средняя</x:v>
      </x:c>
      <x:c r="L293" s="28" t="str">
        <x:v>The Art &amp; Science of Foodpairing.pdf</x:v>
      </x:c>
      <x:c r="M293" s="28" t="str">
        <x:v>The Art &amp; Science of Foodpairing.pdf: The Art &amp; Science of Foodpairing: 205 | The Art &amp; Science of Foodpairing.pdf: 205</x:v>
      </x:c>
    </x:row>
    <x:row r="294" ht="64" customHeight="1">
      <x:c r="A294" s="28" t="str">
        <x:v>STN-0446</x:v>
      </x:c>
      <x:c r="B294" s="28" t="str">
        <x:v>уме</x:v>
      </x:c>
      <x:c r="C294" s="28" t="str">
        <x:v>уме</x:v>
      </x:c>
      <x:c r="D294" s="28" t="str">
        <x:v>грейпфрут</x:v>
      </x:c>
      <x:c r="E294" s="28" t="str">
        <x:v>Цитрусовые</x:v>
      </x:c>
      <x:c r="F294" s="28" t="str">
        <x:v>прямое или классовое перекрытие характерных одорантов + вкусовой баланс</x:v>
      </x:c>
      <x:c r="G294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Грейпфрут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сок водный и кислый, цедра содержит гидрофобные эфирные масла.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94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94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294" s="28" t="str">
        <x:v>сорбет, салат, джем, кордиал, лимонад, коктейль или фруктовый соус</x:v>
      </x:c>
      <x:c r="K294" s="28" t="str">
        <x:v>Средняя</x:v>
      </x:c>
      <x:c r="L294" s="28" t="str">
        <x:v>The Art &amp; Science of Foodpairing.pdf</x:v>
      </x:c>
      <x:c r="M294" s="28" t="str">
        <x:v>The Art &amp; Science of Foodpairing.pdf: 359</x:v>
      </x:c>
    </x:row>
    <x:row r="295" ht="64" customHeight="1">
      <x:c r="A295" s="28" t="str">
        <x:v>STN-0448</x:v>
      </x:c>
      <x:c r="B295" s="28" t="str">
        <x:v>уме</x:v>
      </x:c>
      <x:c r="C295" s="28" t="str">
        <x:v>уме</x:v>
      </x:c>
      <x:c r="D295" s="28" t="str">
        <x:v>клубника</x:v>
      </x:c>
      <x:c r="E295" s="28" t="str">
        <x:v>Ягоды</x:v>
      </x:c>
      <x:c r="F295" s="28" t="str">
        <x:v>прямое или классовое перекрытие характерных одорантов + вкусовой баланс</x:v>
      </x:c>
      <x:c r="G295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водная пектиновая; антоцианы влияют на цвет, но не являются главными одорантами.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95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95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295" s="28" t="str">
        <x:v>сорбет, салат, джем, кордиал, лимонад, коктейль или фруктовый соус</x:v>
      </x:c>
      <x:c r="K295" s="28" t="str">
        <x:v>Средняя</x:v>
      </x:c>
      <x:c r="L295" s="28" t="str">
        <x:v>The Art &amp; Science of Foodpairing.pdf</x:v>
      </x:c>
      <x:c r="M295" s="28" t="str">
        <x:v>The Art &amp; Science of Foodpairing.pdf: The Art &amp; Science of Foodpairing: 71 | The Art &amp; Science of Foodpairing.pdf: 71</x:v>
      </x:c>
    </x:row>
    <x:row r="296" ht="64" customHeight="1">
      <x:c r="A296" s="28" t="str">
        <x:v>STN-0449</x:v>
      </x:c>
      <x:c r="B296" s="28" t="str">
        <x:v>уме</x:v>
      </x:c>
      <x:c r="C296" s="28" t="str">
        <x:v>уме</x:v>
      </x:c>
      <x:c r="D296" s="28" t="str">
        <x:v>кокос</x:v>
      </x:c>
      <x:c r="E296" s="28" t="str">
        <x:v>Тропические фрукты и жирные матрицы</x:v>
      </x:c>
      <x:c r="F296" s="28" t="str">
        <x:v>комплементарность ароматических семейств, вкусовой контраст и матричный эффект</x:v>
      </x:c>
      <x:c r="G296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По доступным материалам нельзя уверенно свести совместимость к одной общей молекуле. Базовый фрукт даёт: высокая кислотность; у умэбоси — соль и выраженная ферментированная умами-нота.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водная и кислотная; в умэбоси — концентрированная соль и полифенолы. Партнёр: богатая жиром эмульсия; хорошо растворяет гидрофобные терпены, специи и ароматические масла.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296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296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296" s="28" t="str">
        <x:v>напиток, соус, десерт или горячее блюдо после пробной дегустации</x:v>
      </x:c>
      <x:c r="K296" s="28" t="str">
        <x:v>Средняя</x:v>
      </x:c>
      <x:c r="L296" s="28" t="str">
        <x:v>The Art &amp; Science of Foodpairing.pdf</x:v>
      </x:c>
      <x:c r="M296" s="28" t="str">
        <x:v>The Art &amp; Science of Foodpairing.pdf: 134 | The Art &amp; Science of Foodpairing.pdf: 135</x:v>
      </x:c>
    </x:row>
    <x:row r="297" ht="64" customHeight="1">
      <x:c r="A297" s="28" t="str">
        <x:v>STN-0450</x:v>
      </x:c>
      <x:c r="B297" s="28" t="str">
        <x:v>уме</x:v>
      </x:c>
      <x:c r="C297" s="28" t="str">
        <x:v>уме</x:v>
      </x:c>
      <x:c r="D297" s="28" t="str">
        <x:v>лимон</x:v>
      </x:c>
      <x:c r="E297" s="28" t="str">
        <x:v>Цитрусовые</x:v>
      </x:c>
      <x:c r="F297" s="28" t="str">
        <x:v>комплементарность ароматических семейств, вкусовой контраст и матричный эффект</x:v>
      </x:c>
      <x:c r="G297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сок водный и кислый, цедра содержит гидрофобные эфирные масла.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97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97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297" s="28" t="str">
        <x:v>сорбет, салат, джем, кордиал, лимонад, коктейль или фруктовый соус</x:v>
      </x:c>
      <x:c r="K297" s="28" t="str">
        <x:v>Средняя</x:v>
      </x:c>
      <x:c r="L297" s="28" t="str">
        <x:v>The Art &amp; Science of Foodpairing.pdf</x:v>
      </x:c>
      <x:c r="M297" s="28" t="str">
        <x:v>The Art &amp; Science of Foodpairing.pdf: 88</x:v>
      </x:c>
    </x:row>
    <x:row r="298" ht="64" customHeight="1">
      <x:c r="A298" s="28" t="str">
        <x:v>STN-0451</x:v>
      </x:c>
      <x:c r="B298" s="28" t="str">
        <x:v>уме</x:v>
      </x:c>
      <x:c r="C298" s="28" t="str">
        <x:v>уме</x:v>
      </x:c>
      <x:c r="D298" s="28" t="str">
        <x:v>оливковое масло</x:v>
      </x:c>
      <x:c r="E298" s="28" t="str">
        <x:v>Молочные продукты и сыры</x:v>
      </x:c>
      <x:c r="F298" s="28" t="str">
        <x:v>комплементарность ароматических семейств, вкусовой контраст и матричный эффект</x:v>
      </x:c>
      <x:c r="G298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высокая кислотность; у умэбоси — соль и выраженная ферментированная умами-нота. Партнёр добавляет: жирный, кислый/солёный. Баланс корректируется сахаром, кислотой, солью и горечью. Матрица пары: водная и кислотная; в умэбоси — концентрированная соль и полифенолы. Партнёр: жировая и белковая матрица смягчает кислотность.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98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98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298" s="28" t="str">
        <x:v>напиток, соус, десерт или горячее блюдо после пробной дегустации</x:v>
      </x:c>
      <x:c r="K298" s="28" t="str">
        <x:v>Средняя</x:v>
      </x:c>
      <x:c r="L298" s="28" t="str">
        <x:v>The Art &amp; Science of Foodpairing.pdf</x:v>
      </x:c>
      <x:c r="M298" s="28" t="str">
        <x:v>The Art &amp; Science of Foodpairing.pdf: 173</x:v>
      </x:c>
    </x:row>
    <x:row r="299" ht="64" customHeight="1">
      <x:c r="A299" s="28" t="str">
        <x:v>STN-0452</x:v>
      </x:c>
      <x:c r="B299" s="28" t="str">
        <x:v>уме</x:v>
      </x:c>
      <x:c r="C299" s="28" t="str">
        <x:v>уме</x:v>
      </x:c>
      <x:c r="D299" s="28" t="str">
        <x:v>отварная морковь</x:v>
      </x:c>
      <x:c r="E299" s="28" t="str">
        <x:v>Овощи</x:v>
      </x:c>
      <x:c r="F299" s="28" t="str">
        <x:v>прямое или классовое перекрытие характерных одорантов + вкусовой баланс</x:v>
      </x:c>
      <x:c r="G299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Отварная морковь относится к группе «Овощи» и даёт профиль «зелёный, землистый, растительный, иногда сернистый»; типичные соединения или классы: C6-альдегиды, метоксипиразины, геосмин (землистые), сернистые соединения. В рабочих профилях пересекаются: c6-альдегиды. Общие ароматические направления: зелёный. Базовый фрукт даёт: высокая кислотность; у умэбоси — соль и выраженная ферментированная умами-нота. Партнёр добавляет: сладковатый, горьковатый, умами. Баланс корректируется сахаром, кислотой, солью и горечью. Матрица пары: водная и кислотная; в умэбоси — концентрированная соль и полифенолы. Партнёр: водная/крахмальная матрица; масло помогает распределить цедру.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H299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I299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299" s="28" t="str">
        <x:v>напиток, соус, десерт или горячее блюдо после пробной дегустации</x:v>
      </x:c>
      <x:c r="K299" s="28" t="str">
        <x:v>Средняя</x:v>
      </x:c>
      <x:c r="L299" s="28" t="str">
        <x:v>The Art &amp; Science of Foodpairing.pdf</x:v>
      </x:c>
      <x:c r="M299" s="28" t="str">
        <x:v>The Art &amp; Science of Foodpairing.pdf: 232</x:v>
      </x:c>
    </x:row>
    <x:row r="300" ht="64" customHeight="1">
      <x:c r="A300" s="28" t="str">
        <x:v>STN-0453</x:v>
      </x:c>
      <x:c r="B300" s="28" t="str">
        <x:v>уме</x:v>
      </x:c>
      <x:c r="C300" s="28" t="str">
        <x:v>уме</x:v>
      </x:c>
      <x:c r="D300" s="28" t="str">
        <x:v>текила бланко</x:v>
      </x:c>
      <x:c r="E300" s="28" t="str">
        <x:v>Алкогольные напитки</x:v>
      </x:c>
      <x:c r="F300" s="28" t="str">
        <x:v>прямое или классовое перекрытие характерных одорантов + вкусовой баланс</x:v>
      </x:c>
      <x:c r="G300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Текила бланко относится к группе «Алкогольные напитки» и даёт профиль «спиртовой, эфирный, фруктовый или древесный в зависимости от напитка»; типичные соединения или классы: этиловые эфиры, высшие спирты, ацетали; для выдержанных напитков — ванилин и дубовые лактоны. В рабочих профилях пересекаются: эфиры. Этанол усиливает летучесть лактонов и терпенов; сахар и кислотность должны быть настроены так, чтобы крепость не маскировала плод. Матрица пары: водная и кислотная; в умэбоси — концентрированная соль и полифенолы. Этанол хорошо извлекает лактоны, бензальдегид и терпены, но высокая крепость усиливает жжение и горечь. Обработка: соление и ферментация меняют свежий фруктовый профиль на солёно-кислый и умами; ликёры сохраняют миндально-фруктовые ноты. Холодная мацерация сохраняет свежие эфиры; длительное настаивание увеличивает экстракцию кожицы и терпкость.</x:v>
      </x:c>
      <x:c r="H300" s="28" t="str">
        <x:v>соление и ферментация меняют свежий фруктовый профиль на солёно-кислый и умами; ликёры сохраняют миндально-фруктовые ноты. Холодная мацерация сохраняет свежие эфиры; длительное настаивание увеличивает экстракцию кожицы и терпкость.</x:v>
      </x:c>
      <x:c r="I300" s="28" t="str">
        <x:v>легко пересолить или сделать кислоту агрессивной; дозировать как приправу. Высокая крепость и избыток сахара маскируют свежесть; после мацерации контролируйте терпкость кожицы.</x:v>
      </x:c>
      <x:c r="J300" s="28" t="str">
        <x:v>коктейль, кордиал, настой, спритц, чайный или кофейный напиток</x:v>
      </x:c>
      <x:c r="K300" s="28" t="str">
        <x:v>Средняя</x:v>
      </x:c>
      <x:c r="L300" s="28" t="str">
        <x:v>The Art &amp; Science of Foodpairing.pdf</x:v>
      </x:c>
      <x:c r="M300" s="28" t="str">
        <x:v>The Art &amp; Science of Foodpairing.pdf: 83</x:v>
      </x:c>
    </x:row>
    <x:row r="301" ht="64" customHeight="1">
      <x:c r="A301" s="28" t="str">
        <x:v>STN-0456</x:v>
      </x:c>
      <x:c r="B301" s="28" t="str">
        <x:v>уме</x:v>
      </x:c>
      <x:c r="C301" s="28" t="str">
        <x:v>уме</x:v>
      </x:c>
      <x:c r="D301" s="28" t="str">
        <x:v>цветы жасмина</x:v>
      </x:c>
      <x:c r="E301" s="28" t="str">
        <x:v>Травы и цветы</x:v>
      </x:c>
      <x:c r="F301" s="28" t="str">
        <x:v>прямое или классовое перекрытие характерных одорантов + вкусовой баланс</x:v>
      </x:c>
      <x:c r="G301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Цветы жасмина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цветочный, зелёный. Базовый фрукт даёт: высокая кислотность; у умэбоси — соль и выраженная ферментированная умами-нота. Партнёр добавляет: горьковатый, свежий. Баланс корректируется сахаром, кислотой, солью и горечью. Матрица пары: водная и кислотная; в умэбоси — концентрированная соль и полифенолы. Партнёр: летучие масла чувствительны к нагреву.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01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01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01" s="28" t="str">
        <x:v>напиток, соус, десерт или горячее блюдо после пробной дегустации</x:v>
      </x:c>
      <x:c r="K301" s="28" t="str">
        <x:v>Средняя</x:v>
      </x:c>
      <x:c r="L301" s="28" t="str">
        <x:v>The Art &amp; Science of Foodpairing.pdf</x:v>
      </x:c>
      <x:c r="M301" s="28" t="str">
        <x:v>The Art &amp; Science of Foodpairing.pdf: 211</x:v>
      </x:c>
    </x:row>
    <x:row r="302" ht="64" customHeight="1">
      <x:c r="A302" s="28" t="str">
        <x:v>STN-0458</x:v>
      </x:c>
      <x:c r="B302" s="28" t="str">
        <x:v>плюмкот</x:v>
      </x:c>
      <x:c r="C302" s="28" t="str">
        <x:v>плюмкот</x:v>
      </x:c>
      <x:c r="D302" s="28" t="str">
        <x:v>белый перец</x:v>
      </x:c>
      <x:c r="E302" s="28" t="str">
        <x:v>Специи и острые компоненты</x:v>
      </x:c>
      <x:c r="F302" s="28" t="str">
        <x:v>комплементарность ароматических семейств, вкусовой контраст и матричный эффект</x:v>
      </x:c>
      <x:c r="G302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Белый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пектиновая; сочетает поведение сливы и абрикоса. Партнёр: гидрофобные молекулы хорошо переходят в жир и этанол. Обработка: нагрев усиливает джемовые ноты; холодная обработка лучше сохраняет цветочность. Краткая инфузия сохраняет детализацию; длительный нагрев и настаивание повышают горечь и остроту.</x:v>
      </x:c>
      <x:c r="H302" s="28" t="str">
        <x:v>нагрев усиливает джемовые ноты; холодная обработка лучше сохраняет цветочность. Краткая инфузия сохраняет детализацию; длительный нагрев и настаивание повышают горечь и остроту.</x:v>
      </x:c>
      <x:c r="I302" s="28" t="str">
        <x:v>сортовая вариативность очень высокая; рецептуру нужно настраивать по партии. Специя легко доминирует; начинайте с низкой дозировки и учитывайте рост остроты после выдержки.</x:v>
      </x:c>
      <x:c r="J302" s="28" t="str">
        <x:v>напиток, соус, десерт или горячее блюдо после пробной дегустации</x:v>
      </x:c>
      <x:c r="K302" s="28" t="str">
        <x:v>Средняя</x:v>
      </x:c>
      <x:c r="L302" s="28" t="str">
        <x:v>The Art &amp; Science of Foodpairing.pdf</x:v>
      </x:c>
      <x:c r="M302" s="28" t="str">
        <x:v>The Art &amp; Science of Foodpairing.pdf: 274</x:v>
      </x:c>
    </x:row>
    <x:row r="303" ht="64" customHeight="1">
      <x:c r="A303" s="28" t="str">
        <x:v>STN-0459</x:v>
      </x:c>
      <x:c r="B303" s="28" t="str">
        <x:v>плюмкот</x:v>
      </x:c>
      <x:c r="C303" s="28" t="str">
        <x:v>плюмкот</x:v>
      </x:c>
      <x:c r="D303" s="28" t="str">
        <x:v>киви</x:v>
      </x:c>
      <x:c r="E303" s="28" t="str">
        <x:v>Тропические и субтропические фрукты</x:v>
      </x:c>
      <x:c r="F303" s="28" t="str">
        <x:v>прямое или классовое перекрытие характерных одорантов + вкусовой баланс</x:v>
      </x:c>
      <x:c r="G303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Киви относится к группе «Тропические и субтропические фрукты» и даёт профиль «зелёный, травянистый, цитрусовый, фруктовый и слегка морской»; типичные соединения или классы: гексаналь, (E)-2-гексеналь, этилбутират, метилбутират, линалоол; фермент актинидин. В рабочих профилях пересекаются: линалоол. Базовый фрукт даёт: сладость с выраженной фруктовой кислотностью; баланс зависит от сорта. Партнёр добавляет: высокая кислотность, сладость и выраженная свежесть. Баланс корректируется сахаром, кислотой, солью и горечью. Матрица пары: сочная пектиновая; сочетает поведение сливы и абрикоса. Партнёр: водная; содержит протеазу актинидин и кристаллы оксалата кальция.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H303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I303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03" s="28" t="str">
        <x:v>напиток, соус, десерт или горячее блюдо после пробной дегустации</x:v>
      </x:c>
      <x:c r="K303" s="28" t="str">
        <x:v>Средняя</x:v>
      </x:c>
      <x:c r="L303" s="28" t="str">
        <x:v>The Art &amp; Science of Foodpairing.pdf</x:v>
      </x:c>
      <x:c r="M303" s="28" t="str">
        <x:v>The Art &amp; Science of Foodpairing.pdf: 42</x:v>
      </x:c>
    </x:row>
    <x:row r="304" ht="64" customHeight="1">
      <x:c r="A304" s="28" t="str">
        <x:v>STN-0460</x:v>
      </x:c>
      <x:c r="B304" s="28" t="str">
        <x:v>плюмкот</x:v>
      </x:c>
      <x:c r="C304" s="28" t="str">
        <x:v>плюмкот</x:v>
      </x:c>
      <x:c r="D304" s="28" t="str">
        <x:v>красный сладкий перец</x:v>
      </x:c>
      <x:c r="E304" s="28" t="str">
        <x:v>Специи</x:v>
      </x:c>
      <x:c r="F304" s="28" t="str">
        <x:v>комплементарность ароматических семейств, вкусовой контраст и матричный эффект</x:v>
      </x:c>
      <x:c r="G304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Красный сладкий перец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пряный, иногда горький. Баланс корректируется сахаром, кислотой, солью и горечью. Матрица пары: сочная пектиновая; сочетает поведение сливы и абрикоса. Партнёр: эфирные масла хорошо извлекаются спиртом и жиром.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04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04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04" s="28" t="str">
        <x:v>напиток, соус, десерт или горячее блюдо после пробной дегустации</x:v>
      </x:c>
      <x:c r="K304" s="28" t="str">
        <x:v>Средняя</x:v>
      </x:c>
      <x:c r="L304" s="28" t="str">
        <x:v>The Art &amp; Science of Foodpairing.pdf</x:v>
      </x:c>
      <x:c r="M304" s="28" t="str">
        <x:v>The Art &amp; Science of Foodpairing.pdf: 109</x:v>
      </x:c>
    </x:row>
    <x:row r="305" ht="64" customHeight="1">
      <x:c r="A305" s="28" t="str">
        <x:v>STN-0463</x:v>
      </x:c>
      <x:c r="B305" s="28" t="str">
        <x:v>плюмкот</x:v>
      </x:c>
      <x:c r="C305" s="28" t="str">
        <x:v>плюмкот</x:v>
      </x:c>
      <x:c r="D305" s="28" t="str">
        <x:v>свиная корейка</x:v>
      </x:c>
      <x:c r="E305" s="28" t="str">
        <x:v>Прочее</x:v>
      </x:c>
      <x:c r="F305" s="28" t="str">
        <x:v>комплементарность ароматических семейств, вкусовой контраст и матричный эффект</x:v>
      </x:c>
      <x:c r="G305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баланс зависит от продукта. Баланс корректируется сахаром, кислотой, солью и горечью. Матрица пары: сочная пектиновая; сочетает поведение сливы и абрикоса. Партнёр: матрица зависит от формы продукта.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H305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I305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05" s="28" t="str">
        <x:v>напиток, соус, десерт или горячее блюдо после пробной дегустации</x:v>
      </x:c>
      <x:c r="K305" s="28" t="str">
        <x:v>Средняя</x:v>
      </x:c>
      <x:c r="L305" s="28" t="str">
        <x:v>The Art &amp; Science of Foodpairing.pdf</x:v>
      </x:c>
      <x:c r="M305" s="28" t="str">
        <x:v>The Art &amp; Science of Foodpairing.pdf: 187</x:v>
      </x:c>
    </x:row>
    <x:row r="306" ht="64" customHeight="1">
      <x:c r="A306" s="28" t="str">
        <x:v>STN-0464</x:v>
      </x:c>
      <x:c r="B306" s="28" t="str">
        <x:v>плюмкот</x:v>
      </x:c>
      <x:c r="C306" s="28" t="str">
        <x:v>плюмкот</x:v>
      </x:c>
      <x:c r="D306" s="28" t="str">
        <x:v>цветы жасмина</x:v>
      </x:c>
      <x:c r="E306" s="28" t="str">
        <x:v>Травы и цветы</x:v>
      </x:c>
      <x:c r="F306" s="28" t="str">
        <x:v>прямое или классовое перекрытие характерных одорантов + вкусовой баланс</x:v>
      </x:c>
      <x:c r="G306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Цветы жасмина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цветочный. Базовый фрукт даёт: сладость с выраженной фруктовой кислотностью; баланс зависит от сорта. Партнёр добавляет: горьковатый, свежий. Баланс корректируется сахаром, кислотой, солью и горечью. Матрица пары: сочная пектиновая; сочетает поведение сливы и абрикоса. Партнёр: летучие масла чувствительны к нагреву.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06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06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06" s="28" t="str">
        <x:v>напиток, соус, десерт или горячее блюдо после пробной дегустации</x:v>
      </x:c>
      <x:c r="K306" s="28" t="str">
        <x:v>Средняя</x:v>
      </x:c>
      <x:c r="L306" s="28" t="str">
        <x:v>The Art &amp; Science of Foodpairing.pdf</x:v>
      </x:c>
      <x:c r="M306" s="28" t="str">
        <x:v>The Art &amp; Science of Foodpairing.pdf: 211</x:v>
      </x:c>
    </x:row>
    <x:row r="307" ht="64" customHeight="1">
      <x:c r="A307" s="28" t="str">
        <x:v>STN-0466</x:v>
      </x:c>
      <x:c r="B307" s="28" t="str">
        <x:v>плюмкот</x:v>
      </x:c>
      <x:c r="C307" s="28" t="str">
        <x:v>плюмкот</x:v>
      </x:c>
      <x:c r="D307" s="28" t="str">
        <x:v>шиитаке</x:v>
      </x:c>
      <x:c r="E307" s="28" t="str">
        <x:v>Прочее</x:v>
      </x:c>
      <x:c r="F307" s="28" t="str">
        <x:v>комплементарность ароматических семейств, вкусовой контраст и матричный эффект</x:v>
      </x:c>
      <x:c r="G307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Шиитаке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зависит от ингредиента. Баланс корректируется сахаром, кислотой, солью и горечью. Матрица пары: сочная пектиновая; сочетает поведение сливы и абрикоса. Партнёр: механизм зависит от конкретного продукта.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07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07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07" s="28" t="str">
        <x:v>напиток, соус, десерт или горячее блюдо после пробной дегустации</x:v>
      </x:c>
      <x:c r="K307" s="28" t="str">
        <x:v>Средняя</x:v>
      </x:c>
      <x:c r="L307" s="28" t="str">
        <x:v>The Art &amp; Science of Foodpairing.pdf</x:v>
      </x:c>
      <x:c r="M307" s="28" t="str">
        <x:v>The Art &amp; Science of Foodpairing.pdf: 127</x:v>
      </x:c>
    </x:row>
  </x:sheetData>
  <x:conditionalFormatting sqref="K2:K307">
    <x:cfRule type="expression" dxfId="3" priority="1">
      <x:formula>K2="Высокая"</x:formula>
    </x:cfRule>
    <x:cfRule type="expression" dxfId="4" priority="2">
      <x:formula>K2="Средняя"</x:formula>
    </x:cfRule>
    <x:cfRule type="expression" dxfId="5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5ec67e83d64f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5" hidden="0" customWidth="1"/>
    <x:col min="4" max="4" width="30" hidden="0" customWidth="1"/>
    <x:col min="5" max="5" width="26" hidden="0" customWidth="1"/>
    <x:col min="6" max="6" width="36" hidden="0" customWidth="1"/>
    <x:col min="7" max="7" width="66" hidden="0" customWidth="1"/>
    <x:col min="8" max="8" width="52" hidden="0" customWidth="1"/>
    <x:col min="9" max="9" width="52" hidden="0" customWidth="1"/>
    <x:col min="10" max="10" width="46" hidden="0" customWidth="1"/>
    <x:col min="11" max="11" width="22" hidden="0" customWidth="1"/>
    <x:col min="12" max="12" width="39" hidden="0" customWidth="1"/>
    <x:col min="13" max="13" width="46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STN-0001</x:v>
      </x:c>
      <x:c r="B2" s="28" t="str">
        <x:v>абрикос</x:v>
      </x:c>
      <x:c r="C2" s="28" t="str">
        <x:v>абрикос</x:v>
      </x:c>
      <x:c r="D2" s="28" t="str">
        <x:v>ананас</x:v>
      </x:c>
      <x:c r="E2" s="28" t="str">
        <x:v>Тропические фрукты</x:v>
      </x:c>
      <x:c r="F2" s="28" t="str">
        <x:v>комплементарность ароматических семейств, вкусовой контраст и матричный эффект</x:v>
      </x:c>
      <x:c r="G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Ананас относится к группе «Тропические фрукты» и даёт профиль «яркий фруктовый, конфетный, цитрусовый, зелёный и слегка сернистый»; типичные соединения или классы: метилгексаноат, этилгексаноат, этилбутират, метил-3-(метилтио)пропионат и другие сернистые следы.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 и кислотность; лёгкая терпкость сердцевины.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и кислая; содержит протеазу бромелайн, разрушающую белки.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H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I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" s="28" t="str">
        <x:v>напиток, соус, десерт или горячее блюдо после пробной дегустации</x:v>
      </x:c>
      <x:c r="K2" s="28" t="str">
        <x:v>Гипотеза / практическая</x:v>
      </x:c>
      <x:c r="L2" s="28" t="str">
        <x:v>Таблица сочетания(1).pdf</x:v>
      </x:c>
      <x:c r="M2" s="28" t="str">
        <x:v>Таблица сочетания(1).pdf: Таблица сочетаний: 1, 17 | Таблица сочетания(1).pdf: 1 | Таблица сочетания(1).pdf: 17</x:v>
      </x:c>
    </x:row>
    <x:row r="3" ht="64" customHeight="1">
      <x:c r="A3" s="28" t="str">
        <x:v>STN-0003</x:v>
      </x:c>
      <x:c r="B3" s="28" t="str">
        <x:v>абрикос</x:v>
      </x:c>
      <x:c r="C3" s="28" t="str">
        <x:v>абрикос</x:v>
      </x:c>
      <x:c r="D3" s="28" t="str">
        <x:v>арбуз</x:v>
      </x:c>
      <x:c r="E3" s="28" t="str">
        <x:v>Бахчевые</x:v>
      </x:c>
      <x:c r="F3" s="28" t="str">
        <x:v>комплементарность ароматических семейств, вкусовой контраст и матричный эффект</x:v>
      </x:c>
      <x:c r="G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Арбуз относится к группе «Бахчевые» и даёт профиль «водянистый, зелёный, огуречный, свежий и слегка фруктовый»; типичные соединения или классы: (Z)-3-ноненаль, (E,Z)-2,6-нонадиеналь, гексаналь и другие C6/C9-альдегиды.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умеренная сладость и очень низкая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более чем на 90% водная; аромат легко разбавляется и плохо переносит долгий нагрев.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избыток водянистых партнёров делает сочетание пустым; сильные ароматы быстро подавляют арбуз.</x:v>
      </x:c>
      <x:c r="H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избыток водянистых партнёров делает сочетание пустым; сильные ароматы быстро подавляют арбуз.</x:v>
      </x:c>
      <x:c r="I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" s="28" t="str">
        <x:v>напиток, соус, десерт или горячее блюдо после пробной дегустации</x:v>
      </x:c>
      <x:c r="K3" s="28" t="str">
        <x:v>Средняя</x:v>
      </x:c>
      <x:c r="L3" s="28" t="str">
        <x:v>The Art &amp; Science of Foodpairing.pdf</x:v>
      </x:c>
      <x:c r="M3" s="28" t="str">
        <x:v>The Art &amp; Science of Foodpairing.pdf: The Art &amp; Science of Foodpairing: 78 | The Art &amp; Science of Foodpairing.pdf: 78</x:v>
      </x:c>
    </x:row>
    <x:row r="4" ht="64" customHeight="1">
      <x:c r="A4" s="28" t="str">
        <x:v>STN-0004</x:v>
      </x:c>
      <x:c r="B4" s="28" t="str">
        <x:v>абрикос</x:v>
      </x:c>
      <x:c r="C4" s="28" t="str">
        <x:v>абрикос</x:v>
      </x:c>
      <x:c r="D4" s="28" t="str">
        <x:v>артишок</x:v>
      </x:c>
      <x:c r="E4" s="28" t="str">
        <x:v>Овощи и грибы</x:v>
      </x:c>
      <x:c r="F4" s="28" t="str">
        <x:v>комплементарность ароматических семейств, вкусовой контраст и матричный эффект</x:v>
      </x:c>
      <x:c r="G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Артишок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растительный, иногда умами.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высокая доля воды; нагрев меняет зелёный профиль.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" s="28" t="str">
        <x:v>напиток, соус, десерт или горячее блюдо после пробной дегустации</x:v>
      </x:c>
      <x:c r="K4" s="28" t="str">
        <x:v>Средняя</x:v>
      </x:c>
      <x:c r="L4" s="28" t="str">
        <x:v>The Art &amp; Science of Foodpairing.pdf</x:v>
      </x:c>
      <x:c r="M4" s="28" t="str">
        <x:v>The Art &amp; Science of Foodpairing.pdf: 329</x:v>
      </x:c>
    </x:row>
    <x:row r="5" ht="64" customHeight="1">
      <x:c r="A5" s="28" t="str">
        <x:v>STN-0005</x:v>
      </x:c>
      <x:c r="B5" s="28" t="str">
        <x:v>абрикос</x:v>
      </x:c>
      <x:c r="C5" s="28" t="str">
        <x:v>абрикос</x:v>
      </x:c>
      <x:c r="D5" s="28" t="str">
        <x:v>базилик</x:v>
      </x:c>
      <x:c r="E5" s="28" t="str">
        <x:v>Травы и цветы</x:v>
      </x:c>
      <x:c r="F5" s="28" t="str">
        <x:v>прямое или классовое перекрытие характерных одорантов + вкусовой баланс</x:v>
      </x:c>
      <x:c r="G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В рабочих профилях пересекаются: линалоол.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" s="28" t="str">
        <x:v>напиток, соус, десерт или горячее блюдо после пробной дегустации</x:v>
      </x:c>
      <x:c r="K5" s="28" t="str">
        <x:v>Средняя</x:v>
      </x:c>
      <x:c r="L5" s="28" t="str">
        <x:v>The Art &amp; Science of Foodpairing.pdf</x:v>
      </x:c>
      <x:c r="M5" s="28" t="str">
        <x:v>The Art &amp; Science of Foodpairing.pdf: 206</x:v>
      </x:c>
    </x:row>
    <x:row r="6" ht="64" customHeight="1">
      <x:c r="A6" s="28" t="str">
        <x:v>STN-0006</x:v>
      </x:c>
      <x:c r="B6" s="28" t="str">
        <x:v>абрикос</x:v>
      </x:c>
      <x:c r="C6" s="28" t="str">
        <x:v>абрикос</x:v>
      </x:c>
      <x:c r="D6" s="28" t="str">
        <x:v>банан</x:v>
      </x:c>
      <x:c r="E6" s="28" t="str">
        <x:v>Тропические фрукты</x:v>
      </x:c>
      <x:c r="F6" s="28" t="str">
        <x:v>комплементарность ароматических семейств, вкусовой контраст и матричный эффект</x:v>
      </x:c>
      <x:c r="G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Банан относится к группе «Тропические фрукты» и даёт профиль «сладкий фруктовый, сливочный, цветочный; у зрелого плода — конфетный и пряный»; типичные соединения или классы: изоамилацетат, изобутилацетат, бутилацетат, этилбутират, эвгенол и другие фенольные следы. По доступным материалам нельзя уверенно свести совместимость к одной общей молекуле. Общие ароматические направления: цветочный,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низкая кислотность, крахмалистость у незрелого плода.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мягкая крахмально-пектиновая; низкая кислотность и высокая вязкость приглушают летучесть.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перезрелый банан доминирует и быстро окисляется; без кислоты или горечи сочетание может быть плоским.</x:v>
      </x:c>
      <x:c r="H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перезрелый банан доминирует и быстро окисляется; без кислоты или горечи сочетание может быть плоским.</x:v>
      </x:c>
      <x:c r="I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" s="28" t="str">
        <x:v>напиток, соус, десерт или горячее блюдо после пробной дегустации</x:v>
      </x:c>
      <x:c r="K6" s="28" t="str">
        <x:v>Гипотеза / практическая</x:v>
      </x:c>
      <x:c r="L6" s="28" t="str">
        <x:v>Таблица сочетания(1).pdf</x:v>
      </x:c>
      <x:c r="M6" s="28" t="str">
        <x:v>Таблица сочетания(1).pdf: Таблица сочетаний: 2 | Таблица сочетания(1).pdf: 2</x:v>
      </x:c>
    </x:row>
    <x:row r="7" ht="64" customHeight="1">
      <x:c r="A7" s="28" t="str">
        <x:v>STN-0007</x:v>
      </x:c>
      <x:c r="B7" s="28" t="str">
        <x:v>абрикос</x:v>
      </x:c>
      <x:c r="C7" s="28" t="str">
        <x:v>абрикос</x:v>
      </x:c>
      <x:c r="D7" s="28" t="str">
        <x:v>баранина</x:v>
      </x:c>
      <x:c r="E7" s="28" t="str">
        <x:v>Мясо и птица</x:v>
      </x:c>
      <x:c r="F7" s="28" t="str">
        <x:v>комплементарность ароматических семейств, вкусовой контраст и матричный эффект</x:v>
      </x:c>
      <x:c r="G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Баранина относится к группе «Мясо и птица» и даёт профиль «жареный, жирный, сернистый, умами»; типичные соединения или классы: альдегиды, пиразины,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переносит аромат; реакция Майяра создаёт новые одоранты.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H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I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J7" s="28" t="str">
        <x:v>соус, глазировка, чатни, маринад, гарнир или основное блюдо</x:v>
      </x:c>
      <x:c r="K7" s="28" t="str">
        <x:v>Средняя</x:v>
      </x:c>
      <x:c r="L7" s="28" t="str">
        <x:v>Тезариус вкусов (Ники Сегнит)(1).pdf</x:v>
      </x:c>
      <x:c r="M7" s="28" t="str">
        <x:v>Тезариус вкусов (Ники Сегнит)(1).pdf: 124 | Тезариус вкусов (Ники Сегнит)(1).pdf: 741</x:v>
      </x:c>
    </x:row>
    <x:row r="8" ht="64" customHeight="1">
      <x:c r="A8" s="28" t="str">
        <x:v>STN-0008</x:v>
      </x:c>
      <x:c r="B8" s="28" t="str">
        <x:v>абрикос</x:v>
      </x:c>
      <x:c r="C8" s="28" t="str">
        <x:v>абрикос</x:v>
      </x:c>
      <x:c r="D8" s="28" t="str">
        <x:v>блю д’овернь</x:v>
      </x:c>
      <x:c r="E8" s="28" t="str">
        <x:v>Сыры и молочные продукты</x:v>
      </x:c>
      <x:c r="F8" s="28" t="str">
        <x:v>комплементарность ароматических семейств, вкусовой контраст и матричный эффект</x:v>
      </x:c>
      <x:c r="G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Блю д’овернь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 мякоть; низкий жир; кожица и косточка могут добавлять терпкость и миндальный оттенок. Жир и белок партнёра удерживают гидрофобные лактоны, но высокая фруктовая кислота может нарушить молочную эмульсию.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</x:v>
      </x:c>
      <x:c r="H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</x:v>
      </x:c>
      <x:c r="I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кислоты может свернуть молочную основу; фрукт и сыр проверяют при рабочей температуре.</x:v>
      </x:c>
      <x:c r="J8" s="28" t="str">
        <x:v>тарт, крем, мороженое, выпечка, сырная подача или начинка</x:v>
      </x:c>
      <x:c r="K8" s="28" t="str">
        <x:v>Средняя</x:v>
      </x:c>
      <x:c r="L8" s="28" t="str">
        <x:v>The Art &amp; Science of Foodpairing.pdf</x:v>
      </x:c>
      <x:c r="M8" s="28" t="str">
        <x:v>The Art &amp; Science of Foodpairing.pdf: 206</x:v>
      </x:c>
    </x:row>
    <x:row r="9" ht="64" customHeight="1">
      <x:c r="A9" s="28" t="str">
        <x:v>STN-0009</x:v>
      </x:c>
      <x:c r="B9" s="28" t="str">
        <x:v>абрикос</x:v>
      </x:c>
      <x:c r="C9" s="28" t="str">
        <x:v>абрикос</x:v>
      </x:c>
      <x:c r="D9" s="28" t="str">
        <x:v>ваниль</x:v>
      </x:c>
      <x:c r="E9" s="28" t="str">
        <x:v>Специи и острые компоненты</x:v>
      </x:c>
      <x:c r="F9" s="28" t="str">
        <x:v>прямое или классовое перекрытие характерных одорантов + вкусовой баланс</x:v>
      </x:c>
      <x:c r="G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Ваниль относится к группе «Специи и острые компоненты» и даёт профиль «сладкий, сливочный и древесный»; типичные соединения или классы: ванилин, п-гидроксибензальдегид. В рабочих профилях пересекаются: бензальдегид.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9" s="28" t="str">
        <x:v>напиток, соус, десерт или горячее блюдо после пробной дегустации</x:v>
      </x:c>
      <x:c r="K9" s="28" t="str">
        <x:v>Высокая</x:v>
      </x:c>
      <x:c r="L9" s="28" t="str">
        <x:v>Таблица сочетания(1).pdf | Тезариус вкусов (Ники Сегнит)(1).pdf</x:v>
      </x:c>
      <x:c r="M9" s="28" t="str">
        <x:v>Таблица сочетания(1).pdf: 1 | Таблица сочетания(1).pdf: 21 | Тезариус вкусов (Ники Сегнит)(1).pdf: 741 | Тезариус вкусов (Ники Сегнит)(1).pdf: 914</x:v>
      </x:c>
    </x:row>
    <x:row r="10" ht="64" customHeight="1">
      <x:c r="A10" s="28" t="str">
        <x:v>STN-0010</x:v>
      </x:c>
      <x:c r="B10" s="28" t="str">
        <x:v>абрикос</x:v>
      </x:c>
      <x:c r="C10" s="28" t="str">
        <x:v>абрикос</x:v>
      </x:c>
      <x:c r="D10" s="28" t="str">
        <x:v>вареная ветчина</x:v>
      </x:c>
      <x:c r="E10" s="28" t="str">
        <x:v>Мясо и птица</x:v>
      </x:c>
      <x:c r="F10" s="28" t="str">
        <x:v>комплементарность ароматических семейств, вкусовой контраст и матричный эффект</x:v>
      </x:c>
      <x:c r="G1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Вареная ветчина относится к группе «Мясо и птица» и даёт профиль «жареный, мясной, сернистый, жирный»; типичные соединения или классы: пиразины, тиазолы, альдегиды жиров,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удерживает терпеновые масла; кислота снижает ощущение жирности.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H1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I1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J10" s="28" t="str">
        <x:v>соус, глазировка, чатни, маринад, гарнир или основное блюдо</x:v>
      </x:c>
      <x:c r="K10" s="28" t="str">
        <x:v>Средняя</x:v>
      </x:c>
      <x:c r="L10" s="28" t="str">
        <x:v>The Art &amp; Science of Foodpairing.pdf</x:v>
      </x:c>
      <x:c r="M10" s="28" t="str">
        <x:v>The Art &amp; Science of Foodpairing.pdf: 206</x:v>
      </x:c>
    </x:row>
    <x:row r="11" ht="64" customHeight="1">
      <x:c r="A11" s="28" t="str">
        <x:v>STN-0011</x:v>
      </x:c>
      <x:c r="B11" s="28" t="str">
        <x:v>абрикос</x:v>
      </x:c>
      <x:c r="C11" s="28" t="str">
        <x:v>абрикос</x:v>
      </x:c>
      <x:c r="D11" s="28" t="str">
        <x:v>вишня</x:v>
      </x:c>
      <x:c r="E11" s="28" t="str">
        <x:v>Косточковые фрукты</x:v>
      </x:c>
      <x:c r="F11" s="28" t="str">
        <x:v>прямое или классовое перекрытие характерных одорантов + вкусовой баланс</x:v>
      </x:c>
      <x:c r="G1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линалоол, эфиры. Общие ароматические направления: цветочный, фруктовый, лактонный, миндальный.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умеренная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пектиновая; кожица и косточка могут давать терпкость и миндальные ноты.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1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1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1" s="28" t="str">
        <x:v>напиток, соус, десерт или горячее блюдо после пробной дегустации</x:v>
      </x:c>
      <x:c r="K11" s="28" t="str">
        <x:v>Гипотеза / практическая</x:v>
      </x:c>
      <x:c r="L11" s="28" t="str">
        <x:v>Таблица сочетания(1).pdf</x:v>
      </x:c>
      <x:c r="M11" s="28" t="str">
        <x:v>Таблица сочетания(1).pdf: Таблица сочетаний: 1, 4 | Таблица сочетания(1).pdf: 1 | Таблица сочетания(1).pdf: 4</x:v>
      </x:c>
    </x:row>
    <x:row r="12" ht="64" customHeight="1">
      <x:c r="A12" s="28" t="str">
        <x:v>STN-0013</x:v>
      </x:c>
      <x:c r="B12" s="28" t="str">
        <x:v>абрикос</x:v>
      </x:c>
      <x:c r="C12" s="28" t="str">
        <x:v>абрикос</x:v>
      </x:c>
      <x:c r="D12" s="28" t="str">
        <x:v>грецкий орех</x:v>
      </x:c>
      <x:c r="E12" s="28" t="str">
        <x:v>Орехи и семена</x:v>
      </x:c>
      <x:c r="F12" s="28" t="str">
        <x:v>прямое или классовое перекрытие характерных одорантов + вкусовой баланс</x:v>
      </x:c>
      <x:c r="G1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Грецкий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1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1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J12" s="28" t="str">
        <x:v>тарт, крем, мороженое, выпечка, сырная подача или начинка</x:v>
      </x:c>
      <x:c r="K12" s="28" t="str">
        <x:v>Гипотеза / практическая</x:v>
      </x:c>
      <x:c r="L12" s="28" t="str">
        <x:v>Таблица сочетания(1).pdf</x:v>
      </x:c>
      <x:c r="M12" s="28" t="str">
        <x:v>Таблица сочетания(1).pdf: 21</x:v>
      </x:c>
    </x:row>
    <x:row r="13" ht="64" customHeight="1">
      <x:c r="A13" s="28" t="str">
        <x:v>STN-0014</x:v>
      </x:c>
      <x:c r="B13" s="28" t="str">
        <x:v>абрикос</x:v>
      </x:c>
      <x:c r="C13" s="28" t="str">
        <x:v>абрикос</x:v>
      </x:c>
      <x:c r="D13" s="28" t="str">
        <x:v>грибы</x:v>
      </x:c>
      <x:c r="E13" s="28" t="str">
        <x:v>Овощи и грибы</x:v>
      </x:c>
      <x:c r="F13" s="28" t="str">
        <x:v>комплементарность ароматических семейств, вкусовой контраст и матричный эффект</x:v>
      </x:c>
      <x:c r="G1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Грибы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растительный, иногда умами.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высокая доля воды; нагрев меняет зелёный профиль.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3" s="28" t="str">
        <x:v>напиток, соус, десерт или горячее блюдо после пробной дегустации</x:v>
      </x:c>
      <x:c r="K13" s="28" t="str">
        <x:v>Средняя</x:v>
      </x:c>
      <x:c r="L13" s="28" t="str">
        <x:v>Тезариус вкусов (Ники Сегнит)(1).pdf</x:v>
      </x:c>
      <x:c r="M13" s="28" t="str">
        <x:v>Тезариус вкусов (Ники Сегнит)(1).pdf: 192 | Тезариус вкусов (Ники Сегнит)(1).pdf: 742</x:v>
      </x:c>
    </x:row>
    <x:row r="14" ht="64" customHeight="1">
      <x:c r="A14" s="28" t="str">
        <x:v>STN-0016</x:v>
      </x:c>
      <x:c r="B14" s="28" t="str">
        <x:v>абрикос</x:v>
      </x:c>
      <x:c r="C14" s="28" t="str">
        <x:v>абрикос</x:v>
      </x:c>
      <x:c r="D14" s="28" t="str">
        <x:v>доенджан</x:v>
      </x:c>
      <x:c r="E14" s="28" t="str">
        <x:v>Ферментированные продукты, соусы и уксусы</x:v>
      </x:c>
      <x:c r="F14" s="28" t="str">
        <x:v>прямое или классовое перекрытие характерных одорантов + вкусовой баланс</x:v>
      </x:c>
      <x:c r="G1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Доенджан относится к группе «Ферментированные продукты, соусы и уксусы» и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В рабочих профилях пересекаются: эфиры. Кислота, соль и умами усиливают контраст с фруктовой сладостью; сочетание работает в малой дозировке как приправа. Матрица пары: водно-пектиновая мякоть; низкий жир; кожица и косточка могут добавлять терпкость и миндальный оттенок. Партнёр: часто водная и солёная; концентраты требуют малых доз.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H1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I1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Соль и кислота быстро становятся доминирующими; используйте как акцент.</x:v>
      </x:c>
      <x:c r="J14" s="28" t="str">
        <x:v>соус, глазировка, чатни, маринад, гарнир или основное блюдо</x:v>
      </x:c>
      <x:c r="K14" s="28" t="str">
        <x:v>Средняя</x:v>
      </x:c>
      <x:c r="L14" s="28" t="str">
        <x:v>The Art &amp; Science of Foodpairing.pdf</x:v>
      </x:c>
      <x:c r="M14" s="28" t="str">
        <x:v>The Art &amp; Science of Foodpairing.pdf: 246 | The Art &amp; Science of Foodpairing.pdf: 247</x:v>
      </x:c>
    </x:row>
    <x:row r="15" ht="64" customHeight="1">
      <x:c r="A15" s="28" t="str">
        <x:v>STN-0017</x:v>
      </x:c>
      <x:c r="B15" s="28" t="str">
        <x:v>абрикос</x:v>
      </x:c>
      <x:c r="C15" s="28" t="str">
        <x:v>абрикос</x:v>
      </x:c>
      <x:c r="D15" s="28" t="str">
        <x:v>жареный каштан</x:v>
      </x:c>
      <x:c r="E15" s="28" t="str">
        <x:v>Орехи и семена</x:v>
      </x:c>
      <x:c r="F15" s="28" t="str">
        <x:v>прямое или классовое перекрытие характерных одорантов + вкусовой баланс</x:v>
      </x:c>
      <x:c r="G1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Жареный каштан относится к группе «Орехи и семена» и даёт профиль «ореховый, жареный, древесный, иногда миндальный»; типичные соединения или классы: бензальдегид, пиразины, фураны, лактоны и липидные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1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1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J15" s="28" t="str">
        <x:v>тарт, крем, мороженое, выпечка, сырная подача или начинка</x:v>
      </x:c>
      <x:c r="K15" s="28" t="str">
        <x:v>Средняя</x:v>
      </x:c>
      <x:c r="L15" s="28" t="str">
        <x:v>The Art &amp; Science of Foodpairing.pdf</x:v>
      </x:c>
      <x:c r="M15" s="28" t="str">
        <x:v>The Art &amp; Science of Foodpairing.pdf: 206</x:v>
      </x:c>
    </x:row>
    <x:row r="16" ht="64" customHeight="1">
      <x:c r="A16" s="28" t="str">
        <x:v>STN-0018</x:v>
      </x:c>
      <x:c r="B16" s="28" t="str">
        <x:v>абрикос</x:v>
      </x:c>
      <x:c r="C16" s="28" t="str">
        <x:v>абрикос</x:v>
      </x:c>
      <x:c r="D16" s="28" t="str">
        <x:v>жареный фундук</x:v>
      </x:c>
      <x:c r="E16" s="28" t="str">
        <x:v>Орехи и семена</x:v>
      </x:c>
      <x:c r="F16" s="28" t="str">
        <x:v>прямое или классовое перекрытие характерных одорантов + вкусовой баланс</x:v>
      </x:c>
      <x:c r="G1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Жареный фундук относится к группе «Орехи и семена» и даёт профиль «жареный, миндальный, ореховый»; типичные соединения или классы: бензальдегид, пиразины, фураны.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J16" s="28" t="str">
        <x:v>тарт, крем, мороженое, выпечка, сырная подача или начинка</x:v>
      </x:c>
      <x:c r="K16" s="28" t="str">
        <x:v>Средняя</x:v>
      </x:c>
      <x:c r="L16" s="28" t="str">
        <x:v>The Art &amp; Science of Foodpairing.pdf</x:v>
      </x:c>
      <x:c r="M16" s="28" t="str">
        <x:v>The Art &amp; Science of Foodpairing.pdf: 206</x:v>
      </x:c>
    </x:row>
    <x:row r="17" ht="64" customHeight="1">
      <x:c r="A17" s="28" t="str">
        <x:v>STN-0019</x:v>
      </x:c>
      <x:c r="B17" s="28" t="str">
        <x:v>абрикос</x:v>
      </x:c>
      <x:c r="C17" s="28" t="str">
        <x:v>абрикос</x:v>
      </x:c>
      <x:c r="D17" s="28" t="str">
        <x:v>запеченный морской язык</x:v>
      </x:c>
      <x:c r="E17" s="28" t="str">
        <x:v>Рыба и морепродукты</x:v>
      </x:c>
      <x:c r="F17" s="28" t="str">
        <x:v>комплементарность ароматических семейств, вкусовой контраст и матричный эффект</x:v>
      </x:c>
      <x:c r="G1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Запеченный морской язык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 мякоть; низкий жир; кожица и косточка могут добавлять терпкость и миндальный оттенок. Партнёр: водно-белковая матрица; жирная рыба лучше удерживает лактоны.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1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1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сладость и длительный контакт с кислотой могут замаскировать морской вкус и изменить белковую текстуру.</x:v>
      </x:c>
      <x:c r="J17" s="28" t="str">
        <x:v>соус, глазировка, чатни, маринад, гарнир или основное блюдо</x:v>
      </x:c>
      <x:c r="K17" s="28" t="str">
        <x:v>Средняя</x:v>
      </x:c>
      <x:c r="L17" s="28" t="str">
        <x:v>The Art &amp; Science of Foodpairing.pdf</x:v>
      </x:c>
      <x:c r="M17" s="28" t="str">
        <x:v>The Art &amp; Science of Foodpairing.pdf: 104</x:v>
      </x:c>
    </x:row>
    <x:row r="18" ht="64" customHeight="1">
      <x:c r="A18" s="28" t="str">
        <x:v>STN-0020</x:v>
      </x:c>
      <x:c r="B18" s="28" t="str">
        <x:v>абрикос</x:v>
      </x:c>
      <x:c r="C18" s="28" t="str">
        <x:v>абрикос</x:v>
      </x:c>
      <x:c r="D18" s="28" t="str">
        <x:v>зира</x:v>
      </x:c>
      <x:c r="E18" s="28" t="str">
        <x:v>Специи и острые компоненты</x:v>
      </x:c>
      <x:c r="F18" s="28" t="str">
        <x:v>комплементарность ароматических семейств, вкусовой контраст и матричный эффект</x:v>
      </x:c>
      <x:c r="G1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Зира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18" s="28" t="str">
        <x:v>напиток, соус, десерт или горячее блюдо после пробной дегустации</x:v>
      </x:c>
      <x:c r="K18" s="28" t="str">
        <x:v>Высокая</x:v>
      </x:c>
      <x:c r="L18" s="28" t="str">
        <x:v>The Art &amp; Science of Foodpairing.pdf | Тезариус вкусов (Ники Сегнит)(1).pdf</x:v>
      </x:c>
      <x:c r="M18" s="28" t="str">
        <x:v>Тезариус вкусов (Ники Сегнит)(1).pdf: 214 | Тезариус вкусов (Ники Сегнит)(1).pdf: 742 | The Art &amp; Science of Foodpairing.pdf: 228</x:v>
      </x:c>
    </x:row>
    <x:row r="19" ht="64" customHeight="1">
      <x:c r="A19" s="28" t="str">
        <x:v>STN-0021</x:v>
      </x:c>
      <x:c r="B19" s="28" t="str">
        <x:v>абрикос</x:v>
      </x:c>
      <x:c r="C19" s="28" t="str">
        <x:v>абрикос</x:v>
      </x:c>
      <x:c r="D19" s="28" t="str">
        <x:v>икра</x:v>
      </x:c>
      <x:c r="E19" s="28" t="str">
        <x:v>Рыба и морепродукты</x:v>
      </x:c>
      <x:c r="F19" s="28" t="str">
        <x:v>комплементарность ароматических семейств, вкусовой контраст и матричный эффект</x:v>
      </x:c>
      <x:c r="G1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Икра относится к группе «Рыба и морепродукты» и даёт профиль «морской, йодистый, зелёный, жирный»; типичные соединения или классы: альдегиды окисления липидов, бромфенолы, диметилсульфид, умами-соединения.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 мякоть; низкий жир; кожица и косточка могут добавлять терпкость и миндальный оттенок. Партнёр: кислота может денатурировать поверхностные белки; жир рыбы удерживает терпены.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H1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I1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сладость и длительный контакт с кислотой могут замаскировать морской вкус и изменить белковую текстуру.</x:v>
      </x:c>
      <x:c r="J19" s="28" t="str">
        <x:v>соус, глазировка, чатни, маринад, гарнир или основное блюдо</x:v>
      </x:c>
      <x:c r="K19" s="28" t="str">
        <x:v>Средняя</x:v>
      </x:c>
      <x:c r="L19" s="28" t="str">
        <x:v>The Art &amp; Science of Foodpairing.pdf</x:v>
      </x:c>
      <x:c r="M19" s="28" t="str">
        <x:v>The Art &amp; Science of Foodpairing.pdf: 206</x:v>
      </x:c>
    </x:row>
    <x:row r="20" ht="64" customHeight="1">
      <x:c r="A20" s="28" t="str">
        <x:v>STN-0022</x:v>
      </x:c>
      <x:c r="B20" s="28" t="str">
        <x:v>абрикос</x:v>
      </x:c>
      <x:c r="C20" s="28" t="str">
        <x:v>абрикос</x:v>
      </x:c>
      <x:c r="D20" s="28" t="str">
        <x:v>имбирь</x:v>
      </x:c>
      <x:c r="E20" s="28" t="str">
        <x:v>Специи и острые компоненты</x:v>
      </x:c>
      <x:c r="F20" s="28" t="str">
        <x:v>комплементарность ароматических семейств, вкусовой контраст и матричный эффект</x:v>
      </x:c>
      <x:c r="G2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20" s="28" t="str">
        <x:v>напиток, соус, десерт или горячее блюдо после пробной дегустации</x:v>
      </x:c>
      <x:c r="K20" s="28" t="str">
        <x:v>Высокая</x:v>
      </x:c>
      <x:c r="L20" s="28" t="str">
        <x:v>Таблица сочетания(1).pdf | Тезариус вкусов (Ники Сегнит)(1).pdf</x:v>
      </x:c>
      <x:c r="M20" s="28" t="str">
        <x:v>Таблица сочетания(1).pdf: 1 | Таблица сочетания(1).pdf: 8 | Тезариус вкусов (Ники Сегнит)(1).pdf: 742 | Тезариус вкусов (Ники Сегнит)(1).pdf: 812</x:v>
      </x:c>
    </x:row>
    <x:row r="21" ht="64" customHeight="1">
      <x:c r="A21" s="28" t="str">
        <x:v>STN-0023</x:v>
      </x:c>
      <x:c r="B21" s="28" t="str">
        <x:v>абрикос</x:v>
      </x:c>
      <x:c r="C21" s="28" t="str">
        <x:v>абрикос</x:v>
      </x:c>
      <x:c r="D21" s="28" t="str">
        <x:v>испанский чоризо</x:v>
      </x:c>
      <x:c r="E21" s="28" t="str">
        <x:v>Мясо и птица</x:v>
      </x:c>
      <x:c r="F21" s="28" t="str">
        <x:v>комплементарность ароматических семейств, вкусовой контраст и матричный эффект</x:v>
      </x:c>
      <x:c r="G2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Испанский чоризо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удерживает фруктовые лактоны; белок смягчает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H2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I2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J21" s="28" t="str">
        <x:v>соус, глазировка, чатни, маринад, гарнир или основное блюдо</x:v>
      </x:c>
      <x:c r="K21" s="28" t="str">
        <x:v>Средняя</x:v>
      </x:c>
      <x:c r="L21" s="28" t="str">
        <x:v>The Art &amp; Science of Foodpairing.pdf</x:v>
      </x:c>
      <x:c r="M21" s="28" t="str">
        <x:v>The Art &amp; Science of Foodpairing.pdf: 289</x:v>
      </x:c>
    </x:row>
    <x:row r="22" ht="64" customHeight="1">
      <x:c r="A22" s="28" t="str">
        <x:v>STN-0024</x:v>
      </x:c>
      <x:c r="B22" s="28" t="str">
        <x:v>абрикос</x:v>
      </x:c>
      <x:c r="C22" s="28" t="str">
        <x:v>абрикос</x:v>
      </x:c>
      <x:c r="D22" s="28" t="str">
        <x:v>карамель</x:v>
      </x:c>
      <x:c r="E22" s="28" t="str">
        <x:v>Сахара, мёд и кондитерские основы</x:v>
      </x:c>
      <x:c r="F22" s="28" t="str">
        <x:v>комплементарность ароматических семейств, вкусовой контраст и матричный эффект</x:v>
      </x:c>
      <x:c r="G2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2" s="28" t="str">
        <x:v>напиток, соус, десерт или горячее блюдо после пробной дегустации</x:v>
      </x:c>
      <x:c r="K22" s="28" t="str">
        <x:v>Гипотеза / практическая</x:v>
      </x:c>
      <x:c r="L22" s="28" t="str">
        <x:v>Таблица сочетания(1).pdf</x:v>
      </x:c>
      <x:c r="M22" s="28" t="str">
        <x:v>Таблица сочетания(1).pdf: 1</x:v>
      </x:c>
    </x:row>
    <x:row r="23" ht="64" customHeight="1">
      <x:c r="A23" s="28" t="str">
        <x:v>STN-0025</x:v>
      </x:c>
      <x:c r="B23" s="28" t="str">
        <x:v>абрикос</x:v>
      </x:c>
      <x:c r="C23" s="28" t="str">
        <x:v>абрикос</x:v>
      </x:c>
      <x:c r="D23" s="28" t="str">
        <x:v>кардамон</x:v>
      </x:c>
      <x:c r="E23" s="28" t="str">
        <x:v>Специи и острые компоненты</x:v>
      </x:c>
      <x:c r="F23" s="28" t="str">
        <x:v>прямое или классовое перекрытие характерных одорантов + вкусовой баланс</x:v>
      </x:c>
      <x:c r="G2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Кардамон относится к группе «Специи и острые компоненты» и даёт профиль «цитрусовый, камфорный и цветочный»; типичные соединения или классы: 1,8-цинеол, α-терпинилацетат, линалоол. В рабочих профилях пересекаются: линалоол.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23" s="28" t="str">
        <x:v>напиток, соус, десерт или горячее блюдо после пробной дегустации</x:v>
      </x:c>
      <x:c r="K23" s="28" t="str">
        <x:v>Высокая</x:v>
      </x:c>
      <x:c r="L23" s="28" t="str">
        <x:v>Таблица сочетания(1).pdf | Тезариус вкусов (Ники Сегнит)(1).pdf</x:v>
      </x:c>
      <x:c r="M23" s="28" t="str">
        <x:v>Таблица сочетания(1).pdf: 1 | Тезариус вкусов (Ники Сегнит)(1).pdf: 743 | Тезариус вкусов (Ники Сегнит)(1).pdf: 825</x:v>
      </x:c>
    </x:row>
    <x:row r="24" ht="64" customHeight="1">
      <x:c r="A24" s="28" t="str">
        <x:v>STN-0026</x:v>
      </x:c>
      <x:c r="B24" s="28" t="str">
        <x:v>абрикос</x:v>
      </x:c>
      <x:c r="C24" s="28" t="str">
        <x:v>абрикос</x:v>
      </x:c>
      <x:c r="D24" s="28" t="str">
        <x:v>картофель фри</x:v>
      </x:c>
      <x:c r="E24" s="28" t="str">
        <x:v>Злаки и выпечка</x:v>
      </x:c>
      <x:c r="F24" s="28" t="str">
        <x:v>комплементарность ароматических семейств, вкусовой контраст и матричный эффект</x:v>
      </x:c>
      <x:c r="G2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Картофель фри относится к группе «Злаки и выпечка» и даёт профиль «жареный, зерновой, солодовый»; типичные соединения или классы: мальтол, пиразины, фураны.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крахмалистый, сладковатый.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крахмал и сухая пористая матрица.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4" s="28" t="str">
        <x:v>тарт, крем, мороженое, выпечка, сырная подача или начинка</x:v>
      </x:c>
      <x:c r="K24" s="28" t="str">
        <x:v>Средняя</x:v>
      </x:c>
      <x:c r="L24" s="28" t="str">
        <x:v>The Art &amp; Science of Foodpairing.pdf</x:v>
      </x:c>
      <x:c r="M24" s="28" t="str">
        <x:v>The Art &amp; Science of Foodpairing.pdf: 196</x:v>
      </x:c>
    </x:row>
    <x:row r="25" ht="64" customHeight="1">
      <x:c r="A25" s="28" t="str">
        <x:v>STN-0028</x:v>
      </x:c>
      <x:c r="B25" s="28" t="str">
        <x:v>абрикос</x:v>
      </x:c>
      <x:c r="C25" s="28" t="str">
        <x:v>абрикос</x:v>
      </x:c>
      <x:c r="D25" s="28" t="str">
        <x:v>кленовый сироп</x:v>
      </x:c>
      <x:c r="E25" s="28" t="str">
        <x:v>Сахара, мёд и кондитерские основы</x:v>
      </x:c>
      <x:c r="F25" s="28" t="str">
        <x:v>комплементарность ароматических семейств, вкусовой контраст и матричный эффект</x:v>
      </x:c>
      <x:c r="G2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По доступным материалам нельзя уверенно свести совместимость к одной общей молекуле. Общие ароматические направления: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5" s="28" t="str">
        <x:v>напиток, соус, десерт или горячее блюдо после пробной дегустации</x:v>
      </x:c>
      <x:c r="K25" s="28" t="str">
        <x:v>Гипотеза / практическая</x:v>
      </x:c>
      <x:c r="L25" s="28" t="str">
        <x:v>Таблица сочетания(1).pdf</x:v>
      </x:c>
      <x:c r="M25" s="28" t="str">
        <x:v>Таблица сочетания(1).pdf: 13</x:v>
      </x:c>
    </x:row>
    <x:row r="26" ht="64" customHeight="1">
      <x:c r="A26" s="28" t="str">
        <x:v>STN-0030</x:v>
      </x:c>
      <x:c r="B26" s="28" t="str">
        <x:v>абрикос</x:v>
      </x:c>
      <x:c r="C26" s="28" t="str">
        <x:v>абрикос</x:v>
      </x:c>
      <x:c r="D26" s="28" t="str">
        <x:v>козий сыр</x:v>
      </x:c>
      <x:c r="E26" s="28" t="str">
        <x:v>Сыры и молочные продукты</x:v>
      </x:c>
      <x:c r="F26" s="28" t="str">
        <x:v>комплементарность ароматических семейств, вкусовой контраст и матричный эффект</x:v>
      </x:c>
      <x:c r="G2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Козий сыр относится к группе «Сыры и молочные продукты» и даёт профиль «молочный, травянистый и пикантный»; типичные соединения или классы: капроновая и каприловая кислоты, метилкетоны.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 мякоть; низкий жир; кожица и косточка могут добавлять терпкость и миндальный оттенок. Жир и белок партнёра удерживают гидрофобные лактоны, но высокая фруктовая кислота может нарушить молочную эмульсию.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H2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I2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кислоты может свернуть молочную основу; фрукт и сыр проверяют при рабочей температуре.</x:v>
      </x:c>
      <x:c r="J26" s="28" t="str">
        <x:v>тарт, крем, мороженое, выпечка, сырная подача или начинка</x:v>
      </x:c>
      <x:c r="K26" s="28" t="str">
        <x:v>Высокая</x:v>
      </x:c>
      <x:c r="L26" s="28" t="str">
        <x:v>The Art &amp; Science of Foodpairing.pdf | Тезариус вкусов (Ники Сегнит)(1).pdf</x:v>
      </x:c>
      <x:c r="M26" s="28" t="str">
        <x:v>Тезариус вкусов (Ники Сегнит)(1).pdf: 136 | Тезариус вкусов (Ники Сегнит)(1).pdf: 743 | The Art &amp; Science of Foodpairing.pdf: 200</x:v>
      </x:c>
    </x:row>
    <x:row r="27" ht="64" customHeight="1">
      <x:c r="A27" s="28" t="str">
        <x:v>STN-0031</x:v>
      </x:c>
      <x:c r="B27" s="28" t="str">
        <x:v>абрикос</x:v>
      </x:c>
      <x:c r="C27" s="28" t="str">
        <x:v>абрикос</x:v>
      </x:c>
      <x:c r="D27" s="28" t="str">
        <x:v>корица</x:v>
      </x:c>
      <x:c r="E27" s="28" t="str">
        <x:v>Специи и острые компоненты</x:v>
      </x:c>
      <x:c r="F27" s="28" t="str">
        <x:v>комплементарность ароматических семейств, вкусовой контраст и матричный эффект</x:v>
      </x:c>
      <x:c r="G2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27" s="28" t="str">
        <x:v>напиток, соус, десерт или горячее блюдо после пробной дегустации</x:v>
      </x:c>
      <x:c r="K27" s="28" t="str">
        <x:v>Средняя</x:v>
      </x:c>
      <x:c r="L27" s="28" t="str">
        <x:v>Тезариус вкусов (Ники Сегнит)(1).pdf</x:v>
      </x:c>
      <x:c r="M27" s="28" t="str">
        <x:v>Тезариус вкусов (Ники Сегнит)(1).pdf: 572 | Тезариус вкусов (Ники Сегнит)(1).pdf: 743</x:v>
      </x:c>
    </x:row>
    <x:row r="28" ht="64" customHeight="1">
      <x:c r="A28" s="28" t="str">
        <x:v>STN-0032</x:v>
      </x:c>
      <x:c r="B28" s="28" t="str">
        <x:v>абрикос</x:v>
      </x:c>
      <x:c r="C28" s="28" t="str">
        <x:v>абрикос</x:v>
      </x:c>
      <x:c r="D28" s="28" t="str">
        <x:v>кофе</x:v>
      </x:c>
      <x:c r="E28" s="28" t="str">
        <x:v>Чай, кофе и какао</x:v>
      </x:c>
      <x:c r="F28" s="28" t="str">
        <x:v>комплементарность ароматических семейств, вкусовой контраст и матричный эффект</x:v>
      </x:c>
      <x:c r="G2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Кофе относится к группе «Чай, кофе и какао» и даёт профиль «жареный, шоколадный и дымный»; типичные соединения или классы: пиразины, фураны, гуаякол.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жареная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водные настои извлекают полифенолы; жир и сахар смягчают горечь.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2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2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8" s="28" t="str">
        <x:v>напиток, соус, десерт или горячее блюдо после пробной дегустации</x:v>
      </x:c>
      <x:c r="K28" s="28" t="str">
        <x:v>Гипотеза / практическая</x:v>
      </x:c>
      <x:c r="L28" s="28" t="str">
        <x:v>Таблица сочетания(1).pdf</x:v>
      </x:c>
      <x:c r="M28" s="28" t="str">
        <x:v>Таблица сочетания(1).pdf: 6</x:v>
      </x:c>
    </x:row>
    <x:row r="29" ht="64" customHeight="1">
      <x:c r="A29" s="28" t="str">
        <x:v>STN-0033</x:v>
      </x:c>
      <x:c r="B29" s="28" t="str">
        <x:v>абрикос</x:v>
      </x:c>
      <x:c r="C29" s="28" t="str">
        <x:v>абрикос</x:v>
      </x:c>
      <x:c r="D29" s="28" t="str">
        <x:v>красный сладкий перец</x:v>
      </x:c>
      <x:c r="E29" s="28" t="str">
        <x:v>Специи</x:v>
      </x:c>
      <x:c r="F29" s="28" t="str">
        <x:v>комплементарность ароматических семейств, вкусовой контраст и матричный эффект</x:v>
      </x:c>
      <x:c r="G2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Красный сладкий перец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пряный, иногда горький.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хорошо извлекаются спиртом и жиром.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9" s="28" t="str">
        <x:v>напиток, соус, десерт или горячее блюдо после пробной дегустации</x:v>
      </x:c>
      <x:c r="K29" s="28" t="str">
        <x:v>Средняя</x:v>
      </x:c>
      <x:c r="L29" s="28" t="str">
        <x:v>The Art &amp; Science of Foodpairing.pdf</x:v>
      </x:c>
      <x:c r="M29" s="28" t="str">
        <x:v>The Art &amp; Science of Foodpairing.pdf: 106 | The Art &amp; Science of Foodpairing.pdf: 108</x:v>
      </x:c>
    </x:row>
    <x:row r="30" ht="64" customHeight="1">
      <x:c r="A30" s="28" t="str">
        <x:v>STN-0034</x:v>
      </x:c>
      <x:c r="B30" s="28" t="str">
        <x:v>абрикос</x:v>
      </x:c>
      <x:c r="C30" s="28" t="str">
        <x:v>абрикос</x:v>
      </x:c>
      <x:c r="D30" s="28" t="str">
        <x:v>куриный бульон</x:v>
      </x:c>
      <x:c r="E30" s="28" t="str">
        <x:v>Мясо и птица</x:v>
      </x:c>
      <x:c r="F30" s="28" t="str">
        <x:v>комплементарность ароматических семейств, вкусовой контраст и матричный эффект</x:v>
      </x:c>
      <x:c r="G3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Куриный бульон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удерживает фруктовые лактоны; белок смягчает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H3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I3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J30" s="28" t="str">
        <x:v>соус, глазировка, чатни, маринад, гарнир или основное блюдо</x:v>
      </x:c>
      <x:c r="K30" s="28" t="str">
        <x:v>Средняя</x:v>
      </x:c>
      <x:c r="L30" s="28" t="str">
        <x:v>The Art &amp; Science of Foodpairing.pdf</x:v>
      </x:c>
      <x:c r="M30" s="28" t="str">
        <x:v>The Art &amp; Science of Foodpairing.pdf: 206</x:v>
      </x:c>
    </x:row>
    <x:row r="31" ht="64" customHeight="1">
      <x:c r="A31" s="28" t="str">
        <x:v>STN-0035</x:v>
      </x:c>
      <x:c r="B31" s="28" t="str">
        <x:v>абрикос</x:v>
      </x:c>
      <x:c r="C31" s="28" t="str">
        <x:v>абрикос</x:v>
      </x:c>
      <x:c r="D31" s="28" t="str">
        <x:v>лаванда</x:v>
      </x:c>
      <x:c r="E31" s="28" t="str">
        <x:v>Травы и цветы</x:v>
      </x:c>
      <x:c r="F31" s="28" t="str">
        <x:v>прямое или классовое перекрытие характерных одорантов + вкусовой баланс</x:v>
      </x:c>
      <x:c r="G3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Лаванда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1" s="28" t="str">
        <x:v>напиток, соус, десерт или горячее блюдо после пробной дегустации</x:v>
      </x:c>
      <x:c r="K31" s="28" t="str">
        <x:v>Гипотеза / практическая</x:v>
      </x:c>
      <x:c r="L31" s="28" t="str">
        <x:v>Таблица сочетания(1).pdf</x:v>
      </x:c>
      <x:c r="M31" s="28" t="str">
        <x:v>Таблица сочетания(1).pdf: 11</x:v>
      </x:c>
    </x:row>
    <x:row r="32" ht="64" customHeight="1">
      <x:c r="A32" s="28" t="str">
        <x:v>STN-0037</x:v>
      </x:c>
      <x:c r="B32" s="28" t="str">
        <x:v>абрикос</x:v>
      </x:c>
      <x:c r="C32" s="28" t="str">
        <x:v>абрикос</x:v>
      </x:c>
      <x:c r="D32" s="28" t="str">
        <x:v>лемонграсс</x:v>
      </x:c>
      <x:c r="E32" s="28" t="str">
        <x:v>Травы и цветы</x:v>
      </x:c>
      <x:c r="F32" s="28" t="str">
        <x:v>прямое или классовое перекрытие характерных одорантов + вкусовой баланс</x:v>
      </x:c>
      <x:c r="G3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Лемонграсс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2" s="28" t="str">
        <x:v>напиток, соус, десерт или горячее блюдо после пробной дегустации</x:v>
      </x:c>
      <x:c r="K32" s="28" t="str">
        <x:v>Средняя</x:v>
      </x:c>
      <x:c r="L32" s="28" t="str">
        <x:v>The Art &amp; Science of Foodpairing.pdf</x:v>
      </x:c>
      <x:c r="M32" s="28" t="str">
        <x:v>The Art &amp; Science of Foodpairing.pdf: 146</x:v>
      </x:c>
    </x:row>
    <x:row r="33" ht="64" customHeight="1">
      <x:c r="A33" s="28" t="str">
        <x:v>STN-0040</x:v>
      </x:c>
      <x:c r="B33" s="28" t="str">
        <x:v>абрикос</x:v>
      </x:c>
      <x:c r="C33" s="28" t="str">
        <x:v>абрикос</x:v>
      </x:c>
      <x:c r="D33" s="28" t="str">
        <x:v>манго</x:v>
      </x:c>
      <x:c r="E33" s="28" t="str">
        <x:v>Тропические фрукты</x:v>
      </x:c>
      <x:c r="F33" s="28" t="str">
        <x:v>прямое или классовое перекрытие характерных одорантов + вкусовой баланс</x:v>
      </x:c>
      <x:c r="G3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Манго относится к группе «Тропические фрукты» и даёт профиль «тропический, смолистый, цитрусовый, цветочный, сливочный; сильно зависит от сорта»; типичные соединения или классы: δ-3-карен, лимонен, мирцен, линалоол, γ- и δ-лактоны, фруктовые эфиры. В рабочих профилях пересекаются: линалоол, фруктовые эфиры.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умеренная кислотность, иногда смолистая горечь кожицы.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мякоть вязкая и богатая каротиноидами; ароматические терпены и лактоны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H3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I3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3" s="28" t="str">
        <x:v>напиток, соус, десерт или горячее блюдо после пробной дегустации</x:v>
      </x:c>
      <x:c r="K33" s="28" t="str">
        <x:v>Высокая</x:v>
      </x:c>
      <x:c r="L33" s="28" t="str">
        <x:v>The Art &amp; Science of Foodpairing.pdf | Тезариус вкусов (Ники Сегнит)(1).pdf</x:v>
      </x:c>
      <x:c r="M33" s="28" t="str">
        <x:v>Тезариус вкусов (Ники Сегнит)(1).pdf: Тезаурус вкусов: 743 | Тезариус вкусов (Ники Сегнит)(1).pdf: 743 | The Art &amp; Science of Foodpairing.pdf: 313</x:v>
      </x:c>
    </x:row>
    <x:row r="34" ht="64" customHeight="1">
      <x:c r="A34" s="28" t="str">
        <x:v>STN-0041</x:v>
      </x:c>
      <x:c r="B34" s="28" t="str">
        <x:v>абрикос</x:v>
      </x:c>
      <x:c r="C34" s="28" t="str">
        <x:v>абрикос</x:v>
      </x:c>
      <x:c r="D34" s="28" t="str">
        <x:v>мед</x:v>
      </x:c>
      <x:c r="E34" s="28" t="str">
        <x:v>Сахара, мёд и кондитерские основы</x:v>
      </x:c>
      <x:c r="F34" s="28" t="str">
        <x:v>комплементарность ароматических семейств, вкусовой контраст и матричный эффект</x:v>
      </x:c>
      <x:c r="G3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3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3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4" s="28" t="str">
        <x:v>напиток, соус, десерт или горячее блюдо после пробной дегустации</x:v>
      </x:c>
      <x:c r="K34" s="28" t="str">
        <x:v>Гипотеза / практическая</x:v>
      </x:c>
      <x:c r="L34" s="28" t="str">
        <x:v>Таблица сочетания(1).pdf</x:v>
      </x:c>
      <x:c r="M34" s="28" t="str">
        <x:v>Таблица сочетания(1).pdf: 1</x:v>
      </x:c>
    </x:row>
    <x:row r="35" ht="64" customHeight="1">
      <x:c r="A35" s="28" t="str">
        <x:v>STN-0042</x:v>
      </x:c>
      <x:c r="B35" s="28" t="str">
        <x:v>абрикос</x:v>
      </x:c>
      <x:c r="C35" s="28" t="str">
        <x:v>абрикос</x:v>
      </x:c>
      <x:c r="D35" s="28" t="str">
        <x:v>миндаль</x:v>
      </x:c>
      <x:c r="E35" s="28" t="str">
        <x:v>Орехи и семена</x:v>
      </x:c>
      <x:c r="F35" s="28" t="str">
        <x:v>прямое или классовое перекрытие характерных одорантов + вкусовой баланс</x:v>
      </x:c>
      <x:c r="G3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Миндаль относится к группе «Орехи и семена» и даёт профиль «марципановый и ореховый»; типичные соединения или классы: бензальдегид, пиразины после обжарки.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J35" s="28" t="str">
        <x:v>тарт, крем, мороженое, выпечка, сырная подача или начинка</x:v>
      </x:c>
      <x:c r="K35" s="28" t="str">
        <x:v>Высокая</x:v>
      </x:c>
      <x:c r="L35" s="28" t="str">
        <x:v>The Art &amp; Science of Foodpairing.pdf | Таблица сочетания(1).pdf | Тезариус вкусов (Ники Сегнит)(1).pdf</x:v>
      </x:c>
      <x:c r="M35" s="28" t="str">
        <x:v>Таблица сочетания(1).pdf: 1 | Тезариус вкусов (Ники Сегнит)(1).pdf: 641 | Тезариус вкусов (Ники Сегнит)(1).pdf: 743 | The Art &amp; Science of Foodpairing.pdf: 344 | The Art &amp; Science of Foodpairing.pdf: 347</x:v>
      </x:c>
    </x:row>
    <x:row r="36" ht="64" customHeight="1">
      <x:c r="A36" s="28" t="str">
        <x:v>STN-0043</x:v>
      </x:c>
      <x:c r="B36" s="28" t="str">
        <x:v>абрикос</x:v>
      </x:c>
      <x:c r="C36" s="28" t="str">
        <x:v>абрикос</x:v>
      </x:c>
      <x:c r="D36" s="28" t="str">
        <x:v>мирабель</x:v>
      </x:c>
      <x:c r="E36" s="28" t="str">
        <x:v>Косточковые фрукты</x:v>
      </x:c>
      <x:c r="F36" s="28" t="str">
        <x:v>прямое или классовое перекрытие характерных одорантов + вкусовой баланс</x:v>
      </x:c>
      <x:c r="G3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Мирабель относится к группе «Косточковые фрукты» и даёт профиль «медовый, цветочный, сливовый, винный и слегка миндальный»; типичные соединения или классы: фруктовые эфиры, линалоол, бензальдегид, лактоны, дамасценон. В рабочих профилях пересекаются: бензальдегид, линалоол, дамасценон, фруктовые эфиры. Общие ароматические направления: цветочный, миндальный,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 и умеренная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 мякоть; особенно хорошо переносит дистилляцию и ферментацию.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мёд и джем; ферментация и дистилляция подчёркивают эфирный сливовый профиль.</x:v>
      </x:c>
      <x:c r="H3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мёд и джем; ферментация и дистилляция подчёркивают эфирный сливовый профиль.</x:v>
      </x:c>
      <x:c r="I3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6" s="28" t="str">
        <x:v>напиток, соус, десерт или горячее блюдо после пробной дегустации</x:v>
      </x:c>
      <x:c r="K36" s="28" t="str">
        <x:v>Средняя</x:v>
      </x:c>
      <x:c r="L36" s="28" t="str">
        <x:v>The Art &amp; Science of Foodpairing.pdf</x:v>
      </x:c>
      <x:c r="M36" s="28" t="str">
        <x:v>The Art &amp; Science of Foodpairing.pdf: 206</x:v>
      </x:c>
    </x:row>
    <x:row r="37" ht="64" customHeight="1">
      <x:c r="A37" s="28" t="str">
        <x:v>STN-0044</x:v>
      </x:c>
      <x:c r="B37" s="28" t="str">
        <x:v>абрикос</x:v>
      </x:c>
      <x:c r="C37" s="28" t="str">
        <x:v>абрикос</x:v>
      </x:c>
      <x:c r="D37" s="28" t="str">
        <x:v>мята</x:v>
      </x:c>
      <x:c r="E37" s="28" t="str">
        <x:v>Травы и цветы</x:v>
      </x:c>
      <x:c r="F37" s="28" t="str">
        <x:v>комплементарность ароматических семейств, вкусовой контраст и матричный эффект</x:v>
      </x:c>
      <x:c r="G3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7" s="28" t="str">
        <x:v>напиток, соус, десерт или горячее блюдо после пробной дегустации</x:v>
      </x:c>
      <x:c r="K37" s="28" t="str">
        <x:v>Гипотеза / практическая</x:v>
      </x:c>
      <x:c r="L37" s="28" t="str">
        <x:v>Таблица сочетания(1).pdf</x:v>
      </x:c>
      <x:c r="M37" s="28" t="str">
        <x:v>Таблица сочетания(1).pdf: 1 | Таблица сочетания(1).pdf: 13</x:v>
      </x:c>
    </x:row>
    <x:row r="38" ht="64" customHeight="1">
      <x:c r="A38" s="28" t="str">
        <x:v>STN-0045</x:v>
      </x:c>
      <x:c r="B38" s="28" t="str">
        <x:v>абрикос</x:v>
      </x:c>
      <x:c r="C38" s="28" t="str">
        <x:v>абрикос</x:v>
      </x:c>
      <x:c r="D38" s="28" t="str">
        <x:v>нектарин</x:v>
      </x:c>
      <x:c r="E38" s="28" t="str">
        <x:v>Косточковые фрукты</x:v>
      </x:c>
      <x:c r="F38" s="28" t="str">
        <x:v>прямое или классовое перекрытие характерных одорантов + вкусовой баланс</x:v>
      </x:c>
      <x:c r="G3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Нектарин относится к группе «Косточковые фрукты» и даёт профиль «персиковый, фруктовый, цветочный, зелёный, сливочно-лактонный»; типичные соединения или классы: γ- и δ-декалактон, γ- и δ-додекалактон, фруктовые эфиры, линалоол, бензальдегид, C6-альдегиды. В рабочих профилях пересекаются: бензальдегид, линалоол, фруктовые эфиры. Общие ароматические направления: цветочный, фруктовый, лактонный.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сладкий, сочный, с умеренной кислотностью; профиль близок к персику, но кожица гладкая и часто более ярко-фруктовая.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водно-пектиновая; гидрофобные лактоны лучше проявляются в жире 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H3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I3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8" s="28" t="str">
        <x:v>напиток, соус, десерт или горячее блюдо после пробной дегустации</x:v>
      </x:c>
      <x:c r="K38" s="28" t="str">
        <x:v>Гипотеза / практическая</x:v>
      </x:c>
      <x:c r="L38" s="28" t="str">
        <x:v>Таблица сочетания(1).pdf</x:v>
      </x:c>
      <x:c r="M38" s="28" t="str">
        <x:v>Таблица сочетания(1).pdf: 14</x:v>
      </x:c>
    </x:row>
    <x:row r="39" ht="64" customHeight="1">
      <x:c r="A39" s="28" t="str">
        <x:v>STN-0046</x:v>
      </x:c>
      <x:c r="B39" s="28" t="str">
        <x:v>абрикос</x:v>
      </x:c>
      <x:c r="C39" s="28" t="str">
        <x:v>абрикос</x:v>
      </x:c>
      <x:c r="D39" s="28" t="str">
        <x:v>обжаренный кунжут</x:v>
      </x:c>
      <x:c r="E39" s="28" t="str">
        <x:v>Орехи и семена</x:v>
      </x:c>
      <x:c r="F39" s="28" t="str">
        <x:v>прямое или классовое перекрытие характерных одорантов + вкусовой баланс</x:v>
      </x:c>
      <x:c r="G3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Обжаренный кунжут относится к группе «Орехи и семена» и даёт профиль «ореховый, жареный, древесный, иногда миндальный»; типичные соединения или классы: бензальдегид, пиразины, фураны, лактоны и липидные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3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3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J39" s="28" t="str">
        <x:v>тарт, крем, мороженое, выпечка, сырная подача или начинка</x:v>
      </x:c>
      <x:c r="K39" s="28" t="str">
        <x:v>Средняя</x:v>
      </x:c>
      <x:c r="L39" s="28" t="str">
        <x:v>The Art &amp; Science of Foodpairing.pdf</x:v>
      </x:c>
      <x:c r="M39" s="28" t="str">
        <x:v>The Art &amp; Science of Foodpairing.pdf: 309</x:v>
      </x:c>
    </x:row>
    <x:row r="40" ht="64" customHeight="1">
      <x:c r="A40" s="28" t="str">
        <x:v>STN-0047</x:v>
      </x:c>
      <x:c r="B40" s="28" t="str">
        <x:v>абрикос</x:v>
      </x:c>
      <x:c r="C40" s="28" t="str">
        <x:v>абрикос</x:v>
      </x:c>
      <x:c r="D40" s="28" t="str">
        <x:v>оливковое масло</x:v>
      </x:c>
      <x:c r="E40" s="28" t="str">
        <x:v>Молочные продукты и сыры</x:v>
      </x:c>
      <x:c r="F40" s="28" t="str">
        <x:v>комплементарность ароматических семейств, вкусовой контраст и матричный эффект</x:v>
      </x:c>
      <x:c r="G4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жирный, кислый/солёный.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жировая и белковая матрица смягчает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4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4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0" s="28" t="str">
        <x:v>напиток, соус, десерт или горячее блюдо после пробной дегустации</x:v>
      </x:c>
      <x:c r="K40" s="28" t="str">
        <x:v>Средняя</x:v>
      </x:c>
      <x:c r="L40" s="28" t="str">
        <x:v>The Art &amp; Science of Foodpairing.pdf</x:v>
      </x:c>
      <x:c r="M40" s="28" t="str">
        <x:v>The Art &amp; Science of Foodpairing.pdf: 173</x:v>
      </x:c>
    </x:row>
    <x:row r="41" ht="64" customHeight="1">
      <x:c r="A41" s="28" t="str">
        <x:v>STN-0048</x:v>
      </x:c>
      <x:c r="B41" s="28" t="str">
        <x:v>абрикос</x:v>
      </x:c>
      <x:c r="C41" s="28" t="str">
        <x:v>абрикос</x:v>
      </x:c>
      <x:c r="D41" s="28" t="str">
        <x:v>отварная или запеченная свекла</x:v>
      </x:c>
      <x:c r="E41" s="28" t="str">
        <x:v>Овощи и корнеплоды</x:v>
      </x:c>
      <x:c r="F41" s="28" t="str">
        <x:v>комплементарность ароматических семейств, вкусовой контраст и матричный эффект</x:v>
      </x:c>
      <x:c r="G4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Отварная или запеченная свекла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сладость, горечь, умами и вода.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и клетчаточная матрица; обжарка усиливает сладость и Майяр.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4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4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1" s="28" t="str">
        <x:v>соус, глазировка, чатни, маринад, гарнир или основное блюдо</x:v>
      </x:c>
      <x:c r="K41" s="28" t="str">
        <x:v>Средняя</x:v>
      </x:c>
      <x:c r="L41" s="28" t="str">
        <x:v>The Art &amp; Science of Foodpairing.pdf</x:v>
      </x:c>
      <x:c r="M41" s="28" t="str">
        <x:v>The Art &amp; Science of Foodpairing.pdf: 223 | The Art &amp; Science of Foodpairing.pdf: 224</x:v>
      </x:c>
    </x:row>
    <x:row r="42" ht="64" customHeight="1">
      <x:c r="A42" s="28" t="str">
        <x:v>STN-0049</x:v>
      </x:c>
      <x:c r="B42" s="28" t="str">
        <x:v>абрикос</x:v>
      </x:c>
      <x:c r="C42" s="28" t="str">
        <x:v>абрикос</x:v>
      </x:c>
      <x:c r="D42" s="28" t="str">
        <x:v>отварной картофель</x:v>
      </x:c>
      <x:c r="E42" s="28" t="str">
        <x:v>Овощи и корнеплоды</x:v>
      </x:c>
      <x:c r="F42" s="28" t="str">
        <x:v>комплементарность ароматических семейств, вкусовой контраст и матричный эффект</x:v>
      </x:c>
      <x:c r="G4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Отварной картофель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сладость, горечь, умами и вода.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и клетчаточная матрица; обжарка усиливает сладость и Майяр.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4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4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2" s="28" t="str">
        <x:v>соус, глазировка, чатни, маринад, гарнир или основное блюдо</x:v>
      </x:c>
      <x:c r="K42" s="28" t="str">
        <x:v>Средняя</x:v>
      </x:c>
      <x:c r="L42" s="28" t="str">
        <x:v>The Art &amp; Science of Foodpairing.pdf</x:v>
      </x:c>
      <x:c r="M42" s="28" t="str">
        <x:v>The Art &amp; Science of Foodpairing.pdf: 206</x:v>
      </x:c>
    </x:row>
    <x:row r="43" ht="64" customHeight="1">
      <x:c r="A43" s="28" t="str">
        <x:v>STN-0050</x:v>
      </x:c>
      <x:c r="B43" s="28" t="str">
        <x:v>абрикос</x:v>
      </x:c>
      <x:c r="C43" s="28" t="str">
        <x:v>абрикос</x:v>
      </x:c>
      <x:c r="D43" s="28" t="str">
        <x:v>отварной лангустин</x:v>
      </x:c>
      <x:c r="E43" s="28" t="str">
        <x:v>Рыба и морепродукты</x:v>
      </x:c>
      <x:c r="F43" s="28" t="str">
        <x:v>комплементарность ароматических семейств, вкусовой контраст и матричный эффект</x:v>
      </x:c>
      <x:c r="G4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Отварной лангустин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 мякоть; низкий жир; кожица и косточка могут добавлять терпкость и миндальный оттенок. Партнёр: водно-белковая матрица; жирная рыба лучше удерживает лактоны.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4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4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сладость и длительный контакт с кислотой могут замаскировать морской вкус и изменить белковую текстуру.</x:v>
      </x:c>
      <x:c r="J43" s="28" t="str">
        <x:v>соус, глазировка, чатни, маринад, гарнир или основное блюдо</x:v>
      </x:c>
      <x:c r="K43" s="28" t="str">
        <x:v>Средняя</x:v>
      </x:c>
      <x:c r="L43" s="28" t="str">
        <x:v>The Art &amp; Science of Foodpairing.pdf</x:v>
      </x:c>
      <x:c r="M43" s="28" t="str">
        <x:v>The Art &amp; Science of Foodpairing.pdf: 206</x:v>
      </x:c>
    </x:row>
    <x:row r="44" ht="64" customHeight="1">
      <x:c r="A44" s="28" t="str">
        <x:v>STN-0051</x:v>
      </x:c>
      <x:c r="B44" s="28" t="str">
        <x:v>абрикос</x:v>
      </x:c>
      <x:c r="C44" s="28" t="str">
        <x:v>абрикос</x:v>
      </x:c>
      <x:c r="D44" s="28" t="str">
        <x:v>персик</x:v>
      </x:c>
      <x:c r="E44" s="28" t="str">
        <x:v>Косточковые фрукты</x:v>
      </x:c>
      <x:c r="F44" s="28" t="str">
        <x:v>прямое или классовое перекрытие характерных одорантов + вкусовой баланс</x:v>
      </x:c>
      <x:c r="G4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Персик относится к группе «Косточковые фрукты» и даёт профиль «сливочный, персиковый, кокосово-лактонный, цветочный, зелёный»; типичные соединения или классы: γ- и δ-декалактон, γ- и δ-додекалактон, линалоол, бензальдегид, гексаналь, цис-3-гексенол. В рабочих профилях пересекаются: бензальдегид, линалоол. Общие ароматические направления: цветочный, лактонный. 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сладость, умеренная кислотность; беломякотные сорта обычно слаще и мягче по кислоте.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 мякоть; кожица несёт зелёные и цветочные ноты; лактоны хорошо удерживаются жиром и этанолом.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спелость резко увеличивает аромат; нагрев усиливает варенье, карамель и миндальные оттенки, но снижает свежую цветочность.</x:v>
      </x:c>
      <x:c r="H4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спелость резко увеличивает аромат; нагрев усиливает варенье, карамель и миндальные оттенки, но снижает свежую цветочность.</x:v>
      </x:c>
      <x:c r="I4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4" s="28" t="str">
        <x:v>напиток, соус, десерт или горячее блюдо после пробной дегустации</x:v>
      </x:c>
      <x:c r="K44" s="28" t="str">
        <x:v>Высокая</x:v>
      </x:c>
      <x:c r="L44" s="28" t="str">
        <x:v>The Art &amp; Science of Foodpairing.pdf | Таблица сочетания(1).pdf | Тезариус вкусов (Ники Сегнит)(1).pdf</x:v>
      </x:c>
      <x:c r="M44" s="28" t="str">
        <x:v>Таблица сочетания(1).pdf: 1 | Таблица сочетания(1).pdf: 15 | Тезариус вкусов (Ники Сегнит)(1).pdf: 743 | Тезариус вкусов (Ники Сегнит)(1).pdf: 747 | The Art &amp; Science of Foodpairing.pdf: 260</x:v>
      </x:c>
    </x:row>
    <x:row r="45" ht="64" customHeight="1">
      <x:c r="A45" s="28" t="str">
        <x:v>STN-0052</x:v>
      </x:c>
      <x:c r="B45" s="28" t="str">
        <x:v>абрикос</x:v>
      </x:c>
      <x:c r="C45" s="28" t="str">
        <x:v>абрикос</x:v>
      </x:c>
      <x:c r="D45" s="28" t="str">
        <x:v>плюмкот</x:v>
      </x:c>
      <x:c r="E45" s="28" t="str">
        <x:v>Гибридные косточковые фрукты</x:v>
      </x:c>
      <x:c r="F45" s="28" t="str">
        <x:v>прямое или классовое перекрытие характерных одорантов + вкусовой баланс</x:v>
      </x:c>
      <x:c r="G4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Плюмкот относится к группе «Гибридные косточковые фрукты» и даёт профиль «сливово-персиковый, цветочный, винный и сливочно-лактонный»; типичные соединения или классы: лактоны, фруктовые эфиры, линалоол, бензальдегид, C6-альдегиды. В рабочих профилях пересекаются: бензальдегид, линалоол, фруктовые эфиры. Общие ароматические направления: цветочный, лактонный.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с выраженной фруктовой кислотностью; баланс зависит от сорта.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пектиновая; сочетает поведение сливы и абрикоса.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джемовые ноты; холодная обработка лучше сохраняет цветочность.</x:v>
      </x:c>
      <x:c r="H4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джемовые ноты; холодная обработка лучше сохраняет цветочность.</x:v>
      </x:c>
      <x:c r="I4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5" s="28" t="str">
        <x:v>напиток, соус, десерт или горячее блюдо после пробной дегустации</x:v>
      </x:c>
      <x:c r="K45" s="28" t="str">
        <x:v>Средняя</x:v>
      </x:c>
      <x:c r="L45" s="28" t="str">
        <x:v>The Art &amp; Science of Foodpairing.pdf</x:v>
      </x:c>
      <x:c r="M45" s="28" t="str">
        <x:v>The Art &amp; Science of Foodpairing.pdf: 206</x:v>
      </x:c>
    </x:row>
    <x:row r="46" ht="64" customHeight="1">
      <x:c r="A46" s="28" t="str">
        <x:v>STN-0053</x:v>
      </x:c>
      <x:c r="B46" s="28" t="str">
        <x:v>абрикос</x:v>
      </x:c>
      <x:c r="C46" s="28" t="str">
        <x:v>абрикос</x:v>
      </x:c>
      <x:c r="D46" s="28" t="str">
        <x:v>рапсовый мед</x:v>
      </x:c>
      <x:c r="E46" s="28" t="str">
        <x:v>Подсластители</x:v>
      </x:c>
      <x:c r="F46" s="28" t="str">
        <x:v>комплементарность ароматических семейств, вкусовой контраст и матричный эффект</x:v>
      </x:c>
      <x:c r="G4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Рапсовый мед относится к группе «Подсластители» и даёт профиль «медовый, цветочный, карамельный»; типичные соединения или классы: фенилуксусные соединения, фураны, норизопреноиды. По доступным материалам нельзя уверенно свести совместимость к одной общей молекуле. Общие ароматические направления: цветочный,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сладкий.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сахар повышает вязкость и снижает воспринимаемую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Сладость балансирует кислоту и горечь кожуры; цветочные компоненты могут поддерживать цитрус..</x:v>
      </x:c>
      <x:c r="H4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Сладость балансирует кислоту и горечь кожуры; цветочные компоненты могут поддерживать цитрус..</x:v>
      </x:c>
      <x:c r="I4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6" s="28" t="str">
        <x:v>напиток, соус, десерт или горячее блюдо после пробной дегустации</x:v>
      </x:c>
      <x:c r="K46" s="28" t="str">
        <x:v>Средняя</x:v>
      </x:c>
      <x:c r="L46" s="28" t="str">
        <x:v>The Art &amp; Science of Foodpairing.pdf</x:v>
      </x:c>
      <x:c r="M46" s="28" t="str">
        <x:v>The Art &amp; Science of Foodpairing.pdf: 206</x:v>
      </x:c>
    </x:row>
    <x:row r="47" ht="64" customHeight="1">
      <x:c r="A47" s="28" t="str">
        <x:v>STN-0054</x:v>
      </x:c>
      <x:c r="B47" s="28" t="str">
        <x:v>абрикос</x:v>
      </x:c>
      <x:c r="C47" s="28" t="str">
        <x:v>абрикос</x:v>
      </x:c>
      <x:c r="D47" s="28" t="str">
        <x:v>ревень</x:v>
      </x:c>
      <x:c r="E47" s="28" t="str">
        <x:v>Прочее</x:v>
      </x:c>
      <x:c r="F47" s="28" t="str">
        <x:v>комплементарность ароматических семейств, вкусовой контраст и матричный эффект</x:v>
      </x:c>
      <x:c r="G4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Ревень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важны вода, жир, белок, сахар и температура.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4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4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7" s="28" t="str">
        <x:v>напиток, соус, десерт или горячее блюдо после пробной дегустации</x:v>
      </x:c>
      <x:c r="K47" s="28" t="str">
        <x:v>Гипотеза / практическая</x:v>
      </x:c>
      <x:c r="L47" s="28" t="str">
        <x:v>Таблица сочетания(1).pdf</x:v>
      </x:c>
      <x:c r="M47" s="28" t="str">
        <x:v>Таблица сочетания(1).pdf: 19</x:v>
      </x:c>
    </x:row>
    <x:row r="48" ht="64" customHeight="1">
      <x:c r="A48" s="28" t="str">
        <x:v>STN-0055</x:v>
      </x:c>
      <x:c r="B48" s="28" t="str">
        <x:v>абрикос</x:v>
      </x:c>
      <x:c r="C48" s="28" t="str">
        <x:v>абрикос</x:v>
      </x:c>
      <x:c r="D48" s="28" t="str">
        <x:v>роза</x:v>
      </x:c>
      <x:c r="E48" s="28" t="str">
        <x:v>Травы и цветы</x:v>
      </x:c>
      <x:c r="F48" s="28" t="str">
        <x:v>прямое или классовое перекрытие характерных одорантов + вкусовой баланс</x:v>
      </x:c>
      <x:c r="G4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Роза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4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4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8" s="28" t="str">
        <x:v>напиток, соус, десерт или горячее блюдо после пробной дегустации</x:v>
      </x:c>
      <x:c r="K48" s="28" t="str">
        <x:v>Высокая</x:v>
      </x:c>
      <x:c r="L48" s="28" t="str">
        <x:v>Таблица сочетания(1).pdf | Тезариус вкусов (Ники Сегнит)(1).pdf</x:v>
      </x:c>
      <x:c r="M48" s="28" t="str">
        <x:v>Таблица сочетания(1).pdf: 1 | Тезариус вкусов (Ники Сегнит)(1).pdf: 743 | Тезариус вкусов (Ники Сегнит)(1).pdf: 899</x:v>
      </x:c>
    </x:row>
    <x:row r="49" ht="64" customHeight="1">
      <x:c r="A49" s="28" t="str">
        <x:v>STN-0056</x:v>
      </x:c>
      <x:c r="B49" s="28" t="str">
        <x:v>абрикос</x:v>
      </x:c>
      <x:c r="C49" s="28" t="str">
        <x:v>абрикос</x:v>
      </x:c>
      <x:c r="D49" s="28" t="str">
        <x:v>розмарин</x:v>
      </x:c>
      <x:c r="E49" s="28" t="str">
        <x:v>Травы и цветы</x:v>
      </x:c>
      <x:c r="F49" s="28" t="str">
        <x:v>комплементарность ароматических семейств, вкусовой контраст и матричный эффект</x:v>
      </x:c>
      <x:c r="G4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Розмарин относится к группе «Травы и цветы» и даёт профиль «хвойный, камфорный и древесный»; типичные соединения или классы: 1,8-цинеол, камфора, α-пинен.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4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4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9" s="28" t="str">
        <x:v>напиток, соус, десерт или горячее блюдо после пробной дегустации</x:v>
      </x:c>
      <x:c r="K49" s="28" t="str">
        <x:v>Высокая</x:v>
      </x:c>
      <x:c r="L49" s="28" t="str">
        <x:v>Таблица сочетания(1).pdf | Тезариус вкусов (Ники Сегнит)(1).pdf</x:v>
      </x:c>
      <x:c r="M49" s="28" t="str">
        <x:v>Таблица сочетания(1).pdf: 19 | Тезариус вкусов (Ники Сегнит)(1).pdf: 744 | Тезариус вкусов (Ники Сегнит)(1).pdf: 832</x:v>
      </x:c>
    </x:row>
    <x:row r="50" ht="64" customHeight="1">
      <x:c r="A50" s="28" t="str">
        <x:v>STN-0057</x:v>
      </x:c>
      <x:c r="B50" s="28" t="str">
        <x:v>абрикос</x:v>
      </x:c>
      <x:c r="C50" s="28" t="str">
        <x:v>абрикос</x:v>
      </x:c>
      <x:c r="D50" s="28" t="str">
        <x:v>свежие цветы лаванды</x:v>
      </x:c>
      <x:c r="E50" s="28" t="str">
        <x:v>Прочее</x:v>
      </x:c>
      <x:c r="F50" s="28" t="str">
        <x:v>комплементарность ароматических семейств, вкусовой контраст и матричный эффект</x:v>
      </x:c>
      <x:c r="G5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Свежие цветы лаванды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зависит от продукта.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зависит от формы продукта.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5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5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0" s="28" t="str">
        <x:v>напиток, соус, десерт или горячее блюдо после пробной дегустации</x:v>
      </x:c>
      <x:c r="K50" s="28" t="str">
        <x:v>Средняя</x:v>
      </x:c>
      <x:c r="L50" s="28" t="str">
        <x:v>The Art &amp; Science of Foodpairing.pdf</x:v>
      </x:c>
      <x:c r="M50" s="28" t="str">
        <x:v>The Art &amp; Science of Foodpairing.pdf: 206</x:v>
      </x:c>
    </x:row>
    <x:row r="51" ht="64" customHeight="1">
      <x:c r="A51" s="28" t="str">
        <x:v>STN-0058</x:v>
      </x:c>
      <x:c r="B51" s="28" t="str">
        <x:v>абрикос</x:v>
      </x:c>
      <x:c r="C51" s="28" t="str">
        <x:v>абрикос</x:v>
      </x:c>
      <x:c r="D51" s="28" t="str">
        <x:v>свиная корейка</x:v>
      </x:c>
      <x:c r="E51" s="28" t="str">
        <x:v>Прочее</x:v>
      </x:c>
      <x:c r="F51" s="28" t="str">
        <x:v>комплементарность ароматических семейств, вкусовой контраст и матричный эффект</x:v>
      </x:c>
      <x:c r="G5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баланс зависит от продукта.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матрица зависит от формы продукта.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5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5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1" s="28" t="str">
        <x:v>напиток, соус, десерт или горячее блюдо после пробной дегустации</x:v>
      </x:c>
      <x:c r="K51" s="28" t="str">
        <x:v>Средняя</x:v>
      </x:c>
      <x:c r="L51" s="28" t="str">
        <x:v>The Art &amp; Science of Foodpairing.pdf</x:v>
      </x:c>
      <x:c r="M51" s="28" t="str">
        <x:v>The Art &amp; Science of Foodpairing.pdf: 185 | The Art &amp; Science of Foodpairing.pdf: 188</x:v>
      </x:c>
    </x:row>
    <x:row r="52" ht="64" customHeight="1">
      <x:c r="A52" s="28" t="str">
        <x:v>STN-0059</x:v>
      </x:c>
      <x:c r="B52" s="28" t="str">
        <x:v>абрикос</x:v>
      </x:c>
      <x:c r="C52" s="28" t="str">
        <x:v>абрикос</x:v>
      </x:c>
      <x:c r="D52" s="28" t="str">
        <x:v>свинина</x:v>
      </x:c>
      <x:c r="E52" s="28" t="str">
        <x:v>Мясо и птица</x:v>
      </x:c>
      <x:c r="F52" s="28" t="str">
        <x:v>комплементарность ароматических семейств, вкусовой контраст и матричный эффект</x:v>
      </x:c>
      <x:c r="G5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Свинина относится к группе «Мясо и птица» и даёт профиль «мясной, жареный, жирный и сернистый»; типичные соединения или классы: пиразины, тиазолы, альдегиды Стреккера,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удерживает фруктовые терпены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реакции Майяра создают мост к карамельным, ореховым и сухофруктовым нотам.</x:v>
      </x:c>
      <x:c r="H5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реакции Майяра создают мост к карамельным, ореховым и сухофруктовым нотам.</x:v>
      </x:c>
      <x:c r="I5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J52" s="28" t="str">
        <x:v>соус, глазировка, чатни, маринад, гарнир или основное блюдо</x:v>
      </x:c>
      <x:c r="K52" s="28" t="str">
        <x:v>Средняя</x:v>
      </x:c>
      <x:c r="L52" s="28" t="str">
        <x:v>Тезариус вкусов (Ники Сегнит)(1).pdf</x:v>
      </x:c>
      <x:c r="M52" s="28" t="str">
        <x:v>Тезариус вкусов (Ники Сегнит)(1).pdf: 77 | Тезариус вкусов (Ники Сегнит)(1).pdf: 744</x:v>
      </x:c>
    </x:row>
    <x:row r="53" ht="64" customHeight="1">
      <x:c r="A53" s="28" t="str">
        <x:v>STN-0060</x:v>
      </x:c>
      <x:c r="B53" s="28" t="str">
        <x:v>абрикос</x:v>
      </x:c>
      <x:c r="C53" s="28" t="str">
        <x:v>абрикос</x:v>
      </x:c>
      <x:c r="D53" s="28" t="str">
        <x:v>семена кардамона</x:v>
      </x:c>
      <x:c r="E53" s="28" t="str">
        <x:v>Специи</x:v>
      </x:c>
      <x:c r="F53" s="28" t="str">
        <x:v>комплементарность ароматических семейств, вкусовой контраст и матричный эффект</x:v>
      </x:c>
      <x:c r="G5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Семена кардамона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пряный, иногда горький.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хорошо извлекаются спиртом и жиром.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5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5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3" s="28" t="str">
        <x:v>напиток, соус, десерт или горячее блюдо после пробной дегустации</x:v>
      </x:c>
      <x:c r="K53" s="28" t="str">
        <x:v>Средняя</x:v>
      </x:c>
      <x:c r="L53" s="28" t="str">
        <x:v>The Art &amp; Science of Foodpairing.pdf</x:v>
      </x:c>
      <x:c r="M53" s="28" t="str">
        <x:v>The Art &amp; Science of Foodpairing.pdf: 256</x:v>
      </x:c>
    </x:row>
    <x:row r="54" ht="64" customHeight="1">
      <x:c r="A54" s="28" t="str">
        <x:v>STN-0061</x:v>
      </x:c>
      <x:c r="B54" s="28" t="str">
        <x:v>абрикос</x:v>
      </x:c>
      <x:c r="C54" s="28" t="str">
        <x:v>абрикос</x:v>
      </x:c>
      <x:c r="D54" s="28" t="str">
        <x:v>слива</x:v>
      </x:c>
      <x:c r="E54" s="28" t="str">
        <x:v>Косточковые фрукты</x:v>
      </x:c>
      <x:c r="F54" s="28" t="str">
        <x:v>прямое или классовое перекрытие характерных одорантов + вкусовой баланс</x:v>
      </x:c>
      <x:c r="G5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Слива относится к группе «Косточковые фрукты» и даёт профиль «винно-фруктовый, цветочный, зелёный, пряный, миндальный; от свежего до тёмно-джемового»; типичные соединения или классы: фруктовые эфиры, γ- и δ-лактоны, бензальдегид, линалоол, C6-альдегиды, дамасконы. В рабочих профилях пересекаются: бензальдегид, линалоол, фруктовые эфиры. Общие ароматические направления: цветочный, фруктовый, миндальный.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заметная яблочно-лимонная кислотность; кожица часто терпкая.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 мякоть; кожица богата полифенолами; аромат хорошо работает в воде, сахаре 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H5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I5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4" s="28" t="str">
        <x:v>напиток, соус, десерт или горячее блюдо после пробной дегустации</x:v>
      </x:c>
      <x:c r="K54" s="28" t="str">
        <x:v>Гипотеза / практическая</x:v>
      </x:c>
      <x:c r="L54" s="28" t="str">
        <x:v>Таблица сочетания(1).pdf</x:v>
      </x:c>
      <x:c r="M54" s="28" t="str">
        <x:v>Таблица сочетания(1).pdf: 1</x:v>
      </x:c>
    </x:row>
    <x:row r="55" ht="64" customHeight="1">
      <x:c r="A55" s="28" t="str">
        <x:v>STN-0062</x:v>
      </x:c>
      <x:c r="B55" s="28" t="str">
        <x:v>абрикос</x:v>
      </x:c>
      <x:c r="C55" s="28" t="str">
        <x:v>абрикос</x:v>
      </x:c>
      <x:c r="D55" s="28" t="str">
        <x:v>сычуаньский перец</x:v>
      </x:c>
      <x:c r="E55" s="28" t="str">
        <x:v>Специи и острые компоненты</x:v>
      </x:c>
      <x:c r="F55" s="28" t="str">
        <x:v>комплементарность ароматических семейств, вкусовой контраст и матричный эффект</x:v>
      </x:c>
      <x:c r="G5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Сычуаньский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гидрофобные молекулы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</x:v>
      </x:c>
      <x:c r="H5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</x:v>
      </x:c>
      <x:c r="I5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55" s="28" t="str">
        <x:v>напиток, соус, десерт или горячее блюдо после пробной дегустации</x:v>
      </x:c>
      <x:c r="K55" s="28" t="str">
        <x:v>Средняя</x:v>
      </x:c>
      <x:c r="L55" s="28" t="str">
        <x:v>The Art &amp; Science of Foodpairing.pdf</x:v>
      </x:c>
      <x:c r="M55" s="28" t="str">
        <x:v>The Art &amp; Science of Foodpairing.pdf: 206</x:v>
      </x:c>
    </x:row>
    <x:row r="56" ht="64" customHeight="1">
      <x:c r="A56" s="28" t="str">
        <x:v>STN-0063</x:v>
      </x:c>
      <x:c r="B56" s="28" t="str">
        <x:v>абрикос</x:v>
      </x:c>
      <x:c r="C56" s="28" t="str">
        <x:v>абрикос</x:v>
      </x:c>
      <x:c r="D56" s="28" t="str">
        <x:v>твердый сыр</x:v>
      </x:c>
      <x:c r="E56" s="28" t="str">
        <x:v>Сыры и молочные продукты</x:v>
      </x:c>
      <x:c r="F56" s="28" t="str">
        <x:v>комплементарность ароматических семейств, вкусовой контраст и матричный эффект</x:v>
      </x:c>
      <x:c r="G5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Твердый сыр относится к группе «Сыры и молочные продукты» и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 мякоть; низкий жир; кожица и косточка могут добавлять терпкость и миндальный оттенок. Жир и белок партнёра удерживают гидрофобные лактоны, но высокая фруктовая кислота может нарушить молочную эмульсию.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H5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I5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кислоты может свернуть молочную основу; фрукт и сыр проверяют при рабочей температуре.</x:v>
      </x:c>
      <x:c r="J56" s="28" t="str">
        <x:v>тарт, крем, мороженое, выпечка, сырная подача или начинка</x:v>
      </x:c>
      <x:c r="K56" s="28" t="str">
        <x:v>Средняя</x:v>
      </x:c>
      <x:c r="L56" s="28" t="str">
        <x:v>Тезариус вкусов (Ники Сегнит)(1).pdf</x:v>
      </x:c>
      <x:c r="M56" s="28" t="str">
        <x:v>Тезариус вкусов (Ники Сегнит)(1).pdf: 164 | Тезариус вкусов (Ники Сегнит)(1).pdf: 744</x:v>
      </x:c>
    </x:row>
    <x:row r="57" ht="64" customHeight="1">
      <x:c r="A57" s="28" t="str">
        <x:v>STN-0064</x:v>
      </x:c>
      <x:c r="B57" s="28" t="str">
        <x:v>абрикос</x:v>
      </x:c>
      <x:c r="C57" s="28" t="str">
        <x:v>абрикос</x:v>
      </x:c>
      <x:c r="D57" s="28" t="str">
        <x:v>тимьяновый мед</x:v>
      </x:c>
      <x:c r="E57" s="28" t="str">
        <x:v>Травы, листья и цветы</x:v>
      </x:c>
      <x:c r="F57" s="28" t="str">
        <x:v>прямое или классовое перекрытие характерных одорантов + вкусовой баланс</x:v>
      </x:c>
      <x:c r="G5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Тимьяновый мед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гераниол. Общие ароматические направления: цветочный. Цветочные и зелёные ноты расширяют верхнюю часть аромата; фруктовая сладость смягчает травяную горечь.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экстрагируются жиром или этанолом.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Травы лучше вводить холодной мацерацией или в финале: длительный нагрев удаляет летучие терпены.</x:v>
      </x:c>
      <x:c r="H5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Травы лучше вводить холодной мацерацией или в финале: длительный нагрев удаляет летучие терпены.</x:v>
      </x:c>
      <x:c r="I5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7" s="28" t="str">
        <x:v>напиток, соус, десерт или горячее блюдо после пробной дегустации</x:v>
      </x:c>
      <x:c r="K57" s="28" t="str">
        <x:v>Средняя</x:v>
      </x:c>
      <x:c r="L57" s="28" t="str">
        <x:v>The Art &amp; Science of Foodpairing.pdf</x:v>
      </x:c>
      <x:c r="M57" s="28" t="str">
        <x:v>The Art &amp; Science of Foodpairing.pdf: 206</x:v>
      </x:c>
    </x:row>
    <x:row r="58" ht="64" customHeight="1">
      <x:c r="A58" s="28" t="str">
        <x:v>STN-0065</x:v>
      </x:c>
      <x:c r="B58" s="28" t="str">
        <x:v>абрикос</x:v>
      </x:c>
      <x:c r="C58" s="28" t="str">
        <x:v>абрикос</x:v>
      </x:c>
      <x:c r="D58" s="28" t="str">
        <x:v>томаты черри</x:v>
      </x:c>
      <x:c r="E58" s="28" t="str">
        <x:v>Овощи и корнеплоды</x:v>
      </x:c>
      <x:c r="F58" s="28" t="str">
        <x:v>комплементарность ароматических семейств, вкусовой контраст и матричный эффект</x:v>
      </x:c>
      <x:c r="G5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Томаты черри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сладость, горечь, умами и вода.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и клетчаточная матрица; обжарка усиливает сладость и Майяр.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5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5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8" s="28" t="str">
        <x:v>соус, глазировка, чатни, маринад, гарнир или основное блюдо</x:v>
      </x:c>
      <x:c r="K58" s="28" t="str">
        <x:v>Средняя</x:v>
      </x:c>
      <x:c r="L58" s="28" t="str">
        <x:v>The Art &amp; Science of Foodpairing.pdf</x:v>
      </x:c>
      <x:c r="M58" s="28" t="str">
        <x:v>The Art &amp; Science of Foodpairing.pdf: 161</x:v>
      </x:c>
    </x:row>
    <x:row r="59" ht="64" customHeight="1">
      <x:c r="A59" s="28" t="str">
        <x:v>STN-0066</x:v>
      </x:c>
      <x:c r="B59" s="28" t="str">
        <x:v>абрикос</x:v>
      </x:c>
      <x:c r="C59" s="28" t="str">
        <x:v>абрикос</x:v>
      </x:c>
      <x:c r="D59" s="28" t="str">
        <x:v>укроп</x:v>
      </x:c>
      <x:c r="E59" s="28" t="str">
        <x:v>Травы и цветы</x:v>
      </x:c>
      <x:c r="F59" s="28" t="str">
        <x:v>прямое или классовое перекрытие характерных одорантов + вкусовой баланс</x:v>
      </x:c>
      <x:c r="G5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5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5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9" s="28" t="str">
        <x:v>напиток, соус, десерт или горячее блюдо после пробной дегустации</x:v>
      </x:c>
      <x:c r="K59" s="28" t="str">
        <x:v>Гипотеза / практическая</x:v>
      </x:c>
      <x:c r="L59" s="28" t="str">
        <x:v>Таблица сочетания(1).pdf</x:v>
      </x:c>
      <x:c r="M59" s="28" t="str">
        <x:v>Таблица сочетания(1).pdf: 7</x:v>
      </x:c>
    </x:row>
    <x:row r="60" ht="64" customHeight="1">
      <x:c r="A60" s="28" t="str">
        <x:v>STN-0067</x:v>
      </x:c>
      <x:c r="B60" s="28" t="str">
        <x:v>абрикос</x:v>
      </x:c>
      <x:c r="C60" s="28" t="str">
        <x:v>абрикос</x:v>
      </x:c>
      <x:c r="D60" s="28" t="str">
        <x:v>фиалка</x:v>
      </x:c>
      <x:c r="E60" s="28" t="str">
        <x:v>Травы и цветы</x:v>
      </x:c>
      <x:c r="F60" s="28" t="str">
        <x:v>прямое или классовое перекрытие характерных одорантов + вкусовой баланс</x:v>
      </x:c>
      <x:c r="G6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Фиалка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6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6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0" s="28" t="str">
        <x:v>напиток, соус, десерт или горячее блюдо после пробной дегустации</x:v>
      </x:c>
      <x:c r="K60" s="28" t="str">
        <x:v>Гипотеза / практическая</x:v>
      </x:c>
      <x:c r="L60" s="28" t="str">
        <x:v>Таблица сочетания(1).pdf</x:v>
      </x:c>
      <x:c r="M60" s="28" t="str">
        <x:v>Таблица сочетания(1).pdf: 21</x:v>
      </x:c>
    </x:row>
    <x:row r="61" ht="64" customHeight="1">
      <x:c r="A61" s="28" t="str">
        <x:v>STN-0068</x:v>
      </x:c>
      <x:c r="B61" s="28" t="str">
        <x:v>абрикос</x:v>
      </x:c>
      <x:c r="C61" s="28" t="str">
        <x:v>абрикос</x:v>
      </x:c>
      <x:c r="D61" s="28" t="str">
        <x:v>финик</x:v>
      </x:c>
      <x:c r="E61" s="28" t="str">
        <x:v>Сухофрукты и тропические плоды</x:v>
      </x:c>
      <x:c r="F61" s="28" t="str">
        <x:v>комплементарность ароматических семейств, вкусовой контраст и матричный эффект</x:v>
      </x:c>
      <x:c r="G6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Финик относится к группе «Сухофрукты и тропические плоды» и даёт профиль «медовый, карамельный, сухофруктовый, ореховый и пряный»; типичные соединения или классы: фураны, альдегиды Стреккера, фенольные соединения и продукты карамелизации. По доступным материалам нельзя уверенно свести совместимость к одной общей молекуле. Общие ароматические направления: фруктовый,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очень высокая сладость, низкая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плотная сахаристая и вязкая; хорошо связывает жир и специи.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H6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I6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1" s="28" t="str">
        <x:v>напиток, соус, десерт или горячее блюдо после пробной дегустации</x:v>
      </x:c>
      <x:c r="K61" s="28" t="str">
        <x:v>Гипотеза / практическая</x:v>
      </x:c>
      <x:c r="L61" s="28" t="str">
        <x:v>Таблица сочетания(1).pdf</x:v>
      </x:c>
      <x:c r="M61" s="28" t="str">
        <x:v>Таблица сочетания(1).pdf: Таблица сочетаний: 7 | Таблица сочетания(1).pdf: 7</x:v>
      </x:c>
    </x:row>
    <x:row r="62" ht="64" customHeight="1">
      <x:c r="A62" s="28" t="str">
        <x:v>STN-0069</x:v>
      </x:c>
      <x:c r="B62" s="28" t="str">
        <x:v>абрикос</x:v>
      </x:c>
      <x:c r="C62" s="28" t="str">
        <x:v>абрикос</x:v>
      </x:c>
      <x:c r="D62" s="28" t="str">
        <x:v>фисташка</x:v>
      </x:c>
      <x:c r="E62" s="28" t="str">
        <x:v>Орехи и семена</x:v>
      </x:c>
      <x:c r="F62" s="28" t="str">
        <x:v>прямое или классовое перекрытие характерных одорантов + вкусовой баланс</x:v>
      </x:c>
      <x:c r="G6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Фисташка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6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6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J62" s="28" t="str">
        <x:v>тарт, крем, мороженое, выпечка, сырная подача или начинка</x:v>
      </x:c>
      <x:c r="K62" s="28" t="str">
        <x:v>Гипотеза / практическая</x:v>
      </x:c>
      <x:c r="L62" s="28" t="str">
        <x:v>Таблица сочетания(1).pdf</x:v>
      </x:c>
      <x:c r="M62" s="28" t="str">
        <x:v>Таблица сочетания(1).pdf: 17</x:v>
      </x:c>
    </x:row>
    <x:row r="63" ht="64" customHeight="1">
      <x:c r="A63" s="28" t="str">
        <x:v>STN-0070</x:v>
      </x:c>
      <x:c r="B63" s="28" t="str">
        <x:v>абрикос</x:v>
      </x:c>
      <x:c r="C63" s="28" t="str">
        <x:v>абрикос</x:v>
      </x:c>
      <x:c r="D63" s="28" t="str">
        <x:v>хамон иберико</x:v>
      </x:c>
      <x:c r="E63" s="28" t="str">
        <x:v>Мясо и птица</x:v>
      </x:c>
      <x:c r="F63" s="28" t="str">
        <x:v>комплементарность ароматических семейств, вкусовой контраст и матричный эффект</x:v>
      </x:c>
      <x:c r="G6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Хамон иберико относится к группе «Мясо и птица» и даёт профиль «жареный, жирный, сернистый, умами»; типичные соединения или классы: альдегиды, пиразины,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переносит аромат; реакция Майяра создаёт новые одоранты.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H6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I6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J63" s="28" t="str">
        <x:v>соус, глазировка, чатни, маринад, гарнир или основное блюдо</x:v>
      </x:c>
      <x:c r="K63" s="28" t="str">
        <x:v>Средняя</x:v>
      </x:c>
      <x:c r="L63" s="28" t="str">
        <x:v>The Art &amp; Science of Foodpairing.pdf</x:v>
      </x:c>
      <x:c r="M63" s="28" t="str">
        <x:v>The Art &amp; Science of Foodpairing.pdf: 278</x:v>
      </x:c>
    </x:row>
    <x:row r="64" ht="64" customHeight="1">
      <x:c r="A64" s="28" t="str">
        <x:v>STN-0071</x:v>
      </x:c>
      <x:c r="B64" s="28" t="str">
        <x:v>абрикос</x:v>
      </x:c>
      <x:c r="C64" s="28" t="str">
        <x:v>абрикос</x:v>
      </x:c>
      <x:c r="D64" s="28" t="str">
        <x:v>хамон серрано</x:v>
      </x:c>
      <x:c r="E64" s="28" t="str">
        <x:v>Мясо и птица</x:v>
      </x:c>
      <x:c r="F64" s="28" t="str">
        <x:v>комплементарность ароматических семейств, вкусовой контраст и матричный эффект</x:v>
      </x:c>
      <x:c r="G6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Хамон серрано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удерживает фруктовые лактоны; белок смягчает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H6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I6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J64" s="28" t="str">
        <x:v>соус, глазировка, чатни, маринад, гарнир или основное блюдо</x:v>
      </x:c>
      <x:c r="K64" s="28" t="str">
        <x:v>Средняя</x:v>
      </x:c>
      <x:c r="L64" s="28" t="str">
        <x:v>The Art &amp; Science of Foodpairing.pdf</x:v>
      </x:c>
      <x:c r="M64" s="28" t="str">
        <x:v>The Art &amp; Science of Foodpairing.pdf: 206</x:v>
      </x:c>
    </x:row>
    <x:row r="65" ht="64" customHeight="1">
      <x:c r="A65" s="28" t="str">
        <x:v>STN-0072</x:v>
      </x:c>
      <x:c r="B65" s="28" t="str">
        <x:v>абрикос</x:v>
      </x:c>
      <x:c r="C65" s="28" t="str">
        <x:v>абрикос</x:v>
      </x:c>
      <x:c r="D65" s="28" t="str">
        <x:v>чернослив</x:v>
      </x:c>
      <x:c r="E65" s="28" t="str">
        <x:v>Сушёные косточковые фрукты</x:v>
      </x:c>
      <x:c r="F65" s="28" t="str">
        <x:v>прямое или классовое перекрытие характерных одорантов + вкусовой баланс</x:v>
      </x:c>
      <x:c r="G6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Чернослив относится к группе «Сушёные косточковые фрукты» и даёт профиль «тёмно-фруктовый, карамельный, винный, слегка дымный и миндальный»; типичные соединения или классы: фурфурол, 5-метилфурфурол, мальтол, лактоны, бензальдегид, продукты термического распада сахаров. В рабочих профилях пересекаются: бензальдегид. Общие ароматические направления: фруктовый, миндальный.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маловодная, богатая сахарами, пектином и сорбитолом; хорошо удерживает специи и алкоголь.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H6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I6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5" s="28" t="str">
        <x:v>напиток, соус, десерт или горячее блюдо после пробной дегустации</x:v>
      </x:c>
      <x:c r="K65" s="28" t="str">
        <x:v>Высокая</x:v>
      </x:c>
      <x:c r="L65" s="28" t="str">
        <x:v>The Art &amp; Science of Foodpairing.pdf | Таблица сочетания(1).pdf</x:v>
      </x:c>
      <x:c r="M65" s="28" t="str">
        <x:v>Таблица сочетания(1).pdf: 18 | The Art &amp; Science of Foodpairing.pdf: 206</x:v>
      </x:c>
    </x:row>
    <x:row r="66" ht="64" customHeight="1">
      <x:c r="A66" s="28" t="str">
        <x:v>STN-0073</x:v>
      </x:c>
      <x:c r="B66" s="28" t="str">
        <x:v>абрикос</x:v>
      </x:c>
      <x:c r="C66" s="28" t="str">
        <x:v>абрикос</x:v>
      </x:c>
      <x:c r="D66" s="28" t="str">
        <x:v>черные оливки</x:v>
      </x:c>
      <x:c r="E66" s="28" t="str">
        <x:v>Прочее</x:v>
      </x:c>
      <x:c r="F66" s="28" t="str">
        <x:v>комплементарность ароматических семейств, вкусовой контраст и матричный эффект</x:v>
      </x:c>
      <x:c r="G6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Черные оливки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зависит от ингредиента.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механизм зависит от конкретного продукта.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6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6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6" s="28" t="str">
        <x:v>напиток, соус, десерт или горячее блюдо после пробной дегустации</x:v>
      </x:c>
      <x:c r="K66" s="28" t="str">
        <x:v>Средняя</x:v>
      </x:c>
      <x:c r="L66" s="28" t="str">
        <x:v>The Art &amp; Science of Foodpairing.pdf</x:v>
      </x:c>
      <x:c r="M66" s="28" t="str">
        <x:v>The Art &amp; Science of Foodpairing.pdf: 216</x:v>
      </x:c>
    </x:row>
    <x:row r="67" ht="64" customHeight="1">
      <x:c r="A67" s="28" t="str">
        <x:v>STN-0074</x:v>
      </x:c>
      <x:c r="B67" s="28" t="str">
        <x:v>абрикос</x:v>
      </x:c>
      <x:c r="C67" s="28" t="str">
        <x:v>абрикос</x:v>
      </x:c>
      <x:c r="D67" s="28" t="str">
        <x:v>черный перец</x:v>
      </x:c>
      <x:c r="E67" s="28" t="str">
        <x:v>Специи и острые компоненты</x:v>
      </x:c>
      <x:c r="F67" s="28" t="str">
        <x:v>комплементарность ароматических семейств, вкусовой контраст и матричный эффект</x:v>
      </x:c>
      <x:c r="G6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Черный перец относится к группе «Специи и острые компоненты» и даёт профиль «древесный, цитрусовый и пряный»; типичные соединения или классы: пиперин, лимонен, сабинен.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6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6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67" s="28" t="str">
        <x:v>напиток, соус, десерт или горячее блюдо после пробной дегустации</x:v>
      </x:c>
      <x:c r="K67" s="28" t="str">
        <x:v>Гипотеза / практическая</x:v>
      </x:c>
      <x:c r="L67" s="28" t="str">
        <x:v>Таблица сочетания(1).pdf</x:v>
      </x:c>
      <x:c r="M67" s="28" t="str">
        <x:v>Таблица сочетания(1).pdf: 1</x:v>
      </x:c>
    </x:row>
    <x:row r="68" ht="64" customHeight="1">
      <x:c r="A68" s="28" t="str">
        <x:v>STN-0076</x:v>
      </x:c>
      <x:c r="B68" s="28" t="str">
        <x:v>абрикос</x:v>
      </x:c>
      <x:c r="C68" s="28" t="str">
        <x:v>абрикос</x:v>
      </x:c>
      <x:c r="D68" s="28" t="str">
        <x:v>шампиньоны</x:v>
      </x:c>
      <x:c r="E68" s="28" t="str">
        <x:v>Грибы и трюфели</x:v>
      </x:c>
      <x:c r="F68" s="28" t="str">
        <x:v>комплементарность ароматических семейств, вкусовой контраст и матричный эффект</x:v>
      </x:c>
      <x:c r="G6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Шампиньоны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умами и лёгкая горечь.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вода и клетчатка; обжарка создаёт новые жареные молекулы.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6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6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8" s="28" t="str">
        <x:v>соус, глазировка, чатни, маринад, гарнир или основное блюдо</x:v>
      </x:c>
      <x:c r="K68" s="28" t="str">
        <x:v>Средняя</x:v>
      </x:c>
      <x:c r="L68" s="28" t="str">
        <x:v>The Art &amp; Science of Foodpairing.pdf</x:v>
      </x:c>
      <x:c r="M68" s="28" t="str">
        <x:v>The Art &amp; Science of Foodpairing.pdf: 206</x:v>
      </x:c>
    </x:row>
    <x:row r="69" ht="64" customHeight="1">
      <x:c r="A69" s="28" t="str">
        <x:v>STN-0077</x:v>
      </x:c>
      <x:c r="B69" s="28" t="str">
        <x:v>абрикос</x:v>
      </x:c>
      <x:c r="C69" s="28" t="str">
        <x:v>абрикос</x:v>
      </x:c>
      <x:c r="D69" s="28" t="str">
        <x:v>шоколад</x:v>
      </x:c>
      <x:c r="E69" s="28" t="str">
        <x:v>Чай, кофе и какао</x:v>
      </x:c>
      <x:c r="F69" s="28" t="str">
        <x:v>комплементарность ароматических семейств, вкусовой контраст и матричный эффект</x:v>
      </x:c>
      <x:c r="G6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жареная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водные настои извлекают полифенолы; жир и сахар смягчают горечь.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6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6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9" s="28" t="str">
        <x:v>напиток, соус, десерт или горячее блюдо после пробной дегустации</x:v>
      </x:c>
      <x:c r="K69" s="28" t="str">
        <x:v>Средняя</x:v>
      </x:c>
      <x:c r="L69" s="28" t="str">
        <x:v>Тезариус вкусов (Ники Сегнит)(1).pdf</x:v>
      </x:c>
      <x:c r="M69" s="28" t="str">
        <x:v>Тезариус вкусов (Ники Сегнит)(1).pdf: 25 | Тезариус вкусов (Ники Сегнит)(1).pdf: 745</x:v>
      </x:c>
    </x:row>
    <x:row r="70" ht="64" customHeight="1">
      <x:c r="A70" s="28" t="str">
        <x:v>STN-0078</x:v>
      </x:c>
      <x:c r="B70" s="28" t="str">
        <x:v>абрикос</x:v>
      </x:c>
      <x:c r="C70" s="28" t="str">
        <x:v>абрикос</x:v>
      </x:c>
      <x:c r="D70" s="28" t="str">
        <x:v>яблоко</x:v>
      </x:c>
      <x:c r="E70" s="28" t="str">
        <x:v>Семечковые фрукты</x:v>
      </x:c>
      <x:c r="F70" s="28" t="str">
        <x:v>прямое или классовое перекрытие характерных одорантов + вкусовой баланс</x:v>
      </x:c>
      <x:c r="G7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Яблоко относится к группе «Семечковые фрукты» и даёт профиль «свежий фруктовый, зелёный, цветочный, пряный; профиль сильно зависит от сорта и зрелости»; типичные соединения или классы: гексилацетат, бутил ацетат, этил-2-метилбутират, гексаналь, транс-2-гексеналь, β-дамасценон. В рабочих профилях пересекаются: дамасценон. Общие ароматические направления: цветочный,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яблочная кислота; иногда лёгкая терпкость кожицы.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водная, с пектином; низкое содержание жира; ароматические эфиры быстро теряются после разрезания.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H7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I7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70" s="28" t="str">
        <x:v>напиток, соус, десерт или горячее блюдо после пробной дегустации</x:v>
      </x:c>
      <x:c r="K70" s="28" t="str">
        <x:v>Гипотеза / практическая</x:v>
      </x:c>
      <x:c r="L70" s="28" t="str">
        <x:v>The Art &amp; Science of Foodpairing.pdf</x:v>
      </x:c>
      <x:c r="M70" s="28" t="str">
        <x:v>The Art &amp; Science of Foodpairing.pdf: The Art &amp; Science of Foodpairing: 48,49</x:v>
      </x:c>
    </x:row>
    <x:row r="71" ht="64" customHeight="1">
      <x:c r="A71" s="28" t="str">
        <x:v>STN-0082</x:v>
      </x:c>
      <x:c r="B71" s="28" t="str">
        <x:v>персик</x:v>
      </x:c>
      <x:c r="C71" s="28" t="str">
        <x:v>персик</x:v>
      </x:c>
      <x:c r="D71" s="28" t="str">
        <x:v>авокадо</x:v>
      </x:c>
      <x:c r="E71" s="28" t="str">
        <x:v>Тропические фрукты и жирные матрицы</x:v>
      </x:c>
      <x:c r="F71" s="28" t="str">
        <x:v>прямое или классовое перекрытие характерных одорантов + вкусовой баланс</x:v>
      </x:c>
      <x:c r="G7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В рабочих профилях пересекаются: гексаналь.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мягкий, жирный, почти несладкий; лёгкая растительная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высокожировая эмульсия; хорошо растворяет гидрофобные ароматические молекулы.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7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7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1" s="28" t="str">
        <x:v>напиток, соус, десерт или горячее блюдо после пробной дегустации</x:v>
      </x:c>
      <x:c r="K71" s="28" t="str">
        <x:v>Средняя</x:v>
      </x:c>
      <x:c r="L71" s="28" t="str">
        <x:v>The Art &amp; Science of Foodpairing.pdf</x:v>
      </x:c>
      <x:c r="M71" s="28" t="str">
        <x:v>The Art &amp; Science of Foodpairing.pdf: 355 | The Art &amp; Science of Foodpairing.pdf: 260–261</x:v>
      </x:c>
    </x:row>
    <x:row r="72" ht="64" customHeight="1">
      <x:c r="A72" s="28" t="str">
        <x:v>STN-0085</x:v>
      </x:c>
      <x:c r="B72" s="28" t="str">
        <x:v>персик</x:v>
      </x:c>
      <x:c r="C72" s="28" t="str">
        <x:v>персик</x:v>
      </x:c>
      <x:c r="D72" s="28" t="str">
        <x:v>бадьян</x:v>
      </x:c>
      <x:c r="E72" s="28" t="str">
        <x:v>Специи и острые компоненты</x:v>
      </x:c>
      <x:c r="F72" s="28" t="str">
        <x:v>комплементарность ароматических семейств, вкусовой контраст и матричный эффект</x:v>
      </x:c>
      <x:c r="G7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Бадьян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72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72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72" s="28" t="str">
        <x:v>напиток, соус, десерт или горячее блюдо после пробной дегустации</x:v>
      </x:c>
      <x:c r="K72" s="28" t="str">
        <x:v>Средняя</x:v>
      </x:c>
      <x:c r="L72" s="28" t="str">
        <x:v>The Art &amp; Science of Foodpairing.pdf</x:v>
      </x:c>
      <x:c r="M72" s="28" t="str">
        <x:v>The Art &amp; Science of Foodpairing.pdf: 260–261</x:v>
      </x:c>
    </x:row>
    <x:row r="73" ht="64" customHeight="1">
      <x:c r="A73" s="28" t="str">
        <x:v>STN-0086</x:v>
      </x:c>
      <x:c r="B73" s="28" t="str">
        <x:v>персик</x:v>
      </x:c>
      <x:c r="C73" s="28" t="str">
        <x:v>персик</x:v>
      </x:c>
      <x:c r="D73" s="28" t="str">
        <x:v>базилик</x:v>
      </x:c>
      <x:c r="E73" s="28" t="str">
        <x:v>Травы и цветы</x:v>
      </x:c>
      <x:c r="F73" s="28" t="str">
        <x:v>прямое или классовое перекрытие характерных одорантов + вкусовой баланс</x:v>
      </x:c>
      <x:c r="G7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7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7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3" s="28" t="str">
        <x:v>напиток, соус, десерт или горячее блюдо после пробной дегустации</x:v>
      </x:c>
      <x:c r="K73" s="28" t="str">
        <x:v>Гипотеза / практическая</x:v>
      </x:c>
      <x:c r="L73" s="28" t="str">
        <x:v>Таблица сочетания(1).pdf</x:v>
      </x:c>
      <x:c r="M73" s="28" t="str">
        <x:v>Таблица сочетания(1).pdf: 15</x:v>
      </x:c>
    </x:row>
    <x:row r="74" ht="64" customHeight="1">
      <x:c r="A74" s="28" t="str">
        <x:v>STN-0087</x:v>
      </x:c>
      <x:c r="B74" s="28" t="str">
        <x:v>персик</x:v>
      </x:c>
      <x:c r="C74" s="28" t="str">
        <x:v>персик</x:v>
      </x:c>
      <x:c r="D74" s="28" t="str">
        <x:v>байонская ветчина</x:v>
      </x:c>
      <x:c r="E74" s="28" t="str">
        <x:v>Мясо и птица</x:v>
      </x:c>
      <x:c r="F74" s="28" t="str">
        <x:v>комплементарность ароматических семейств, вкусовой контраст и матричный эффект</x:v>
      </x:c>
      <x:c r="G7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Байонская ветчина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H74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I74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74" s="28" t="str">
        <x:v>соус, глазировка, чатни, маринад, гарнир или основное блюдо</x:v>
      </x:c>
      <x:c r="K74" s="28" t="str">
        <x:v>Средняя</x:v>
      </x:c>
      <x:c r="L74" s="28" t="str">
        <x:v>The Art &amp; Science of Foodpairing.pdf</x:v>
      </x:c>
      <x:c r="M74" s="28" t="str">
        <x:v>The Art &amp; Science of Foodpairing.pdf: 260–261</x:v>
      </x:c>
    </x:row>
    <x:row r="75" ht="64" customHeight="1">
      <x:c r="A75" s="28" t="str">
        <x:v>STN-0088</x:v>
      </x:c>
      <x:c r="B75" s="28" t="str">
        <x:v>персик</x:v>
      </x:c>
      <x:c r="C75" s="28" t="str">
        <x:v>персик</x:v>
      </x:c>
      <x:c r="D75" s="28" t="str">
        <x:v>баранина на гриле</x:v>
      </x:c>
      <x:c r="E75" s="28" t="str">
        <x:v>Мясо и птица</x:v>
      </x:c>
      <x:c r="F75" s="28" t="str">
        <x:v>комплементарность ароматических семейств, вкусовой контраст и матричный эффект</x:v>
      </x:c>
      <x:c r="G7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Баранина на гриле относится к группе «Мясо и птица» и даёт профиль «жареный, жирный, сернистый, умами»; типичные соединения или классы: альдегиды, пиразины,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переносит аромат; реакция Майяра создаёт новые одоранты.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H75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I75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75" s="28" t="str">
        <x:v>соус, глазировка, чатни, маринад, гарнир или основное блюдо</x:v>
      </x:c>
      <x:c r="K75" s="28" t="str">
        <x:v>Средняя</x:v>
      </x:c>
      <x:c r="L75" s="28" t="str">
        <x:v>The Art &amp; Science of Foodpairing.pdf</x:v>
      </x:c>
      <x:c r="M75" s="28" t="str">
        <x:v>The Art &amp; Science of Foodpairing.pdf: 260–261</x:v>
      </x:c>
    </x:row>
    <x:row r="76" ht="64" customHeight="1">
      <x:c r="A76" s="28" t="str">
        <x:v>STN-0089</x:v>
      </x:c>
      <x:c r="B76" s="28" t="str">
        <x:v>персик</x:v>
      </x:c>
      <x:c r="C76" s="28" t="str">
        <x:v>персик</x:v>
      </x:c>
      <x:c r="D76" s="28" t="str">
        <x:v>бейгл</x:v>
      </x:c>
      <x:c r="E76" s="28" t="str">
        <x:v>Злаки и выпечка</x:v>
      </x:c>
      <x:c r="F76" s="28" t="str">
        <x:v>комплементарность ароматических семейств, вкусовой контраст и матричный эффект</x:v>
      </x:c>
      <x:c r="G7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Бейгл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7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7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6" s="28" t="str">
        <x:v>тарт, крем, мороженое, выпечка, сырная подача или начинка</x:v>
      </x:c>
      <x:c r="K76" s="28" t="str">
        <x:v>Средняя</x:v>
      </x:c>
      <x:c r="L76" s="28" t="str">
        <x:v>The Art &amp; Science of Foodpairing.pdf</x:v>
      </x:c>
      <x:c r="M76" s="28" t="str">
        <x:v>The Art &amp; Science of Foodpairing.pdf: 260–261</x:v>
      </x:c>
    </x:row>
    <x:row r="77" ht="64" customHeight="1">
      <x:c r="A77" s="28" t="str">
        <x:v>STN-0090</x:v>
      </x:c>
      <x:c r="B77" s="28" t="str">
        <x:v>персик</x:v>
      </x:c>
      <x:c r="C77" s="28" t="str">
        <x:v>персик</x:v>
      </x:c>
      <x:c r="D77" s="28" t="str">
        <x:v>белый тостовый хлеб</x:v>
      </x:c>
      <x:c r="E77" s="28" t="str">
        <x:v>Злаки и выпечка</x:v>
      </x:c>
      <x:c r="F77" s="28" t="str">
        <x:v>комплементарность ароматических семейств, вкусовой контраст и матричный эффект</x:v>
      </x:c>
      <x:c r="G7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Белый тостовый хлеб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7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7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7" s="28" t="str">
        <x:v>тарт, крем, мороженое, выпечка, сырная подача или начинка</x:v>
      </x:c>
      <x:c r="K77" s="28" t="str">
        <x:v>Средняя</x:v>
      </x:c>
      <x:c r="L77" s="28" t="str">
        <x:v>The Art &amp; Science of Foodpairing.pdf</x:v>
      </x:c>
      <x:c r="M77" s="28" t="str">
        <x:v>The Art &amp; Science of Foodpairing.pdf: 260–261</x:v>
      </x:c>
    </x:row>
    <x:row r="78" ht="64" customHeight="1">
      <x:c r="A78" s="28" t="str">
        <x:v>STN-0092</x:v>
      </x:c>
      <x:c r="B78" s="28" t="str">
        <x:v>персик</x:v>
      </x:c>
      <x:c r="C78" s="28" t="str">
        <x:v>персик</x:v>
      </x:c>
      <x:c r="D78" s="28" t="str">
        <x:v>бриошь</x:v>
      </x:c>
      <x:c r="E78" s="28" t="str">
        <x:v>Злаки, хлеб и выпечка</x:v>
      </x:c>
      <x:c r="F78" s="28" t="str">
        <x:v>комплементарность ароматических семейств, вкусовой контраст и матричный эффект</x:v>
      </x:c>
      <x:c r="G7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Бриошь относится к группе «Злаки, хлеб и выпечка» и даёт профиль «хлебный, зерновой, ореховый, жареный и карамельный»; типичные соединения или классы: 2-ацетил-1-пирролин, пиразины, фураны, мальтол.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крахмалистость, лёгкая сладость и жареная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 и клетчатка смягчают кислоту и поглощают ароматические соусы.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H7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I7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8" s="28" t="str">
        <x:v>напиток, соус, десерт или горячее блюдо после пробной дегустации</x:v>
      </x:c>
      <x:c r="K78" s="28" t="str">
        <x:v>Средняя</x:v>
      </x:c>
      <x:c r="L78" s="28" t="str">
        <x:v>The Art &amp; Science of Foodpairing.pdf</x:v>
      </x:c>
      <x:c r="M78" s="28" t="str">
        <x:v>The Art &amp; Science of Foodpairing.pdf: 260–261</x:v>
      </x:c>
    </x:row>
    <x:row r="79" ht="64" customHeight="1">
      <x:c r="A79" s="28" t="str">
        <x:v>STN-0093</x:v>
      </x:c>
      <x:c r="B79" s="28" t="str">
        <x:v>персик</x:v>
      </x:c>
      <x:c r="C79" s="28" t="str">
        <x:v>персик</x:v>
      </x:c>
      <x:c r="D79" s="28" t="str">
        <x:v>бузина</x:v>
      </x:c>
      <x:c r="E79" s="28" t="str">
        <x:v>Ягоды и производные</x:v>
      </x:c>
      <x:c r="F79" s="28" t="str">
        <x:v>комплементарность ароматических семейств, вкусовой контраст и матричный эффект</x:v>
      </x:c>
      <x:c r="G7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Бузина относится к группе «Ягоды и производные» и даёт профиль «зелёный, тёмно-фруктовый, цветочный»; типичные соединения или классы: альдегиды, терпены, эфиры.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кисло-сладкий, терпкий.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ягоды обычно требуют термообработки; цветы и ягоды имеют разные профили.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H7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I7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9" s="28" t="str">
        <x:v>напиток, соус, десерт или горячее блюдо после пробной дегустации</x:v>
      </x:c>
      <x:c r="K79" s="28" t="str">
        <x:v>Гипотеза / практическая</x:v>
      </x:c>
      <x:c r="L79" s="28" t="str">
        <x:v>Таблица сочетания(1).pdf</x:v>
      </x:c>
      <x:c r="M79" s="28" t="str">
        <x:v>Таблица сочетания(1).pdf: Таблица сочетаний: 7, 8 | Таблица сочетания(1).pdf: 7</x:v>
      </x:c>
    </x:row>
    <x:row r="80" ht="64" customHeight="1">
      <x:c r="A80" s="28" t="str">
        <x:v>STN-0094</x:v>
      </x:c>
      <x:c r="B80" s="28" t="str">
        <x:v>персик</x:v>
      </x:c>
      <x:c r="C80" s="28" t="str">
        <x:v>персик</x:v>
      </x:c>
      <x:c r="D80" s="28" t="str">
        <x:v>вакаме</x:v>
      </x:c>
      <x:c r="E80" s="28" t="str">
        <x:v>Рыба и морепродукты</x:v>
      </x:c>
      <x:c r="F80" s="28" t="str">
        <x:v>комплементарность ароматических семейств, вкусовой контраст и матричный эффект</x:v>
      </x:c>
      <x:c r="G8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Вакаме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8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80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80" s="28" t="str">
        <x:v>соус, глазировка, чатни, маринад, гарнир или основное блюдо</x:v>
      </x:c>
      <x:c r="K80" s="28" t="str">
        <x:v>Средняя</x:v>
      </x:c>
      <x:c r="L80" s="28" t="str">
        <x:v>The Art &amp; Science of Foodpairing.pdf</x:v>
      </x:c>
      <x:c r="M80" s="28" t="str">
        <x:v>The Art &amp; Science of Foodpairing.pdf: 260–261</x:v>
      </x:c>
    </x:row>
    <x:row r="81" ht="64" customHeight="1">
      <x:c r="A81" s="28" t="str">
        <x:v>STN-0095</x:v>
      </x:c>
      <x:c r="B81" s="28" t="str">
        <x:v>персик</x:v>
      </x:c>
      <x:c r="C81" s="28" t="str">
        <x:v>персик</x:v>
      </x:c>
      <x:c r="D81" s="28" t="str">
        <x:v>ваниль</x:v>
      </x:c>
      <x:c r="E81" s="28" t="str">
        <x:v>Специи и острые компоненты</x:v>
      </x:c>
      <x:c r="F81" s="28" t="str">
        <x:v>прямое или классовое перекрытие характерных одорантов + вкусовой баланс</x:v>
      </x:c>
      <x:c r="G8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Ваниль относится к группе «Специи и острые компоненты» и даёт профиль «сладкий, сливочный и древесный»; типичные соединения или классы: ванилин, п-гидроксибензальдегид. В рабочих профилях пересекаются: бензальдегид. Общие ароматические направления: сливочный.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81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81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81" s="28" t="str">
        <x:v>напиток, соус, десерт или горячее блюдо после пробной дегустации</x:v>
      </x:c>
      <x:c r="K81" s="28" t="str">
        <x:v>Высокая</x:v>
      </x:c>
      <x:c r="L81" s="28" t="str">
        <x:v>Таблица сочетания(1).pdf | Тезариус вкусов (Ники Сегнит)(1).pdf</x:v>
      </x:c>
      <x:c r="M81" s="28" t="str">
        <x:v>Таблица сочетания(1).pdf: 15 | Таблица сочетания(1).pdf: 21 | Тезариус вкусов (Ники Сегнит)(1).pdf: 747 | Тезариус вкусов (Ники Сегнит)(1).pdf: 919</x:v>
      </x:c>
    </x:row>
    <x:row r="82" ht="64" customHeight="1">
      <x:c r="A82" s="28" t="str">
        <x:v>STN-0097</x:v>
      </x:c>
      <x:c r="B82" s="28" t="str">
        <x:v>персик</x:v>
      </x:c>
      <x:c r="C82" s="28" t="str">
        <x:v>персик</x:v>
      </x:c>
      <x:c r="D82" s="28" t="str">
        <x:v>вишня</x:v>
      </x:c>
      <x:c r="E82" s="28" t="str">
        <x:v>Косточковые фрукты</x:v>
      </x:c>
      <x:c r="F82" s="28" t="str">
        <x:v>прямое или классовое перекрытие характерных одорантов + вкусовой баланс</x:v>
      </x:c>
      <x:c r="G8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линалоол. Общие ароматические направления: цветочный, лактонный. Базовый фрукт даёт: выраженная сладость, умеренная кислотность; беломякотные сорта обычно слаще и мягче по кислоте. Партнёр добавляет: сладость и умеренная кислотность.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пектиновая; кожица и косточка могут давать терпкость и миндальные ноты.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8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8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2" s="28" t="str">
        <x:v>напиток, соус, десерт или горячее блюдо после пробной дегустации</x:v>
      </x:c>
      <x:c r="K82" s="28" t="str">
        <x:v>Высокая</x:v>
      </x:c>
      <x:c r="L82" s="28" t="str">
        <x:v>The Art &amp; Science of Foodpairing.pdf | Таблица сочетания(1).pdf | Тезариус вкусов (Ники Сегнит)(1).pdf</x:v>
      </x:c>
      <x:c r="M82" s="28" t="str">
        <x:v>The Art &amp; Science of Foodpairing.pdf: Тезариус вкусов: 656, 749; The Art &amp; Science of Foodpairing: 260; Таблица сочетаний: 4, 15 | Таблица сочетания(1).pdf: 4 | Таблица сочетания(1).pdf: 15 | Тезариус вкусов (Ники Сегнит)(1).pdf: 656 | Тезариус вкусов (Ники Сегнит)(1).pdf: 749</x:v>
      </x:c>
    </x:row>
    <x:row r="83" ht="64" customHeight="1">
      <x:c r="A83" s="28" t="str">
        <x:v>STN-0098</x:v>
      </x:c>
      <x:c r="B83" s="28" t="str">
        <x:v>персик</x:v>
      </x:c>
      <x:c r="C83" s="28" t="str">
        <x:v>персик</x:v>
      </x:c>
      <x:c r="D83" s="28" t="str">
        <x:v>восковая тыква</x:v>
      </x:c>
      <x:c r="E83" s="28" t="str">
        <x:v>Овощи и корнеплоды</x:v>
      </x:c>
      <x:c r="F83" s="28" t="str">
        <x:v>комплементарность ароматических семейств, вкусовой контраст и матричный эффект</x:v>
      </x:c>
      <x:c r="G8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Восковая тыква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8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8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3" s="28" t="str">
        <x:v>соус, глазировка, чатни, маринад, гарнир или основное блюдо</x:v>
      </x:c>
      <x:c r="K83" s="28" t="str">
        <x:v>Средняя</x:v>
      </x:c>
      <x:c r="L83" s="28" t="str">
        <x:v>The Art &amp; Science of Foodpairing.pdf</x:v>
      </x:c>
      <x:c r="M83" s="28" t="str">
        <x:v>The Art &amp; Science of Foodpairing.pdf: 260–261</x:v>
      </x:c>
    </x:row>
    <x:row r="84" ht="64" customHeight="1">
      <x:c r="A84" s="28" t="str">
        <x:v>STN-0100</x:v>
      </x:c>
      <x:c r="B84" s="28" t="str">
        <x:v>персик</x:v>
      </x:c>
      <x:c r="C84" s="28" t="str">
        <x:v>персик</x:v>
      </x:c>
      <x:c r="D84" s="28" t="str">
        <x:v>гвоздика</x:v>
      </x:c>
      <x:c r="E84" s="28" t="str">
        <x:v>Специи и острые компоненты</x:v>
      </x:c>
      <x:c r="F84" s="28" t="str">
        <x:v>комплементарность ароматических семейств, вкусовой контраст и матричный эффект</x:v>
      </x:c>
      <x:c r="G8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Гвоздика относится к группе «Специи и острые компоненты» и даёт профиль «тёплый, фенольный и пряный»; типичные соединения или классы: эвгенол, эвгенилацетат.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84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84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84" s="28" t="str">
        <x:v>напиток, соус, десерт или горячее блюдо после пробной дегустации</x:v>
      </x:c>
      <x:c r="K84" s="28" t="str">
        <x:v>Высокая</x:v>
      </x:c>
      <x:c r="L84" s="28" t="str">
        <x:v>Таблица сочетания(1).pdf | Тезариус вкусов (Ники Сегнит)(1).pdf</x:v>
      </x:c>
      <x:c r="M84" s="28" t="str">
        <x:v>Таблица сочетания(1).pdf: 15 | Тезариус вкусов (Ники Сегнит)(1).pdf: 584 | Тезариус вкусов (Ники Сегнит)(1).pdf: 750</x:v>
      </x:c>
    </x:row>
    <x:row r="85" ht="64" customHeight="1">
      <x:c r="A85" s="28" t="str">
        <x:v>STN-0101</x:v>
      </x:c>
      <x:c r="B85" s="28" t="str">
        <x:v>персик</x:v>
      </x:c>
      <x:c r="C85" s="28" t="str">
        <x:v>персик</x:v>
      </x:c>
      <x:c r="D85" s="28" t="str">
        <x:v>гибискус</x:v>
      </x:c>
      <x:c r="E85" s="28" t="str">
        <x:v>Прочее</x:v>
      </x:c>
      <x:c r="F85" s="28" t="str">
        <x:v>комплементарность ароматических семейств, вкусовой контраст и матричный эффект</x:v>
      </x:c>
      <x:c r="G8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Гибискус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8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8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5" s="28" t="str">
        <x:v>напиток, соус, десерт или горячее блюдо после пробной дегустации</x:v>
      </x:c>
      <x:c r="K85" s="28" t="str">
        <x:v>Гипотеза / практическая</x:v>
      </x:c>
      <x:c r="L85" s="28" t="str">
        <x:v>Таблица сочетания(1).pdf</x:v>
      </x:c>
      <x:c r="M85" s="28" t="str">
        <x:v>Таблица сочетания(1).pdf: 9</x:v>
      </x:c>
    </x:row>
    <x:row r="86" ht="64" customHeight="1">
      <x:c r="A86" s="28" t="str">
        <x:v>STN-0102</x:v>
      </x:c>
      <x:c r="B86" s="28" t="str">
        <x:v>персик</x:v>
      </x:c>
      <x:c r="C86" s="28" t="str">
        <x:v>персик</x:v>
      </x:c>
      <x:c r="D86" s="28" t="str">
        <x:v>говяжий бульон</x:v>
      </x:c>
      <x:c r="E86" s="28" t="str">
        <x:v>Мясо и птица</x:v>
      </x:c>
      <x:c r="F86" s="28" t="str">
        <x:v>комплементарность ароматических семейств, вкусовой контраст и матричный эффект</x:v>
      </x:c>
      <x:c r="G8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Говяжий бульон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H86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I86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86" s="28" t="str">
        <x:v>соус, глазировка, чатни, маринад, гарнир или основное блюдо</x:v>
      </x:c>
      <x:c r="K86" s="28" t="str">
        <x:v>Средняя</x:v>
      </x:c>
      <x:c r="L86" s="28" t="str">
        <x:v>The Art &amp; Science of Foodpairing.pdf</x:v>
      </x:c>
      <x:c r="M86" s="28" t="str">
        <x:v>The Art &amp; Science of Foodpairing.pdf: 260–261</x:v>
      </x:c>
    </x:row>
    <x:row r="87" ht="64" customHeight="1">
      <x:c r="A87" s="28" t="str">
        <x:v>STN-0104</x:v>
      </x:c>
      <x:c r="B87" s="28" t="str">
        <x:v>персик</x:v>
      </x:c>
      <x:c r="C87" s="28" t="str">
        <x:v>персик</x:v>
      </x:c>
      <x:c r="D87" s="28" t="str">
        <x:v>голубой сыр</x:v>
      </x:c>
      <x:c r="E87" s="28" t="str">
        <x:v>Сыры и молочные продукты</x:v>
      </x:c>
      <x:c r="F87" s="28" t="str">
        <x:v>комплементарность ароматических семейств, вкусовой контраст и матричный эффект</x:v>
      </x:c>
      <x:c r="G8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Голубой сыр относится к группе «Сыры и молочные продукты» и даёт профиль «пикантный, грибной и сливочный»; типичные соединения или классы: 2-гептанон, 2-нонанон, короткоцепочечные жирные кислоты. По доступным материалам нельзя уверенно свести совместимость к одной общей молекуле. Общие ароматические направления: сливочный.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 Обработка: 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H87" s="28" t="str">
        <x:v>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I87" s="28" t="str">
        <x:v>незрелый плод ароматически беден; перезрелый быстро окисляется; косточки не использовать без безопасной технологии. Избыток кислоты может свернуть молочную основу; фрукт и сыр проверяют при рабочей температуре.</x:v>
      </x:c>
      <x:c r="J87" s="28" t="str">
        <x:v>тарт, крем, мороженое, выпечка, сырная подача или начинка</x:v>
      </x:c>
      <x:c r="K87" s="28" t="str">
        <x:v>Средняя</x:v>
      </x:c>
      <x:c r="L87" s="28" t="str">
        <x:v>Тезариус вкусов (Ники Сегнит)(1).pdf</x:v>
      </x:c>
      <x:c r="M87" s="28" t="str">
        <x:v>Тезариус вкусов (Ники Сегнит)(1).pdf: 159 | Тезариус вкусов (Ники Сегнит)(1).pdf: 750</x:v>
      </x:c>
    </x:row>
    <x:row r="88" ht="64" customHeight="1">
      <x:c r="A88" s="28" t="str">
        <x:v>STN-0105</x:v>
      </x:c>
      <x:c r="B88" s="28" t="str">
        <x:v>персик</x:v>
      </x:c>
      <x:c r="C88" s="28" t="str">
        <x:v>персик</x:v>
      </x:c>
      <x:c r="D88" s="28" t="str">
        <x:v>горгонзола</x:v>
      </x:c>
      <x:c r="E88" s="28" t="str">
        <x:v>Прочее</x:v>
      </x:c>
      <x:c r="F88" s="28" t="str">
        <x:v>комплементарность ароматических семейств, вкусовой контраст и матричный эффект</x:v>
      </x:c>
      <x:c r="G8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Горгонзола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8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8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8" s="28" t="str">
        <x:v>напиток, соус, десерт или горячее блюдо после пробной дегустации</x:v>
      </x:c>
      <x:c r="K88" s="28" t="str">
        <x:v>Средняя</x:v>
      </x:c>
      <x:c r="L88" s="28" t="str">
        <x:v>The Art &amp; Science of Foodpairing.pdf</x:v>
      </x:c>
      <x:c r="M88" s="28" t="str">
        <x:v>The Art &amp; Science of Foodpairing.pdf: 260–261</x:v>
      </x:c>
    </x:row>
    <x:row r="89" ht="64" customHeight="1">
      <x:c r="A89" s="28" t="str">
        <x:v>STN-0106</x:v>
      </x:c>
      <x:c r="B89" s="28" t="str">
        <x:v>персик</x:v>
      </x:c>
      <x:c r="C89" s="28" t="str">
        <x:v>персик</x:v>
      </x:c>
      <x:c r="D89" s="28" t="str">
        <x:v>гранат</x:v>
      </x:c>
      <x:c r="E89" s="28" t="str">
        <x:v>Субтропические фрукты</x:v>
      </x:c>
      <x:c r="F89" s="28" t="str">
        <x:v>прямое или классовое перекрытие характерных одорантов + вкусовой баланс</x:v>
      </x:c>
      <x:c r="G8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Гранат относится к группе «Субтропические фрукты» и даёт профиль «красно-фруктовый, цветочный, зелёный и винный»; типичные соединения или классы: гексаналь, (E)-2-гексеналь, эфиры, терпены; нелетучие пуникалагины и антоцианы. В рабочих профилях пересекаются: гексаналь.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яркая кислотность, сладость и выраженная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водный сок с полифенолами; семена дают хруст и лёгкую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H8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I8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9" s="28" t="str">
        <x:v>напиток, соус, десерт или горячее блюдо после пробной дегустации</x:v>
      </x:c>
      <x:c r="K89" s="28" t="str">
        <x:v>Средняя</x:v>
      </x:c>
      <x:c r="L89" s="28" t="str">
        <x:v>The Art &amp; Science of Foodpairing.pdf</x:v>
      </x:c>
      <x:c r="M89" s="28" t="str">
        <x:v>The Art &amp; Science of Foodpairing.pdf: 260–261</x:v>
      </x:c>
    </x:row>
    <x:row r="90" ht="64" customHeight="1">
      <x:c r="A90" s="28" t="str">
        <x:v>STN-0107</x:v>
      </x:c>
      <x:c r="B90" s="28" t="str">
        <x:v>персик</x:v>
      </x:c>
      <x:c r="C90" s="28" t="str">
        <x:v>персик</x:v>
      </x:c>
      <x:c r="D90" s="28" t="str">
        <x:v>грецкий орех</x:v>
      </x:c>
      <x:c r="E90" s="28" t="str">
        <x:v>Орехи и семена</x:v>
      </x:c>
      <x:c r="F90" s="28" t="str">
        <x:v>прямое или классовое перекрытие характерных одорантов + вкусовой баланс</x:v>
      </x:c>
      <x:c r="G9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Грецкий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9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90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90" s="28" t="str">
        <x:v>тарт, крем, мороженое, выпечка, сырная подача или начинка</x:v>
      </x:c>
      <x:c r="K90" s="28" t="str">
        <x:v>Гипотеза / практическая</x:v>
      </x:c>
      <x:c r="L90" s="28" t="str">
        <x:v>Таблица сочетания(1).pdf</x:v>
      </x:c>
      <x:c r="M90" s="28" t="str">
        <x:v>Таблица сочетания(1).pdf: 15</x:v>
      </x:c>
    </x:row>
    <x:row r="91" ht="64" customHeight="1">
      <x:c r="A91" s="28" t="str">
        <x:v>STN-0108</x:v>
      </x:c>
      <x:c r="B91" s="28" t="str">
        <x:v>персик</x:v>
      </x:c>
      <x:c r="C91" s="28" t="str">
        <x:v>персик</x:v>
      </x:c>
      <x:c r="D91" s="28" t="str">
        <x:v>грюйер</x:v>
      </x:c>
      <x:c r="E91" s="28" t="str">
        <x:v>Молочные продукты и сыры</x:v>
      </x:c>
      <x:c r="F91" s="28" t="str">
        <x:v>комплементарность ароматических семейств, вкусовой контраст и матричный эффект</x:v>
      </x:c>
      <x:c r="G9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Грюйер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жирный, кислый/солёный.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жировая и белковая матрица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9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9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1" s="28" t="str">
        <x:v>напиток, соус, десерт или горячее блюдо после пробной дегустации</x:v>
      </x:c>
      <x:c r="K91" s="28" t="str">
        <x:v>Средняя</x:v>
      </x:c>
      <x:c r="L91" s="28" t="str">
        <x:v>The Art &amp; Science of Foodpairing.pdf</x:v>
      </x:c>
      <x:c r="M91" s="28" t="str">
        <x:v>The Art &amp; Science of Foodpairing.pdf: 260–261</x:v>
      </x:c>
    </x:row>
    <x:row r="92" ht="64" customHeight="1">
      <x:c r="A92" s="28" t="str">
        <x:v>STN-0109</x:v>
      </x:c>
      <x:c r="B92" s="28" t="str">
        <x:v>персик</x:v>
      </x:c>
      <x:c r="C92" s="28" t="str">
        <x:v>персик</x:v>
      </x:c>
      <x:c r="D92" s="28" t="str">
        <x:v>доджанг</x:v>
      </x:c>
      <x:c r="E92" s="28" t="str">
        <x:v>Ферментированные продукты, соусы и уксусы</x:v>
      </x:c>
      <x:c r="F92" s="28" t="str">
        <x:v>комплементарность ароматических семейств, вкусовой контраст и матричный эффект</x:v>
      </x:c>
      <x:c r="G9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Доджанг относится к группе «Ферментированные продукты, соусы и уксусы» и даёт профиль «кислый, умами, ферментированный»; типичные соединения или классы: аминокислоты, органические кислоты, эфиры. По доступным материалам нельзя уверенно свести совместимость к одной общей молекуле. Кислота, соль и умами усиливают контраст с фруктовой сладостью; сочетание работает в малой дозировке как приправа. Матрица пары: сочная пектиновая мякоть; кожица несёт зелёные и цветочные ноты; лактоны хорошо удерживаются жиром и этанолом. Партнёр: вода, соль и продукты ферментации.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9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92" s="28" t="str">
        <x:v>незрелый плод ароматически беден; перезрелый быстро окисляется; косточки не использовать без безопасной технологии. Соль и кислота быстро становятся доминирующими; используйте как акцент.</x:v>
      </x:c>
      <x:c r="J92" s="28" t="str">
        <x:v>соус, глазировка, чатни, маринад, гарнир или основное блюдо</x:v>
      </x:c>
      <x:c r="K92" s="28" t="str">
        <x:v>Средняя</x:v>
      </x:c>
      <x:c r="L92" s="28" t="str">
        <x:v>The Art &amp; Science of Foodpairing.pdf</x:v>
      </x:c>
      <x:c r="M92" s="28" t="str">
        <x:v>The Art &amp; Science of Foodpairing.pdf: 260–261</x:v>
      </x:c>
    </x:row>
    <x:row r="93" ht="64" customHeight="1">
      <x:c r="A93" s="28" t="str">
        <x:v>STN-0110</x:v>
      </x:c>
      <x:c r="B93" s="28" t="str">
        <x:v>персик</x:v>
      </x:c>
      <x:c r="C93" s="28" t="str">
        <x:v>персик</x:v>
      </x:c>
      <x:c r="D93" s="28" t="str">
        <x:v>доенджан</x:v>
      </x:c>
      <x:c r="E93" s="28" t="str">
        <x:v>Ферментированные продукты, соусы и уксусы</x:v>
      </x:c>
      <x:c r="F93" s="28" t="str">
        <x:v>комплементарность ароматических семейств, вкусовой контраст и матричный эффект</x:v>
      </x:c>
      <x:c r="G9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Доенджан относится к группе «Ферментированные продукты, соусы и уксусы» и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По доступным материалам нельзя уверенно свести совместимость к одной общей молекуле. Кислота, соль и умами усиливают контраст с фруктовой сладостью; сочетание работает в малой дозировке как приправа. Матрица пары: сочная пектиновая мякоть; кожица несёт зелёные и цветочные ноты; лактоны хорошо удерживаются жиром и этанолом. Партнёр: часто водная и солёная; концентраты требуют малых доз.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H9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I93" s="28" t="str">
        <x:v>незрелый плод ароматически беден; перезрелый быстро окисляется; косточки не использовать без безопасной технологии. Соль и кислота быстро становятся доминирующими; используйте как акцент.</x:v>
      </x:c>
      <x:c r="J93" s="28" t="str">
        <x:v>соус, глазировка, чатни, маринад, гарнир или основное блюдо</x:v>
      </x:c>
      <x:c r="K93" s="28" t="str">
        <x:v>Средняя</x:v>
      </x:c>
      <x:c r="L93" s="28" t="str">
        <x:v>The Art &amp; Science of Foodpairing.pdf</x:v>
      </x:c>
      <x:c r="M93" s="28" t="str">
        <x:v>The Art &amp; Science of Foodpairing.pdf: 246</x:v>
      </x:c>
    </x:row>
    <x:row r="94" ht="64" customHeight="1">
      <x:c r="A94" s="28" t="str">
        <x:v>STN-0113</x:v>
      </x:c>
      <x:c r="B94" s="28" t="str">
        <x:v>персик</x:v>
      </x:c>
      <x:c r="C94" s="28" t="str">
        <x:v>персик</x:v>
      </x:c>
      <x:c r="D94" s="28" t="str">
        <x:v>жареное филе куриной грудки</x:v>
      </x:c>
      <x:c r="E94" s="28" t="str">
        <x:v>Прочее</x:v>
      </x:c>
      <x:c r="F94" s="28" t="str">
        <x:v>комплементарность ароматических семейств, вкусовой контраст и матричный эффект</x:v>
      </x:c>
      <x:c r="G9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Жареное филе куриной грудки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9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9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4" s="28" t="str">
        <x:v>напиток, соус, десерт или горячее блюдо после пробной дегустации</x:v>
      </x:c>
      <x:c r="K94" s="28" t="str">
        <x:v>Средняя</x:v>
      </x:c>
      <x:c r="L94" s="28" t="str">
        <x:v>The Art &amp; Science of Foodpairing.pdf</x:v>
      </x:c>
      <x:c r="M94" s="28" t="str">
        <x:v>The Art &amp; Science of Foodpairing.pdf: 260–261</x:v>
      </x:c>
    </x:row>
    <x:row r="95" ht="64" customHeight="1">
      <x:c r="A95" s="28" t="str">
        <x:v>STN-0114</x:v>
      </x:c>
      <x:c r="B95" s="28" t="str">
        <x:v>персик</x:v>
      </x:c>
      <x:c r="C95" s="28" t="str">
        <x:v>персик</x:v>
      </x:c>
      <x:c r="D95" s="28" t="str">
        <x:v>жасмин</x:v>
      </x:c>
      <x:c r="E95" s="28" t="str">
        <x:v>Травы и цветы</x:v>
      </x:c>
      <x:c r="F95" s="28" t="str">
        <x:v>прямое или классовое перекрытие характерных одорантов + вкусовой баланс</x:v>
      </x:c>
      <x:c r="G9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Жасмин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9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9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5" s="28" t="str">
        <x:v>напиток, соус, десерт или горячее блюдо после пробной дегустации</x:v>
      </x:c>
      <x:c r="K95" s="28" t="str">
        <x:v>Гипотеза / практическая</x:v>
      </x:c>
      <x:c r="L95" s="28" t="str">
        <x:v>Таблица сочетания(1).pdf</x:v>
      </x:c>
      <x:c r="M95" s="28" t="str">
        <x:v>Таблица сочетания(1).pdf: 10</x:v>
      </x:c>
    </x:row>
    <x:row r="96" ht="64" customHeight="1">
      <x:c r="A96" s="28" t="str">
        <x:v>STN-0115</x:v>
      </x:c>
      <x:c r="B96" s="28" t="str">
        <x:v>персик</x:v>
      </x:c>
      <x:c r="C96" s="28" t="str">
        <x:v>персик</x:v>
      </x:c>
      <x:c r="D96" s="28" t="str">
        <x:v>запеченная индейка</x:v>
      </x:c>
      <x:c r="E96" s="28" t="str">
        <x:v>Мясо и птица</x:v>
      </x:c>
      <x:c r="F96" s="28" t="str">
        <x:v>комплементарность ароматических семейств, вкусовой контраст и матричный эффект</x:v>
      </x:c>
      <x:c r="G9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Запеченная индейка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H96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I96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96" s="28" t="str">
        <x:v>соус, глазировка, чатни, маринад, гарнир или основное блюдо</x:v>
      </x:c>
      <x:c r="K96" s="28" t="str">
        <x:v>Средняя</x:v>
      </x:c>
      <x:c r="L96" s="28" t="str">
        <x:v>The Art &amp; Science of Foodpairing.pdf</x:v>
      </x:c>
      <x:c r="M96" s="28" t="str">
        <x:v>The Art &amp; Science of Foodpairing.pdf: 260–261</x:v>
      </x:c>
    </x:row>
    <x:row r="97" ht="64" customHeight="1">
      <x:c r="A97" s="28" t="str">
        <x:v>STN-0116</x:v>
      </x:c>
      <x:c r="B97" s="28" t="str">
        <x:v>персик</x:v>
      </x:c>
      <x:c r="C97" s="28" t="str">
        <x:v>персик</x:v>
      </x:c>
      <x:c r="D97" s="28" t="str">
        <x:v>запеченная кольраби</x:v>
      </x:c>
      <x:c r="E97" s="28" t="str">
        <x:v>Овощи и корнеплоды</x:v>
      </x:c>
      <x:c r="F97" s="28" t="str">
        <x:v>комплементарность ароматических семейств, вкусовой контраст и матричный эффект</x:v>
      </x:c>
      <x:c r="G9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Запеченная кольраби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9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9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7" s="28" t="str">
        <x:v>соус, глазировка, чатни, маринад, гарнир или основное блюдо</x:v>
      </x:c>
      <x:c r="K97" s="28" t="str">
        <x:v>Средняя</x:v>
      </x:c>
      <x:c r="L97" s="28" t="str">
        <x:v>The Art &amp; Science of Foodpairing.pdf</x:v>
      </x:c>
      <x:c r="M97" s="28" t="str">
        <x:v>The Art &amp; Science of Foodpairing.pdf: 260–261</x:v>
      </x:c>
    </x:row>
    <x:row r="98" ht="64" customHeight="1">
      <x:c r="A98" s="28" t="str">
        <x:v>STN-0117</x:v>
      </x:c>
      <x:c r="B98" s="28" t="str">
        <x:v>персик</x:v>
      </x:c>
      <x:c r="C98" s="28" t="str">
        <x:v>персик</x:v>
      </x:c>
      <x:c r="D98" s="28" t="str">
        <x:v>запеченный бекон</x:v>
      </x:c>
      <x:c r="E98" s="28" t="str">
        <x:v>Мясо и птица</x:v>
      </x:c>
      <x:c r="F98" s="28" t="str">
        <x:v>комплементарность ароматических семейств, вкусовой контраст и матричный эффект</x:v>
      </x:c>
      <x:c r="G9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Запеченный бекон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H98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I98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98" s="28" t="str">
        <x:v>соус, глазировка, чатни, маринад, гарнир или основное блюдо</x:v>
      </x:c>
      <x:c r="K98" s="28" t="str">
        <x:v>Средняя</x:v>
      </x:c>
      <x:c r="L98" s="28" t="str">
        <x:v>The Art &amp; Science of Foodpairing.pdf</x:v>
      </x:c>
      <x:c r="M98" s="28" t="str">
        <x:v>The Art &amp; Science of Foodpairing.pdf: 260–261</x:v>
      </x:c>
    </x:row>
    <x:row r="99" ht="64" customHeight="1">
      <x:c r="A99" s="28" t="str">
        <x:v>STN-0118</x:v>
      </x:c>
      <x:c r="B99" s="28" t="str">
        <x:v>персик</x:v>
      </x:c>
      <x:c r="C99" s="28" t="str">
        <x:v>персик</x:v>
      </x:c>
      <x:c r="D99" s="28" t="str">
        <x:v>запеченный морской петух</x:v>
      </x:c>
      <x:c r="E99" s="28" t="str">
        <x:v>Рыба и морепродукты</x:v>
      </x:c>
      <x:c r="F99" s="28" t="str">
        <x:v>комплементарность ароматических семейств, вкусовой контраст и матричный эффект</x:v>
      </x:c>
      <x:c r="G9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Запеченный морской петух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9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99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99" s="28" t="str">
        <x:v>соус, глазировка, чатни, маринад, гарнир или основное блюдо</x:v>
      </x:c>
      <x:c r="K99" s="28" t="str">
        <x:v>Средняя</x:v>
      </x:c>
      <x:c r="L99" s="28" t="str">
        <x:v>The Art &amp; Science of Foodpairing.pdf</x:v>
      </x:c>
      <x:c r="M99" s="28" t="str">
        <x:v>The Art &amp; Science of Foodpairing.pdf: 260–261</x:v>
      </x:c>
    </x:row>
    <x:row r="100" ht="64" customHeight="1">
      <x:c r="A100" s="28" t="str">
        <x:v>STN-0119</x:v>
      </x:c>
      <x:c r="B100" s="28" t="str">
        <x:v>персик</x:v>
      </x:c>
      <x:c r="C100" s="28" t="str">
        <x:v>персик</x:v>
      </x:c>
      <x:c r="D100" s="28" t="str">
        <x:v>запеченный морской язык</x:v>
      </x:c>
      <x:c r="E100" s="28" t="str">
        <x:v>Рыба и морепродукты</x:v>
      </x:c>
      <x:c r="F100" s="28" t="str">
        <x:v>комплементарность ароматических семейств, вкусовой контраст и матричный эффект</x:v>
      </x:c>
      <x:c r="G10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Запеченный морской язык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0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00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100" s="28" t="str">
        <x:v>соус, глазировка, чатни, маринад, гарнир или основное блюдо</x:v>
      </x:c>
      <x:c r="K100" s="28" t="str">
        <x:v>Средняя</x:v>
      </x:c>
      <x:c r="L100" s="28" t="str">
        <x:v>The Art &amp; Science of Foodpairing.pdf</x:v>
      </x:c>
      <x:c r="M100" s="28" t="str">
        <x:v>The Art &amp; Science of Foodpairing.pdf: 103</x:v>
      </x:c>
    </x:row>
    <x:row r="101" ht="64" customHeight="1">
      <x:c r="A101" s="28" t="str">
        <x:v>STN-0120</x:v>
      </x:c>
      <x:c r="B101" s="28" t="str">
        <x:v>персик</x:v>
      </x:c>
      <x:c r="C101" s="28" t="str">
        <x:v>персик</x:v>
      </x:c>
      <x:c r="D101" s="28" t="str">
        <x:v>зеленые водоросли</x:v>
      </x:c>
      <x:c r="E101" s="28" t="str">
        <x:v>Рыба и морепродукты</x:v>
      </x:c>
      <x:c r="F101" s="28" t="str">
        <x:v>комплементарность ароматических семейств, вкусовой контраст и матричный эффект</x:v>
      </x:c>
      <x:c r="G10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Зеленые водоросли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0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01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101" s="28" t="str">
        <x:v>соус, глазировка, чатни, маринад, гарнир или основное блюдо</x:v>
      </x:c>
      <x:c r="K101" s="28" t="str">
        <x:v>Средняя</x:v>
      </x:c>
      <x:c r="L101" s="28" t="str">
        <x:v>The Art &amp; Science of Foodpairing.pdf</x:v>
      </x:c>
      <x:c r="M101" s="28" t="str">
        <x:v>The Art &amp; Science of Foodpairing.pdf: 267 | The Art &amp; Science of Foodpairing.pdf: 260–261</x:v>
      </x:c>
    </x:row>
    <x:row r="102" ht="64" customHeight="1">
      <x:c r="A102" s="28" t="str">
        <x:v>STN-0121</x:v>
      </x:c>
      <x:c r="B102" s="28" t="str">
        <x:v>персик</x:v>
      </x:c>
      <x:c r="C102" s="28" t="str">
        <x:v>персик</x:v>
      </x:c>
      <x:c r="D102" s="28" t="str">
        <x:v>зеленые оливки</x:v>
      </x:c>
      <x:c r="E102" s="28" t="str">
        <x:v>Овощи и корнеплоды</x:v>
      </x:c>
      <x:c r="F102" s="28" t="str">
        <x:v>комплементарность ароматических семейств, вкусовой контраст и матричный эффект</x:v>
      </x:c>
      <x:c r="G10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Зеленые оливки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0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0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2" s="28" t="str">
        <x:v>соус, глазировка, чатни, маринад, гарнир или основное блюдо</x:v>
      </x:c>
      <x:c r="K102" s="28" t="str">
        <x:v>Средняя</x:v>
      </x:c>
      <x:c r="L102" s="28" t="str">
        <x:v>The Art &amp; Science of Foodpairing.pdf</x:v>
      </x:c>
      <x:c r="M102" s="28" t="str">
        <x:v>The Art &amp; Science of Foodpairing.pdf: 260–261</x:v>
      </x:c>
    </x:row>
    <x:row r="103" ht="64" customHeight="1">
      <x:c r="A103" s="28" t="str">
        <x:v>STN-0123</x:v>
      </x:c>
      <x:c r="B103" s="28" t="str">
        <x:v>персик</x:v>
      </x:c>
      <x:c r="C103" s="28" t="str">
        <x:v>персик</x:v>
      </x:c>
      <x:c r="D103" s="28" t="str">
        <x:v>имбирь</x:v>
      </x:c>
      <x:c r="E103" s="28" t="str">
        <x:v>Специи и острые компоненты</x:v>
      </x:c>
      <x:c r="F103" s="28" t="str">
        <x:v>комплементарность ароматических семейств, вкусовой контраст и матричный эффект</x:v>
      </x:c>
      <x:c r="G10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03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03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03" s="28" t="str">
        <x:v>напиток, соус, десерт или горячее блюдо после пробной дегустации</x:v>
      </x:c>
      <x:c r="K103" s="28" t="str">
        <x:v>Гипотеза / практическая</x:v>
      </x:c>
      <x:c r="L103" s="28" t="str">
        <x:v>Таблица сочетания(1).pdf</x:v>
      </x:c>
      <x:c r="M103" s="28" t="str">
        <x:v>Таблица сочетания(1).pdf: 15</x:v>
      </x:c>
    </x:row>
    <x:row r="104" ht="64" customHeight="1">
      <x:c r="A104" s="28" t="str">
        <x:v>STN-0124</x:v>
      </x:c>
      <x:c r="B104" s="28" t="str">
        <x:v>персик</x:v>
      </x:c>
      <x:c r="C104" s="28" t="str">
        <x:v>персик</x:v>
      </x:c>
      <x:c r="D104" s="28" t="str">
        <x:v>инжир</x:v>
      </x:c>
      <x:c r="E104" s="28" t="str">
        <x:v>Субтропические фрукты</x:v>
      </x:c>
      <x:c r="F104" s="28" t="str">
        <x:v>прямое или классовое перекрытие характерных одорантов + вкусовой баланс</x:v>
      </x:c>
      <x:c r="G10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бензальдегид, линалоол. Общие ароматические направления: цветочный, лактонный, зелёный.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низкая кислотность; семена дают хруст.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пектиновая и сахаристая; сушёный инжир концентрирует сахар, фенолы и карамельные ноты.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10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10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4" s="28" t="str">
        <x:v>напиток, соус, десерт или горячее блюдо после пробной дегустации</x:v>
      </x:c>
      <x:c r="K104" s="28" t="str">
        <x:v>Гипотеза / практическая</x:v>
      </x:c>
      <x:c r="L104" s="28" t="str">
        <x:v>Таблица сочетания(1).pdf</x:v>
      </x:c>
      <x:c r="M104" s="28" t="str">
        <x:v>Таблица сочетания(1).pdf: Таблица сочетаний: 15 | Таблица сочетания(1).pdf: 15</x:v>
      </x:c>
    </x:row>
    <x:row r="105" ht="64" customHeight="1">
      <x:c r="A105" s="28" t="str">
        <x:v>STN-0126</x:v>
      </x:c>
      <x:c r="B105" s="28" t="str">
        <x:v>персик</x:v>
      </x:c>
      <x:c r="C105" s="28" t="str">
        <x:v>персик</x:v>
      </x:c>
      <x:c r="D105" s="28" t="str">
        <x:v>канталупа</x:v>
      </x:c>
      <x:c r="E105" s="28" t="str">
        <x:v>Бахчевые</x:v>
      </x:c>
      <x:c r="F105" s="28" t="str">
        <x:v>комплементарность ароматических семейств, вкусовой контраст и матричный эффект</x:v>
      </x:c>
      <x:c r="G10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Канталупа относится к группе «Бахчевые» и даёт профиль «интенсивно сладкий, мускусный, цветочный и зелёный»; типичные соединения или классы: этил-2-метилбутират, этилбутират, C9-альдегиды, тиоэфиры.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выраженная сладость и слабая кислотность.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мягкая; аромат быстро улетучивается после нарезки.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H10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I10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5" s="28" t="str">
        <x:v>напиток, соус, десерт или горячее блюдо после пробной дегустации</x:v>
      </x:c>
      <x:c r="K105" s="28" t="str">
        <x:v>Средняя</x:v>
      </x:c>
      <x:c r="L105" s="28" t="str">
        <x:v>The Art &amp; Science of Foodpairing.pdf</x:v>
      </x:c>
      <x:c r="M105" s="28" t="str">
        <x:v>The Art &amp; Science of Foodpairing.pdf: 260–261</x:v>
      </x:c>
    </x:row>
    <x:row r="106" ht="64" customHeight="1">
      <x:c r="A106" s="28" t="str">
        <x:v>STN-0127</x:v>
      </x:c>
      <x:c r="B106" s="28" t="str">
        <x:v>персик</x:v>
      </x:c>
      <x:c r="C106" s="28" t="str">
        <x:v>персик</x:v>
      </x:c>
      <x:c r="D106" s="28" t="str">
        <x:v>карамель</x:v>
      </x:c>
      <x:c r="E106" s="28" t="str">
        <x:v>Сахара, мёд и кондитерские основы</x:v>
      </x:c>
      <x:c r="F106" s="28" t="str">
        <x:v>комплементарность ароматических семейств, вкусовой контраст и матричный эффект</x:v>
      </x:c>
      <x:c r="G10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10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10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6" s="28" t="str">
        <x:v>напиток, соус, десерт или горячее блюдо после пробной дегустации</x:v>
      </x:c>
      <x:c r="K106" s="28" t="str">
        <x:v>Гипотеза / практическая</x:v>
      </x:c>
      <x:c r="L106" s="28" t="str">
        <x:v>Таблица сочетания(1).pdf</x:v>
      </x:c>
      <x:c r="M106" s="28" t="str">
        <x:v>Таблица сочетания(1).pdf: 15</x:v>
      </x:c>
    </x:row>
    <x:row r="107" ht="64" customHeight="1">
      <x:c r="A107" s="28" t="str">
        <x:v>STN-0128</x:v>
      </x:c>
      <x:c r="B107" s="28" t="str">
        <x:v>персик</x:v>
      </x:c>
      <x:c r="C107" s="28" t="str">
        <x:v>персик</x:v>
      </x:c>
      <x:c r="D107" s="28" t="str">
        <x:v>кедровый орех</x:v>
      </x:c>
      <x:c r="E107" s="28" t="str">
        <x:v>Орехи и семена</x:v>
      </x:c>
      <x:c r="F107" s="28" t="str">
        <x:v>прямое или классовое перекрытие характерных одорантов + вкусовой баланс</x:v>
      </x:c>
      <x:c r="G10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Кедровый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10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107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07" s="28" t="str">
        <x:v>тарт, крем, мороженое, выпечка, сырная подача или начинка</x:v>
      </x:c>
      <x:c r="K107" s="28" t="str">
        <x:v>Высокая</x:v>
      </x:c>
      <x:c r="L107" s="28" t="str">
        <x:v>The Art &amp; Science of Foodpairing.pdf | Таблица сочетания(1).pdf</x:v>
      </x:c>
      <x:c r="M107" s="28" t="str">
        <x:v>Таблица сочетания(1).pdf: 16 | The Art &amp; Science of Foodpairing.pdf: 260–261</x:v>
      </x:c>
    </x:row>
    <x:row r="108" ht="64" customHeight="1">
      <x:c r="A108" s="28" t="str">
        <x:v>STN-0129</x:v>
      </x:c>
      <x:c r="B108" s="28" t="str">
        <x:v>персик</x:v>
      </x:c>
      <x:c r="C108" s="28" t="str">
        <x:v>персик</x:v>
      </x:c>
      <x:c r="D108" s="28" t="str">
        <x:v>кейл на пару</x:v>
      </x:c>
      <x:c r="E108" s="28" t="str">
        <x:v>Овощи и корнеплоды</x:v>
      </x:c>
      <x:c r="F108" s="28" t="str">
        <x:v>комплементарность ароматических семейств, вкусовой контраст и матричный эффект</x:v>
      </x:c>
      <x:c r="G10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Кейл на пару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0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0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8" s="28" t="str">
        <x:v>соус, глазировка, чатни, маринад, гарнир или основное блюдо</x:v>
      </x:c>
      <x:c r="K108" s="28" t="str">
        <x:v>Средняя</x:v>
      </x:c>
      <x:c r="L108" s="28" t="str">
        <x:v>The Art &amp; Science of Foodpairing.pdf</x:v>
      </x:c>
      <x:c r="M108" s="28" t="str">
        <x:v>The Art &amp; Science of Foodpairing.pdf: 260–261</x:v>
      </x:c>
    </x:row>
    <x:row r="109" ht="64" customHeight="1">
      <x:c r="A109" s="28" t="str">
        <x:v>STN-0130</x:v>
      </x:c>
      <x:c r="B109" s="28" t="str">
        <x:v>персик</x:v>
      </x:c>
      <x:c r="C109" s="28" t="str">
        <x:v>персик</x:v>
      </x:c>
      <x:c r="D109" s="28" t="str">
        <x:v>кефир</x:v>
      </x:c>
      <x:c r="E109" s="28" t="str">
        <x:v>Сыры и молочные продукты</x:v>
      </x:c>
      <x:c r="F109" s="28" t="str">
        <x:v>комплементарность ароматических семейств, вкусовой контраст и матричный эффект</x:v>
      </x:c>
      <x:c r="G10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Кефир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Общие ароматические направления: сливочный.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 Обработка: 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H109" s="28" t="str">
        <x:v>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I109" s="28" t="str">
        <x:v>незрелый плод ароматически беден; перезрелый быстро окисляется; косточки не использовать без безопасной технологии. Избыток кислоты может свернуть молочную основу; фрукт и сыр проверяют при рабочей температуре.</x:v>
      </x:c>
      <x:c r="J109" s="28" t="str">
        <x:v>тарт, крем, мороженое, выпечка, сырная подача или начинка</x:v>
      </x:c>
      <x:c r="K109" s="28" t="str">
        <x:v>Средняя</x:v>
      </x:c>
      <x:c r="L109" s="28" t="str">
        <x:v>The Art &amp; Science of Foodpairing.pdf</x:v>
      </x:c>
      <x:c r="M109" s="28" t="str">
        <x:v>The Art &amp; Science of Foodpairing.pdf: 260–261</x:v>
      </x:c>
    </x:row>
    <x:row r="110" ht="64" customHeight="1">
      <x:c r="A110" s="28" t="str">
        <x:v>STN-0131</x:v>
      </x:c>
      <x:c r="B110" s="28" t="str">
        <x:v>персик</x:v>
      </x:c>
      <x:c r="C110" s="28" t="str">
        <x:v>персик</x:v>
      </x:c>
      <x:c r="D110" s="28" t="str">
        <x:v>киви</x:v>
      </x:c>
      <x:c r="E110" s="28" t="str">
        <x:v>Тропические и субтропические фрукты</x:v>
      </x:c>
      <x:c r="F110" s="28" t="str">
        <x:v>прямое или классовое перекрытие характерных одорантов + вкусовой баланс</x:v>
      </x:c>
      <x:c r="G11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Киви относится к группе «Тропические и субтропические фрукты» и даёт профиль «зелёный, травянистый, цитрусовый, фруктовый и слегка морской»; типичные соединения или классы: гексаналь, (E)-2-гексеналь, этилбутират, метилбутират, линалоол; фермент актинидин. В рабочих профилях пересекаются: линалоол, гексаналь.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высокая кислотность, сладость и выраженная свежесть.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водная; содержит протеазу актинидин и кристаллы оксалата кальция.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H11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I11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0" s="28" t="str">
        <x:v>напиток, соус, десерт или горячее блюдо после пробной дегустации</x:v>
      </x:c>
      <x:c r="K110" s="28" t="str">
        <x:v>Средняя</x:v>
      </x:c>
      <x:c r="L110" s="28" t="str">
        <x:v>The Art &amp; Science of Foodpairing.pdf</x:v>
      </x:c>
      <x:c r="M110" s="28" t="str">
        <x:v>The Art &amp; Science of Foodpairing.pdf: 260–261</x:v>
      </x:c>
    </x:row>
    <x:row r="111" ht="64" customHeight="1">
      <x:c r="A111" s="28" t="str">
        <x:v>STN-0133</x:v>
      </x:c>
      <x:c r="B111" s="28" t="str">
        <x:v>персик</x:v>
      </x:c>
      <x:c r="C111" s="28" t="str">
        <x:v>персик</x:v>
      </x:c>
      <x:c r="D111" s="28" t="str">
        <x:v>кленовый сироп</x:v>
      </x:c>
      <x:c r="E111" s="28" t="str">
        <x:v>Сахара, мёд и кондитерские основы</x:v>
      </x:c>
      <x:c r="F111" s="28" t="str">
        <x:v>комплементарность ароматических семейств, вкусовой контраст и матричный эффект</x:v>
      </x:c>
      <x:c r="G11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11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11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1" s="28" t="str">
        <x:v>напиток, соус, десерт или горячее блюдо после пробной дегустации</x:v>
      </x:c>
      <x:c r="K111" s="28" t="str">
        <x:v>Гипотеза / практическая</x:v>
      </x:c>
      <x:c r="L111" s="28" t="str">
        <x:v>Таблица сочетания(1).pdf</x:v>
      </x:c>
      <x:c r="M111" s="28" t="str">
        <x:v>Таблица сочетания(1).pdf: 15</x:v>
      </x:c>
    </x:row>
    <x:row r="112" ht="64" customHeight="1">
      <x:c r="A112" s="28" t="str">
        <x:v>STN-0136</x:v>
      </x:c>
      <x:c r="B112" s="28" t="str">
        <x:v>персик</x:v>
      </x:c>
      <x:c r="C112" s="28" t="str">
        <x:v>персик</x:v>
      </x:c>
      <x:c r="D112" s="28" t="str">
        <x:v>кокос</x:v>
      </x:c>
      <x:c r="E112" s="28" t="str">
        <x:v>Тропические фрукты и жирные матрицы</x:v>
      </x:c>
      <x:c r="F112" s="28" t="str">
        <x:v>прямое или классовое перекрытие характерных одорантов + вкусовой баланс</x:v>
      </x:c>
      <x:c r="G11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В рабочих профилях пересекаются: декалактон.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богатая жиром эмульсия; хорошо растворяет гидрофобные терпены, специи и ароматические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11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11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2" s="28" t="str">
        <x:v>напиток, соус, десерт или горячее блюдо после пробной дегустации</x:v>
      </x:c>
      <x:c r="K112" s="28" t="str">
        <x:v>Высокая</x:v>
      </x:c>
      <x:c r="L112" s="28" t="str">
        <x:v>The Art &amp; Science of Foodpairing.pdf | Таблица сочетания(1).pdf</x:v>
      </x:c>
      <x:c r="M112" s="28" t="str">
        <x:v>The Art &amp; Science of Foodpairing.pdf: Таблица сочетаний: 15 | The Art &amp; Science of Foodpairing: 134 | Таблица сочетания(1).pdf: 15 | The Art &amp; Science of Foodpairing.pdf: 134</x:v>
      </x:c>
    </x:row>
    <x:row r="113" ht="64" customHeight="1">
      <x:c r="A113" s="28" t="str">
        <x:v>STN-0137</x:v>
      </x:c>
      <x:c r="B113" s="28" t="str">
        <x:v>персик</x:v>
      </x:c>
      <x:c r="C113" s="28" t="str">
        <x:v>персик</x:v>
      </x:c>
      <x:c r="D113" s="28" t="str">
        <x:v>корица</x:v>
      </x:c>
      <x:c r="E113" s="28" t="str">
        <x:v>Специи и острые компоненты</x:v>
      </x:c>
      <x:c r="F113" s="28" t="str">
        <x:v>комплементарность ароматических семейств, вкусовой контраст и матричный эффект</x:v>
      </x:c>
      <x:c r="G11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13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13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13" s="28" t="str">
        <x:v>напиток, соус, десерт или горячее блюдо после пробной дегустации</x:v>
      </x:c>
      <x:c r="K113" s="28" t="str">
        <x:v>Гипотеза / практическая</x:v>
      </x:c>
      <x:c r="L113" s="28" t="str">
        <x:v>Таблица сочетания(1).pdf</x:v>
      </x:c>
      <x:c r="M113" s="28" t="str">
        <x:v>Таблица сочетания(1).pdf: 15</x:v>
      </x:c>
    </x:row>
    <x:row r="114" ht="64" customHeight="1">
      <x:c r="A114" s="28" t="str">
        <x:v>STN-0138</x:v>
      </x:c>
      <x:c r="B114" s="28" t="str">
        <x:v>персик</x:v>
      </x:c>
      <x:c r="C114" s="28" t="str">
        <x:v>персик</x:v>
      </x:c>
      <x:c r="D114" s="28" t="str">
        <x:v>краснокочанная капуста</x:v>
      </x:c>
      <x:c r="E114" s="28" t="str">
        <x:v>Овощи и корнеплоды</x:v>
      </x:c>
      <x:c r="F114" s="28" t="str">
        <x:v>комплементарность ароматических семейств, вкусовой контраст и матричный эффект</x:v>
      </x:c>
      <x:c r="G11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Краснокочанная капуста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1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1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4" s="28" t="str">
        <x:v>соус, глазировка, чатни, маринад, гарнир или основное блюдо</x:v>
      </x:c>
      <x:c r="K114" s="28" t="str">
        <x:v>Средняя</x:v>
      </x:c>
      <x:c r="L114" s="28" t="str">
        <x:v>The Art &amp; Science of Foodpairing.pdf</x:v>
      </x:c>
      <x:c r="M114" s="28" t="str">
        <x:v>The Art &amp; Science of Foodpairing.pdf: 260–261</x:v>
      </x:c>
    </x:row>
    <x:row r="115" ht="64" customHeight="1">
      <x:c r="A115" s="28" t="str">
        <x:v>STN-0139</x:v>
      </x:c>
      <x:c r="B115" s="28" t="str">
        <x:v>персик</x:v>
      </x:c>
      <x:c r="C115" s="28" t="str">
        <x:v>персик</x:v>
      </x:c>
      <x:c r="D115" s="28" t="str">
        <x:v>красный хабанеро</x:v>
      </x:c>
      <x:c r="E115" s="28" t="str">
        <x:v>Специи и острые компоненты</x:v>
      </x:c>
      <x:c r="F115" s="28" t="str">
        <x:v>комплементарность ароматических семейств, вкусовой контраст и матричный эффект</x:v>
      </x:c>
      <x:c r="G11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Красный хабанеро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115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115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15" s="28" t="str">
        <x:v>напиток, соус, десерт или горячее блюдо после пробной дегустации</x:v>
      </x:c>
      <x:c r="K115" s="28" t="str">
        <x:v>Средняя</x:v>
      </x:c>
      <x:c r="L115" s="28" t="str">
        <x:v>The Art &amp; Science of Foodpairing.pdf</x:v>
      </x:c>
      <x:c r="M115" s="28" t="str">
        <x:v>The Art &amp; Science of Foodpairing.pdf: 94 | The Art &amp; Science of Foodpairing.pdf: 95</x:v>
      </x:c>
    </x:row>
    <x:row r="116" ht="64" customHeight="1">
      <x:c r="A116" s="28" t="str">
        <x:v>STN-0140</x:v>
      </x:c>
      <x:c r="B116" s="28" t="str">
        <x:v>персик</x:v>
      </x:c>
      <x:c r="C116" s="28" t="str">
        <x:v>персик</x:v>
      </x:c>
      <x:c r="D116" s="28" t="str">
        <x:v>лаванда</x:v>
      </x:c>
      <x:c r="E116" s="28" t="str">
        <x:v>Травы и цветы</x:v>
      </x:c>
      <x:c r="F116" s="28" t="str">
        <x:v>прямое или классовое перекрытие характерных одорантов + вкусовой баланс</x:v>
      </x:c>
      <x:c r="G11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Лаванда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1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1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6" s="28" t="str">
        <x:v>напиток, соус, десерт или горячее блюдо после пробной дегустации</x:v>
      </x:c>
      <x:c r="K116" s="28" t="str">
        <x:v>Гипотеза / практическая</x:v>
      </x:c>
      <x:c r="L116" s="28" t="str">
        <x:v>Таблица сочетания(1).pdf</x:v>
      </x:c>
      <x:c r="M116" s="28" t="str">
        <x:v>Таблица сочетания(1).pdf: 11</x:v>
      </x:c>
    </x:row>
    <x:row r="117" ht="64" customHeight="1">
      <x:c r="A117" s="28" t="str">
        <x:v>STN-0141</x:v>
      </x:c>
      <x:c r="B117" s="28" t="str">
        <x:v>персик</x:v>
      </x:c>
      <x:c r="C117" s="28" t="str">
        <x:v>персик</x:v>
      </x:c>
      <x:c r="D117" s="28" t="str">
        <x:v>лемонграсс</x:v>
      </x:c>
      <x:c r="E117" s="28" t="str">
        <x:v>Травы и цветы</x:v>
      </x:c>
      <x:c r="F117" s="28" t="str">
        <x:v>прямое или классовое перекрытие характерных одорантов + вкусовой баланс</x:v>
      </x:c>
      <x:c r="G11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Лемонграсс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1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1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7" s="28" t="str">
        <x:v>напиток, соус, десерт или горячее блюдо после пробной дегустации</x:v>
      </x:c>
      <x:c r="K117" s="28" t="str">
        <x:v>Высокая</x:v>
      </x:c>
      <x:c r="L117" s="28" t="str">
        <x:v>The Art &amp; Science of Foodpairing.pdf | Таблица сочетания(1).pdf</x:v>
      </x:c>
      <x:c r="M117" s="28" t="str">
        <x:v>Таблица сочетания(1).pdf: 11 | The Art &amp; Science of Foodpairing.pdf: 144</x:v>
      </x:c>
    </x:row>
    <x:row r="118" ht="64" customHeight="1">
      <x:c r="A118" s="28" t="str">
        <x:v>STN-0143</x:v>
      </x:c>
      <x:c r="B118" s="28" t="str">
        <x:v>персик</x:v>
      </x:c>
      <x:c r="C118" s="28" t="str">
        <x:v>персик</x:v>
      </x:c>
      <x:c r="D118" s="28" t="str">
        <x:v>лист шисо</x:v>
      </x:c>
      <x:c r="E118" s="28" t="str">
        <x:v>Травы, листья и цветы</x:v>
      </x:c>
      <x:c r="F118" s="28" t="str">
        <x:v>прямое или классовое перекрытие характерных одорантов + вкусовой баланс</x:v>
      </x:c>
      <x:c r="G11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Лист шисо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118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11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8" s="28" t="str">
        <x:v>напиток, соус, десерт или горячее блюдо после пробной дегустации</x:v>
      </x:c>
      <x:c r="K118" s="28" t="str">
        <x:v>Средняя</x:v>
      </x:c>
      <x:c r="L118" s="28" t="str">
        <x:v>The Art &amp; Science of Foodpairing.pdf</x:v>
      </x:c>
      <x:c r="M118" s="28" t="str">
        <x:v>The Art &amp; Science of Foodpairing.pdf: 260–261</x:v>
      </x:c>
    </x:row>
    <x:row r="119" ht="64" customHeight="1">
      <x:c r="A119" s="28" t="str">
        <x:v>STN-0144</x:v>
      </x:c>
      <x:c r="B119" s="28" t="str">
        <x:v>персик</x:v>
      </x:c>
      <x:c r="C119" s="28" t="str">
        <x:v>персик</x:v>
      </x:c>
      <x:c r="D119" s="28" t="str">
        <x:v>листья кориандра</x:v>
      </x:c>
      <x:c r="E119" s="28" t="str">
        <x:v>Травы/пряности</x:v>
      </x:c>
      <x:c r="F119" s="28" t="str">
        <x:v>комплементарность ароматических семейств, вкусовой контраст и матричный эффект</x:v>
      </x:c>
      <x:c r="G11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Листья кориандра относится к группе «Травы/пряности» и даёт профиль «цитрусовый, зелёный, цветочный»; типичные соединения или классы: линалол, деканаль, додеканаль.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травяной, слегка горький.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листья чувствительны к нагреву; семена устойчивее и слаще.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H11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I11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9" s="28" t="str">
        <x:v>напиток, соус, десерт или горячее блюдо после пробной дегустации</x:v>
      </x:c>
      <x:c r="K119" s="28" t="str">
        <x:v>Средняя</x:v>
      </x:c>
      <x:c r="L119" s="28" t="str">
        <x:v>The Art &amp; Science of Foodpairing.pdf</x:v>
      </x:c>
      <x:c r="M119" s="28" t="str">
        <x:v>The Art &amp; Science of Foodpairing.pdf: 98 | The Art &amp; Science of Foodpairing.pdf: 260–261</x:v>
      </x:c>
    </x:row>
    <x:row r="120" ht="64" customHeight="1">
      <x:c r="A120" s="28" t="str">
        <x:v>STN-0145</x:v>
      </x:c>
      <x:c r="B120" s="28" t="str">
        <x:v>персик</x:v>
      </x:c>
      <x:c r="C120" s="28" t="str">
        <x:v>персик</x:v>
      </x:c>
      <x:c r="D120" s="28" t="str">
        <x:v>листья пажитника</x:v>
      </x:c>
      <x:c r="E120" s="28" t="str">
        <x:v>Травы и цветы</x:v>
      </x:c>
      <x:c r="F120" s="28" t="str">
        <x:v>прямое или классовое перекрытие характерных одорантов + вкусовой баланс</x:v>
      </x:c>
      <x:c r="G12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Листья пажитника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2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2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0" s="28" t="str">
        <x:v>напиток, соус, десерт или горячее блюдо после пробной дегустации</x:v>
      </x:c>
      <x:c r="K120" s="28" t="str">
        <x:v>Средняя</x:v>
      </x:c>
      <x:c r="L120" s="28" t="str">
        <x:v>The Art &amp; Science of Foodpairing.pdf</x:v>
      </x:c>
      <x:c r="M120" s="28" t="str">
        <x:v>The Art &amp; Science of Foodpairing.pdf: 260–261</x:v>
      </x:c>
    </x:row>
    <x:row r="121" ht="64" customHeight="1">
      <x:c r="A121" s="28" t="str">
        <x:v>STN-0146</x:v>
      </x:c>
      <x:c r="B121" s="28" t="str">
        <x:v>персик</x:v>
      </x:c>
      <x:c r="C121" s="28" t="str">
        <x:v>персик</x:v>
      </x:c>
      <x:c r="D121" s="28" t="str">
        <x:v>личи</x:v>
      </x:c>
      <x:c r="E121" s="28" t="str">
        <x:v>Тропические фрукты</x:v>
      </x:c>
      <x:c r="F121" s="28" t="str">
        <x:v>прямое или классовое перекрытие характерных одорантов + вкусовой баланс</x:v>
      </x:c>
      <x:c r="G12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Личи относится к группе «Тропические фрукты» и даёт профиль «розовый, цветочный, виноградный и цитрусовый»; типичные соединения или классы: цис- и транс-розовый оксид, линалоол, гераниол, цитронеллол. В рабочих профилях пересекаются: линалоол.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чистая сладость, мягкая кислотность.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водная; цветочные терпены чувствительны к нагреву.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H12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I12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1" s="28" t="str">
        <x:v>напиток, соус, десерт или горячее блюдо после пробной дегустации</x:v>
      </x:c>
      <x:c r="K121" s="28" t="str">
        <x:v>Средняя</x:v>
      </x:c>
      <x:c r="L121" s="28" t="str">
        <x:v>The Art &amp; Science of Foodpairing.pdf</x:v>
      </x:c>
      <x:c r="M121" s="28" t="str">
        <x:v>The Art &amp; Science of Foodpairing.pdf: 260–261</x:v>
      </x:c>
    </x:row>
    <x:row r="122" ht="64" customHeight="1">
      <x:c r="A122" s="28" t="str">
        <x:v>STN-0147</x:v>
      </x:c>
      <x:c r="B122" s="28" t="str">
        <x:v>персик</x:v>
      </x:c>
      <x:c r="C122" s="28" t="str">
        <x:v>персик</x:v>
      </x:c>
      <x:c r="D122" s="28" t="str">
        <x:v>макадамия</x:v>
      </x:c>
      <x:c r="E122" s="28" t="str">
        <x:v>Орехи и семена</x:v>
      </x:c>
      <x:c r="F122" s="28" t="str">
        <x:v>прямое или классовое перекрытие характерных одорантов + вкусовой баланс</x:v>
      </x:c>
      <x:c r="G12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Макадамия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12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122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22" s="28" t="str">
        <x:v>тарт, крем, мороженое, выпечка, сырная подача или начинка</x:v>
      </x:c>
      <x:c r="K122" s="28" t="str">
        <x:v>Гипотеза / практическая</x:v>
      </x:c>
      <x:c r="L122" s="28" t="str">
        <x:v>Таблица сочетания(1).pdf</x:v>
      </x:c>
      <x:c r="M122" s="28" t="str">
        <x:v>Таблица сочетания(1).pdf: 12</x:v>
      </x:c>
    </x:row>
    <x:row r="123" ht="64" customHeight="1">
      <x:c r="A123" s="28" t="str">
        <x:v>STN-0149</x:v>
      </x:c>
      <x:c r="B123" s="28" t="str">
        <x:v>персик</x:v>
      </x:c>
      <x:c r="C123" s="28" t="str">
        <x:v>персик</x:v>
      </x:c>
      <x:c r="D123" s="28" t="str">
        <x:v>манго</x:v>
      </x:c>
      <x:c r="E123" s="28" t="str">
        <x:v>Тропические фрукты</x:v>
      </x:c>
      <x:c r="F123" s="28" t="str">
        <x:v>прямое или классовое перекрытие характерных одорантов + вкусовой баланс</x:v>
      </x:c>
      <x:c r="G12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Манго относится к группе «Тропические фрукты» и даёт профиль «тропический, смолистый, цитрусовый, цветочный, сливочный; сильно зависит от сорта»; типичные соединения или классы: δ-3-карен, лимонен, мирцен, линалоол, γ- и δ-лактоны, фруктовые эфиры. В рабочих профилях пересекаются: линалоол. Общие ароматические направления: цветочный, сливочный.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умеренная кислотность, иногда смолистая горечь кожицы.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мякоть вязкая и богатая каротиноидами; ароматические терпены и лактоны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H12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I12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3" s="28" t="str">
        <x:v>напиток, соус, десерт или горячее блюдо после пробной дегустации</x:v>
      </x:c>
      <x:c r="K123" s="28" t="str">
        <x:v>Средняя</x:v>
      </x:c>
      <x:c r="L123" s="28" t="str">
        <x:v>Тезариус вкусов (Ники Сегнит)(1).pdf</x:v>
      </x:c>
      <x:c r="M123" s="28" t="str">
        <x:v>Тезариус вкусов (Ники Сегнит)(1).pdf: Тезаурус вкусов: 767, 751 | Тезариус вкусов (Ники Сегнит)(1).pdf: 751 | Тезариус вкусов (Ники Сегнит)(1).pdf: 767</x:v>
      </x:c>
    </x:row>
    <x:row r="124" ht="64" customHeight="1">
      <x:c r="A124" s="28" t="str">
        <x:v>STN-0151</x:v>
      </x:c>
      <x:c r="B124" s="28" t="str">
        <x:v>персик</x:v>
      </x:c>
      <x:c r="C124" s="28" t="str">
        <x:v>персик</x:v>
      </x:c>
      <x:c r="D124" s="28" t="str">
        <x:v>мед</x:v>
      </x:c>
      <x:c r="E124" s="28" t="str">
        <x:v>Сахара, мёд и кондитерские основы</x:v>
      </x:c>
      <x:c r="F124" s="28" t="str">
        <x:v>комплементарность ароматических семейств, вкусовой контраст и матричный эффект</x:v>
      </x:c>
      <x:c r="G12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12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12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4" s="28" t="str">
        <x:v>напиток, соус, десерт или горячее блюдо после пробной дегустации</x:v>
      </x:c>
      <x:c r="K124" s="28" t="str">
        <x:v>Гипотеза / практическая</x:v>
      </x:c>
      <x:c r="L124" s="28" t="str">
        <x:v>Таблица сочетания(1).pdf</x:v>
      </x:c>
      <x:c r="M124" s="28" t="str">
        <x:v>Таблица сочетания(1).pdf: 9 | Таблица сочетания(1).pdf: 15</x:v>
      </x:c>
    </x:row>
    <x:row r="125" ht="64" customHeight="1">
      <x:c r="A125" s="28" t="str">
        <x:v>STN-0152</x:v>
      </x:c>
      <x:c r="B125" s="28" t="str">
        <x:v>персик</x:v>
      </x:c>
      <x:c r="C125" s="28" t="str">
        <x:v>персик</x:v>
      </x:c>
      <x:c r="D125" s="28" t="str">
        <x:v>миндаль</x:v>
      </x:c>
      <x:c r="E125" s="28" t="str">
        <x:v>Орехи и семена</x:v>
      </x:c>
      <x:c r="F125" s="28" t="str">
        <x:v>прямое или классовое перекрытие характерных одорантов + вкусовой баланс</x:v>
      </x:c>
      <x:c r="G12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Миндаль относится к группе «Орехи и семена» и даёт профиль «марципановый и ореховый»; типичные соединения или классы: бензальдегид, пиразины после обжарки.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12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125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25" s="28" t="str">
        <x:v>тарт, крем, мороженое, выпечка, сырная подача или начинка</x:v>
      </x:c>
      <x:c r="K125" s="28" t="str">
        <x:v>Высокая</x:v>
      </x:c>
      <x:c r="L125" s="28" t="str">
        <x:v>The Art &amp; Science of Foodpairing.pdf | Таблица сочетания(1).pdf | Тезариус вкусов (Ники Сегнит)(1).pdf</x:v>
      </x:c>
      <x:c r="M125" s="28" t="str">
        <x:v>Таблица сочетания(1).pdf: 1 | Таблица сочетания(1).pdf: 15 | Тезариус вкусов (Ники Сегнит)(1).pdf: 646 | Тезариус вкусов (Ники Сегнит)(1).pdf: 751 | The Art &amp; Science of Foodpairing.pdf: 260–261</x:v>
      </x:c>
    </x:row>
    <x:row r="126" ht="64" customHeight="1">
      <x:c r="A126" s="28" t="str">
        <x:v>STN-0154</x:v>
      </x:c>
      <x:c r="B126" s="28" t="str">
        <x:v>персик</x:v>
      </x:c>
      <x:c r="C126" s="28" t="str">
        <x:v>персик</x:v>
      </x:c>
      <x:c r="D126" s="28" t="str">
        <x:v>моцарелла из коровьего молока</x:v>
      </x:c>
      <x:c r="E126" s="28" t="str">
        <x:v>Сыры и молочные продукты</x:v>
      </x:c>
      <x:c r="F126" s="28" t="str">
        <x:v>комплементарность ароматических семейств, вкусовой контраст и матричный эффект</x:v>
      </x:c>
      <x:c r="G12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Моцарелла из коровьего молока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Общие ароматические направления: сливочный.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 Обработка: 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H126" s="28" t="str">
        <x:v>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I126" s="28" t="str">
        <x:v>незрелый плод ароматически беден; перезрелый быстро окисляется; косточки не использовать без безопасной технологии. Избыток кислоты может свернуть молочную основу; фрукт и сыр проверяют при рабочей температуре.</x:v>
      </x:c>
      <x:c r="J126" s="28" t="str">
        <x:v>тарт, крем, мороженое, выпечка, сырная подача или начинка</x:v>
      </x:c>
      <x:c r="K126" s="28" t="str">
        <x:v>Средняя</x:v>
      </x:c>
      <x:c r="L126" s="28" t="str">
        <x:v>The Art &amp; Science of Foodpairing.pdf</x:v>
      </x:c>
      <x:c r="M126" s="28" t="str">
        <x:v>The Art &amp; Science of Foodpairing.pdf: 260–261</x:v>
      </x:c>
    </x:row>
    <x:row r="127" ht="64" customHeight="1">
      <x:c r="A127" s="28" t="str">
        <x:v>STN-0155</x:v>
      </x:c>
      <x:c r="B127" s="28" t="str">
        <x:v>персик</x:v>
      </x:c>
      <x:c r="C127" s="28" t="str">
        <x:v>персик</x:v>
      </x:c>
      <x:c r="D127" s="28" t="str">
        <x:v>мускатный орех</x:v>
      </x:c>
      <x:c r="E127" s="28" t="str">
        <x:v>Орехи и семена</x:v>
      </x:c>
      <x:c r="F127" s="28" t="str">
        <x:v>прямое или классовое перекрытие характерных одорантов + вкусовой баланс</x:v>
      </x:c>
      <x:c r="G12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Мускатный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12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127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27" s="28" t="str">
        <x:v>тарт, крем, мороженое, выпечка, сырная подача или начинка</x:v>
      </x:c>
      <x:c r="K127" s="28" t="str">
        <x:v>Средняя</x:v>
      </x:c>
      <x:c r="L127" s="28" t="str">
        <x:v>The Art &amp; Science of Foodpairing.pdf</x:v>
      </x:c>
      <x:c r="M127" s="28" t="str">
        <x:v>The Art &amp; Science of Foodpairing.pdf: 260–261</x:v>
      </x:c>
    </x:row>
    <x:row r="128" ht="64" customHeight="1">
      <x:c r="A128" s="28" t="str">
        <x:v>STN-0157</x:v>
      </x:c>
      <x:c r="B128" s="28" t="str">
        <x:v>персик</x:v>
      </x:c>
      <x:c r="C128" s="28" t="str">
        <x:v>персик</x:v>
      </x:c>
      <x:c r="D128" s="28" t="str">
        <x:v>мята</x:v>
      </x:c>
      <x:c r="E128" s="28" t="str">
        <x:v>Травы и цветы</x:v>
      </x:c>
      <x:c r="F128" s="28" t="str">
        <x:v>комплементарность ароматических семейств, вкусовой контраст и матричный эффект</x:v>
      </x:c>
      <x:c r="G12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2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2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8" s="28" t="str">
        <x:v>напиток, соус, десерт или горячее блюдо после пробной дегустации</x:v>
      </x:c>
      <x:c r="K128" s="28" t="str">
        <x:v>Гипотеза / практическая</x:v>
      </x:c>
      <x:c r="L128" s="28" t="str">
        <x:v>Таблица сочетания(1).pdf</x:v>
      </x:c>
      <x:c r="M128" s="28" t="str">
        <x:v>Таблица сочетания(1).pdf: 13 | Таблица сочетания(1).pdf: 15</x:v>
      </x:c>
    </x:row>
    <x:row r="129" ht="64" customHeight="1">
      <x:c r="A129" s="28" t="str">
        <x:v>STN-0158</x:v>
      </x:c>
      <x:c r="B129" s="28" t="str">
        <x:v>персик</x:v>
      </x:c>
      <x:c r="C129" s="28" t="str">
        <x:v>персик</x:v>
      </x:c>
      <x:c r="D129" s="28" t="str">
        <x:v>нектарин</x:v>
      </x:c>
      <x:c r="E129" s="28" t="str">
        <x:v>Косточковые фрукты</x:v>
      </x:c>
      <x:c r="F129" s="28" t="str">
        <x:v>прямое или классовое перекрытие характерных одорантов + вкусовой баланс</x:v>
      </x:c>
      <x:c r="G12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Нектарин относится к группе «Косточковые фрукты» и даёт профиль «персиковый, фруктовый, цветочный, зелёный, сливочно-лактонный»; типичные соединения или классы: γ- и δ-декалактон, γ- и δ-додекалактон, фруктовые эфиры, линалоол, бензальдегид, C6-альдегиды. В рабочих профилях пересекаются: бензальдегид, линалоол, декалактон, додекалактон. Общие ароматические направления: цветочный, лактонный, зелёный. Базовый фрукт даёт: выраженная сладость, умеренная кислотность; беломякотные сорта обычно слаще и мягче по кислоте. Партнёр добавляет: сладкий, сочный, с умеренной кислотностью; профиль близок к персику, но кожица гладкая и часто более ярко-фруктовая.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водно-пектиновая; гидрофобные лактоны лучше проявляются в жире 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H12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I12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9" s="28" t="str">
        <x:v>напиток, соус, десерт или горячее блюдо после пробной дегустации</x:v>
      </x:c>
      <x:c r="K129" s="28" t="str">
        <x:v>Высокая</x:v>
      </x:c>
      <x:c r="L129" s="28" t="str">
        <x:v>The Art &amp; Science of Foodpairing.pdf | Таблица сочетания(1).pdf</x:v>
      </x:c>
      <x:c r="M129" s="28" t="str">
        <x:v>Таблица сочетания(1).pdf: 14 | Таблица сочетания(1).pdf: 15 | The Art &amp; Science of Foodpairing.pdf: 260 | The Art &amp; Science of Foodpairing.pdf: 260–261</x:v>
      </x:c>
    </x:row>
    <x:row r="130" ht="64" customHeight="1">
      <x:c r="A130" s="28" t="str">
        <x:v>STN-0159</x:v>
      </x:c>
      <x:c r="B130" s="28" t="str">
        <x:v>персик</x:v>
      </x:c>
      <x:c r="C130" s="28" t="str">
        <x:v>персик</x:v>
      </x:c>
      <x:c r="D130" s="28" t="str">
        <x:v>обжаренные миндальные лепестки</x:v>
      </x:c>
      <x:c r="E130" s="28" t="str">
        <x:v>Орехи и семена</x:v>
      </x:c>
      <x:c r="F130" s="28" t="str">
        <x:v>прямое или классовое перекрытие характерных одорантов + вкусовой баланс</x:v>
      </x:c>
      <x:c r="G13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Обжаренные миндальные лепестки относится к группе «Орехи и семена» и даёт профиль «ореховый, жареный, древесный, иногда миндальный»; типичные соединения или классы: бензальдегид, пиразины, фураны, лактоны и липидные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3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30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30" s="28" t="str">
        <x:v>тарт, крем, мороженое, выпечка, сырная подача или начинка</x:v>
      </x:c>
      <x:c r="K130" s="28" t="str">
        <x:v>Средняя</x:v>
      </x:c>
      <x:c r="L130" s="28" t="str">
        <x:v>The Art &amp; Science of Foodpairing.pdf</x:v>
      </x:c>
      <x:c r="M130" s="28" t="str">
        <x:v>The Art &amp; Science of Foodpairing.pdf: 260–261</x:v>
      </x:c>
    </x:row>
    <x:row r="131" ht="64" customHeight="1">
      <x:c r="A131" s="28" t="str">
        <x:v>STN-0160</x:v>
      </x:c>
      <x:c r="B131" s="28" t="str">
        <x:v>персик</x:v>
      </x:c>
      <x:c r="C131" s="28" t="str">
        <x:v>персик</x:v>
      </x:c>
      <x:c r="D131" s="28" t="str">
        <x:v>обжаренный bacon</x:v>
      </x:c>
      <x:c r="E131" s="28" t="str">
        <x:v>Прочее</x:v>
      </x:c>
      <x:c r="F131" s="28" t="str">
        <x:v>комплементарность ароматических семейств, вкусовой контраст и матричный эффект</x:v>
      </x:c>
      <x:c r="G13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bacon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3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3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1" s="28" t="str">
        <x:v>напиток, соус, десерт или горячее блюдо после пробной дегустации</x:v>
      </x:c>
      <x:c r="K131" s="28" t="str">
        <x:v>Средняя</x:v>
      </x:c>
      <x:c r="L131" s="28" t="str">
        <x:v>The Art &amp; Science of Foodpairing.pdf</x:v>
      </x:c>
      <x:c r="M131" s="28" t="str">
        <x:v>The Art &amp; Science of Foodpairing.pdf: 260–261</x:v>
      </x:c>
    </x:row>
    <x:row r="132" ht="64" customHeight="1">
      <x:c r="A132" s="28" t="str">
        <x:v>STN-0161</x:v>
      </x:c>
      <x:c r="B132" s="28" t="str">
        <x:v>персик</x:v>
      </x:c>
      <x:c r="C132" s="28" t="str">
        <x:v>персик</x:v>
      </x:c>
      <x:c r="D132" s="28" t="str">
        <x:v>обжаренный duck breast</x:v>
      </x:c>
      <x:c r="E132" s="28" t="str">
        <x:v>Прочее</x:v>
      </x:c>
      <x:c r="F132" s="28" t="str">
        <x:v>комплементарность ароматических семейств, вкусовой контраст и матричный эффект</x:v>
      </x:c>
      <x:c r="G13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duck breast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3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3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2" s="28" t="str">
        <x:v>напиток, соус, десерт или горячее блюдо после пробной дегустации</x:v>
      </x:c>
      <x:c r="K132" s="28" t="str">
        <x:v>Средняя</x:v>
      </x:c>
      <x:c r="L132" s="28" t="str">
        <x:v>The Art &amp; Science of Foodpairing.pdf</x:v>
      </x:c>
      <x:c r="M132" s="28" t="str">
        <x:v>The Art &amp; Science of Foodpairing.pdf: 260–261</x:v>
      </x:c>
    </x:row>
    <x:row r="133" ht="64" customHeight="1">
      <x:c r="A133" s="28" t="str">
        <x:v>STN-0162</x:v>
      </x:c>
      <x:c r="B133" s="28" t="str">
        <x:v>персик</x:v>
      </x:c>
      <x:c r="C133" s="28" t="str">
        <x:v>персик</x:v>
      </x:c>
      <x:c r="D133" s="28" t="str">
        <x:v>обжаренный кунжут</x:v>
      </x:c>
      <x:c r="E133" s="28" t="str">
        <x:v>Орехи и семена</x:v>
      </x:c>
      <x:c r="F133" s="28" t="str">
        <x:v>прямое или классовое перекрытие характерных одорантов + вкусовой баланс</x:v>
      </x:c>
      <x:c r="G13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кунжут относится к группе «Орехи и семена» и даёт профиль «ореховый, жареный, древесный, иногда миндальный»; типичные соединения или классы: бензальдегид, пиразины, фураны, лактоны и липидные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3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33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33" s="28" t="str">
        <x:v>тарт, крем, мороженое, выпечка, сырная подача или начинка</x:v>
      </x:c>
      <x:c r="K133" s="28" t="str">
        <x:v>Средняя</x:v>
      </x:c>
      <x:c r="L133" s="28" t="str">
        <x:v>The Art &amp; Science of Foodpairing.pdf</x:v>
      </x:c>
      <x:c r="M133" s="28" t="str">
        <x:v>The Art &amp; Science of Foodpairing.pdf: 309</x:v>
      </x:c>
    </x:row>
    <x:row r="134" ht="64" customHeight="1">
      <x:c r="A134" s="28" t="str">
        <x:v>STN-0163</x:v>
      </x:c>
      <x:c r="B134" s="28" t="str">
        <x:v>персик</x:v>
      </x:c>
      <x:c r="C134" s="28" t="str">
        <x:v>персик</x:v>
      </x:c>
      <x:c r="D134" s="28" t="str">
        <x:v>обжаренный страус</x:v>
      </x:c>
      <x:c r="E134" s="28" t="str">
        <x:v>Мясо и птица</x:v>
      </x:c>
      <x:c r="F134" s="28" t="str">
        <x:v>комплементарность ароматических семейств, вкусовой контраст и матричный эффект</x:v>
      </x:c>
      <x:c r="G13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страус относится к группе «Мясо и птица» и даёт профиль «жареный, мясной, сернистый, жирный»; типичные соединения или классы: пиразины, тиазолы, альдегиды жиров,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терпеновые масла; кислота снижает ощущение жирности.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H134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I134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134" s="28" t="str">
        <x:v>соус, глазировка, чатни, маринад, гарнир или основное блюдо</x:v>
      </x:c>
      <x:c r="K134" s="28" t="str">
        <x:v>Средняя</x:v>
      </x:c>
      <x:c r="L134" s="28" t="str">
        <x:v>The Art &amp; Science of Foodpairing.pdf</x:v>
      </x:c>
      <x:c r="M134" s="28" t="str">
        <x:v>The Art &amp; Science of Foodpairing.pdf: 260–261</x:v>
      </x:c>
    </x:row>
    <x:row r="135" ht="64" customHeight="1">
      <x:c r="A135" s="28" t="str">
        <x:v>STN-0164</x:v>
      </x:c>
      <x:c r="B135" s="28" t="str">
        <x:v>персик</x:v>
      </x:c>
      <x:c r="C135" s="28" t="str">
        <x:v>персик</x:v>
      </x:c>
      <x:c r="D135" s="28" t="str">
        <x:v>оливковое масло</x:v>
      </x:c>
      <x:c r="E135" s="28" t="str">
        <x:v>Молочные продукты и сыры</x:v>
      </x:c>
      <x:c r="F135" s="28" t="str">
        <x:v>комплементарность ароматических семейств, вкусовой контраст и матричный эффект</x:v>
      </x:c>
      <x:c r="G13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жирный, кислый/солёный.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жировая и белковая матрица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3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3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5" s="28" t="str">
        <x:v>напиток, соус, десерт или горячее блюдо после пробной дегустации</x:v>
      </x:c>
      <x:c r="K135" s="28" t="str">
        <x:v>Средняя</x:v>
      </x:c>
      <x:c r="L135" s="28" t="str">
        <x:v>The Art &amp; Science of Foodpairing.pdf</x:v>
      </x:c>
      <x:c r="M135" s="28" t="str">
        <x:v>The Art &amp; Science of Foodpairing.pdf: 172</x:v>
      </x:c>
    </x:row>
    <x:row r="136" ht="64" customHeight="1">
      <x:c r="A136" s="28" t="str">
        <x:v>STN-0165</x:v>
      </x:c>
      <x:c r="B136" s="28" t="str">
        <x:v>персик</x:v>
      </x:c>
      <x:c r="C136" s="28" t="str">
        <x:v>персик</x:v>
      </x:c>
      <x:c r="D136" s="28" t="str">
        <x:v>оливковое масло арбекина</x:v>
      </x:c>
      <x:c r="E136" s="28" t="str">
        <x:v>Прочее</x:v>
      </x:c>
      <x:c r="F136" s="28" t="str">
        <x:v>комплементарность ароматических семейств, вкусовой контраст и матричный эффект</x:v>
      </x:c>
      <x:c r="G13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Оливковое масло арбекина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баланс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матрица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3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3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6" s="28" t="str">
        <x:v>напиток, соус, десерт или горячее блюдо после пробной дегустации</x:v>
      </x:c>
      <x:c r="K136" s="28" t="str">
        <x:v>Средняя</x:v>
      </x:c>
      <x:c r="L136" s="28" t="str">
        <x:v>The Art &amp; Science of Foodpairing.pdf</x:v>
      </x:c>
      <x:c r="M136" s="28" t="str">
        <x:v>The Art &amp; Science of Foodpairing.pdf: 260–261</x:v>
      </x:c>
    </x:row>
    <x:row r="137" ht="64" customHeight="1">
      <x:c r="A137" s="28" t="str">
        <x:v>STN-0166</x:v>
      </x:c>
      <x:c r="B137" s="28" t="str">
        <x:v>персик</x:v>
      </x:c>
      <x:c r="C137" s="28" t="str">
        <x:v>персик</x:v>
      </x:c>
      <x:c r="D137" s="28" t="str">
        <x:v>отварная морковь</x:v>
      </x:c>
      <x:c r="E137" s="28" t="str">
        <x:v>Овощи</x:v>
      </x:c>
      <x:c r="F137" s="28" t="str">
        <x:v>комплементарность ароматических семейств, вкусовой контраст и матричный эффект</x:v>
      </x:c>
      <x:c r="G13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морковь относится к группе «Овощи» и даёт профиль «зелёный, землистый, растительный, иногда сернистый»; типичные соединения или классы: C6-альдегиды, метоксипиразины, геосмин (землистые),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сладковатый, горьковатый,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водная/крахмальная матрица; масло помогает распределить цедру.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H13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I13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7" s="28" t="str">
        <x:v>напиток, соус, десерт или горячее блюдо после пробной дегустации</x:v>
      </x:c>
      <x:c r="K137" s="28" t="str">
        <x:v>Средняя</x:v>
      </x:c>
      <x:c r="L137" s="28" t="str">
        <x:v>The Art &amp; Science of Foodpairing.pdf</x:v>
      </x:c>
      <x:c r="M137" s="28" t="str">
        <x:v>The Art &amp; Science of Foodpairing.pdf: 232</x:v>
      </x:c>
    </x:row>
    <x:row r="138" ht="64" customHeight="1">
      <x:c r="A138" s="28" t="str">
        <x:v>STN-0167</x:v>
      </x:c>
      <x:c r="B138" s="28" t="str">
        <x:v>персик</x:v>
      </x:c>
      <x:c r="C138" s="28" t="str">
        <x:v>персик</x:v>
      </x:c>
      <x:c r="D138" s="28" t="str">
        <x:v>отварная паста</x:v>
      </x:c>
      <x:c r="E138" s="28" t="str">
        <x:v>Злаки и выпечка</x:v>
      </x:c>
      <x:c r="F138" s="28" t="str">
        <x:v>комплементарность ароматических семейств, вкусовой контраст и матричный эффект</x:v>
      </x:c>
      <x:c r="G13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паста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3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3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8" s="28" t="str">
        <x:v>тарт, крем, мороженое, выпечка, сырная подача или начинка</x:v>
      </x:c>
      <x:c r="K138" s="28" t="str">
        <x:v>Средняя</x:v>
      </x:c>
      <x:c r="L138" s="28" t="str">
        <x:v>The Art &amp; Science of Foodpairing.pdf</x:v>
      </x:c>
      <x:c r="M138" s="28" t="str">
        <x:v>The Art &amp; Science of Foodpairing.pdf: 260–261</x:v>
      </x:c>
    </x:row>
    <x:row r="139" ht="64" customHeight="1">
      <x:c r="A139" s="28" t="str">
        <x:v>STN-0168</x:v>
      </x:c>
      <x:c r="B139" s="28" t="str">
        <x:v>персик</x:v>
      </x:c>
      <x:c r="C139" s="28" t="str">
        <x:v>персик</x:v>
      </x:c>
      <x:c r="D139" s="28" t="str">
        <x:v>отварная полба</x:v>
      </x:c>
      <x:c r="E139" s="28" t="str">
        <x:v>Злаки и выпечка</x:v>
      </x:c>
      <x:c r="F139" s="28" t="str">
        <x:v>комплементарность ароматических семейств, вкусовой контраст и матричный эффект</x:v>
      </x:c>
      <x:c r="G13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полба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3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3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9" s="28" t="str">
        <x:v>тарт, крем, мороженое, выпечка, сырная подача или начинка</x:v>
      </x:c>
      <x:c r="K139" s="28" t="str">
        <x:v>Средняя</x:v>
      </x:c>
      <x:c r="L139" s="28" t="str">
        <x:v>The Art &amp; Science of Foodpairing.pdf</x:v>
      </x:c>
      <x:c r="M139" s="28" t="str">
        <x:v>The Art &amp; Science of Foodpairing.pdf: 260–261</x:v>
      </x:c>
    </x:row>
    <x:row r="140" ht="64" customHeight="1">
      <x:c r="A140" s="28" t="str">
        <x:v>STN-0169</x:v>
      </x:c>
      <x:c r="B140" s="28" t="str">
        <x:v>персик</x:v>
      </x:c>
      <x:c r="C140" s="28" t="str">
        <x:v>персик</x:v>
      </x:c>
      <x:c r="D140" s="28" t="str">
        <x:v>отварная стручковая фасоль</x:v>
      </x:c>
      <x:c r="E140" s="28" t="str">
        <x:v>Овощи и корнеплоды</x:v>
      </x:c>
      <x:c r="F140" s="28" t="str">
        <x:v>комплементарность ароматических семейств, вкусовой контраст и матричный эффект</x:v>
      </x:c>
      <x:c r="G14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стручковая фасоль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4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4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0" s="28" t="str">
        <x:v>соус, глазировка, чатни, маринад, гарнир или основное блюдо</x:v>
      </x:c>
      <x:c r="K140" s="28" t="str">
        <x:v>Средняя</x:v>
      </x:c>
      <x:c r="L140" s="28" t="str">
        <x:v>The Art &amp; Science of Foodpairing.pdf</x:v>
      </x:c>
      <x:c r="M140" s="28" t="str">
        <x:v>The Art &amp; Science of Foodpairing.pdf: 260–261</x:v>
      </x:c>
    </x:row>
    <x:row r="141" ht="64" customHeight="1">
      <x:c r="A141" s="28" t="str">
        <x:v>STN-0170</x:v>
      </x:c>
      <x:c r="B141" s="28" t="str">
        <x:v>персик</x:v>
      </x:c>
      <x:c r="C141" s="28" t="str">
        <x:v>персик</x:v>
      </x:c>
      <x:c r="D141" s="28" t="str">
        <x:v>отварная тыква</x:v>
      </x:c>
      <x:c r="E141" s="28" t="str">
        <x:v>Овощи и корнеплоды</x:v>
      </x:c>
      <x:c r="F141" s="28" t="str">
        <x:v>комплементарность ароматических семейств, вкусовой контраст и матричный эффект</x:v>
      </x:c>
      <x:c r="G14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тыква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4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4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1" s="28" t="str">
        <x:v>соус, глазировка, чатни, маринад, гарнир или основное блюдо</x:v>
      </x:c>
      <x:c r="K141" s="28" t="str">
        <x:v>Средняя</x:v>
      </x:c>
      <x:c r="L141" s="28" t="str">
        <x:v>The Art &amp; Science of Foodpairing.pdf</x:v>
      </x:c>
      <x:c r="M141" s="28" t="str">
        <x:v>The Art &amp; Science of Foodpairing.pdf: 260–261</x:v>
      </x:c>
    </x:row>
    <x:row r="142" ht="64" customHeight="1">
      <x:c r="A142" s="28" t="str">
        <x:v>STN-0171</x:v>
      </x:c>
      <x:c r="B142" s="28" t="str">
        <x:v>персик</x:v>
      </x:c>
      <x:c r="C142" s="28" t="str">
        <x:v>персик</x:v>
      </x:c>
      <x:c r="D142" s="28" t="str">
        <x:v>отварное мясо бурого краба</x:v>
      </x:c>
      <x:c r="E142" s="28" t="str">
        <x:v>Мясо и птица</x:v>
      </x:c>
      <x:c r="F142" s="28" t="str">
        <x:v>комплементарность ароматических семейств, вкусовой контраст и матричный эффект</x:v>
      </x:c>
      <x:c r="G14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Отварное мясо бурого краба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H142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I142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142" s="28" t="str">
        <x:v>соус, глазировка, чатни, маринад, гарнир или основное блюдо</x:v>
      </x:c>
      <x:c r="K142" s="28" t="str">
        <x:v>Средняя</x:v>
      </x:c>
      <x:c r="L142" s="28" t="str">
        <x:v>The Art &amp; Science of Foodpairing.pdf</x:v>
      </x:c>
      <x:c r="M142" s="28" t="str">
        <x:v>The Art &amp; Science of Foodpairing.pdf: 260–261</x:v>
      </x:c>
    </x:row>
    <x:row r="143" ht="64" customHeight="1">
      <x:c r="A143" s="28" t="str">
        <x:v>STN-0172</x:v>
      </x:c>
      <x:c r="B143" s="28" t="str">
        <x:v>персик</x:v>
      </x:c>
      <x:c r="C143" s="28" t="str">
        <x:v>персик</x:v>
      </x:c>
      <x:c r="D143" s="28" t="str">
        <x:v>отварной broccoli</x:v>
      </x:c>
      <x:c r="E143" s="28" t="str">
        <x:v>Прочее</x:v>
      </x:c>
      <x:c r="F143" s="28" t="str">
        <x:v>комплементарность ароматических семейств, вкусовой контраст и матричный эффект</x:v>
      </x:c>
      <x:c r="G14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broccoli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4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4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3" s="28" t="str">
        <x:v>напиток, соус, десерт или горячее блюдо после пробной дегустации</x:v>
      </x:c>
      <x:c r="K143" s="28" t="str">
        <x:v>Средняя</x:v>
      </x:c>
      <x:c r="L143" s="28" t="str">
        <x:v>The Art &amp; Science of Foodpairing.pdf</x:v>
      </x:c>
      <x:c r="M143" s="28" t="str">
        <x:v>The Art &amp; Science of Foodpairing.pdf: 260–261</x:v>
      </x:c>
    </x:row>
    <x:row r="144" ht="64" customHeight="1">
      <x:c r="A144" s="28" t="str">
        <x:v>STN-0173</x:v>
      </x:c>
      <x:c r="B144" s="28" t="str">
        <x:v>персик</x:v>
      </x:c>
      <x:c r="C144" s="28" t="str">
        <x:v>персик</x:v>
      </x:c>
      <x:c r="D144" s="28" t="str">
        <x:v>отварной голубой краб</x:v>
      </x:c>
      <x:c r="E144" s="28" t="str">
        <x:v>Рыба и морепродукты</x:v>
      </x:c>
      <x:c r="F144" s="28" t="str">
        <x:v>комплементарность ароматических семейств, вкусовой контраст и матричный эффект</x:v>
      </x:c>
      <x:c r="G14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голубой краб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4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44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144" s="28" t="str">
        <x:v>соус, глазировка, чатни, маринад, гарнир или основное блюдо</x:v>
      </x:c>
      <x:c r="K144" s="28" t="str">
        <x:v>Средняя</x:v>
      </x:c>
      <x:c r="L144" s="28" t="str">
        <x:v>The Art &amp; Science of Foodpairing.pdf</x:v>
      </x:c>
      <x:c r="M144" s="28" t="str">
        <x:v>The Art &amp; Science of Foodpairing.pdf: 260–261</x:v>
      </x:c>
    </x:row>
    <x:row r="145" ht="64" customHeight="1">
      <x:c r="A145" s="28" t="str">
        <x:v>STN-0174</x:v>
      </x:c>
      <x:c r="B145" s="28" t="str">
        <x:v>персик</x:v>
      </x:c>
      <x:c r="C145" s="28" t="str">
        <x:v>персик</x:v>
      </x:c>
      <x:c r="D145" s="28" t="str">
        <x:v>отварной лангустин</x:v>
      </x:c>
      <x:c r="E145" s="28" t="str">
        <x:v>Рыба и морепродукты</x:v>
      </x:c>
      <x:c r="F145" s="28" t="str">
        <x:v>комплементарность ароматических семейств, вкусовой контраст и матричный эффект</x:v>
      </x:c>
      <x:c r="G14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лангустин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4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45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145" s="28" t="str">
        <x:v>соус, глазировка, чатни, маринад, гарнир или основное блюдо</x:v>
      </x:c>
      <x:c r="K145" s="28" t="str">
        <x:v>Средняя</x:v>
      </x:c>
      <x:c r="L145" s="28" t="str">
        <x:v>The Art &amp; Science of Foodpairing.pdf</x:v>
      </x:c>
      <x:c r="M145" s="28" t="str">
        <x:v>The Art &amp; Science of Foodpairing.pdf: 153</x:v>
      </x:c>
    </x:row>
    <x:row r="146" ht="64" customHeight="1">
      <x:c r="A146" s="28" t="str">
        <x:v>STN-0175</x:v>
      </x:c>
      <x:c r="B146" s="28" t="str">
        <x:v>персик</x:v>
      </x:c>
      <x:c r="C146" s="28" t="str">
        <x:v>персик</x:v>
      </x:c>
      <x:c r="D146" s="28" t="str">
        <x:v>отварной рис басмати</x:v>
      </x:c>
      <x:c r="E146" s="28" t="str">
        <x:v>Злаки и выпечка</x:v>
      </x:c>
      <x:c r="F146" s="28" t="str">
        <x:v>комплементарность ароматических семейств, вкусовой контраст и матричный эффект</x:v>
      </x:c>
      <x:c r="G14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рис басмати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4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4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6" s="28" t="str">
        <x:v>тарт, крем, мороженое, выпечка, сырная подача или начинка</x:v>
      </x:c>
      <x:c r="K146" s="28" t="str">
        <x:v>Средняя</x:v>
      </x:c>
      <x:c r="L146" s="28" t="str">
        <x:v>The Art &amp; Science of Foodpairing.pdf</x:v>
      </x:c>
      <x:c r="M146" s="28" t="str">
        <x:v>The Art &amp; Science of Foodpairing.pdf: 260–261</x:v>
      </x:c>
    </x:row>
    <x:row r="147" ht="64" customHeight="1">
      <x:c r="A147" s="28" t="str">
        <x:v>STN-0176</x:v>
      </x:c>
      <x:c r="B147" s="28" t="str">
        <x:v>персик</x:v>
      </x:c>
      <x:c r="C147" s="28" t="str">
        <x:v>персик</x:v>
      </x:c>
      <x:c r="D147" s="28" t="str">
        <x:v>отварной томатильо</x:v>
      </x:c>
      <x:c r="E147" s="28" t="str">
        <x:v>Овощи и корнеплоды</x:v>
      </x:c>
      <x:c r="F147" s="28" t="str">
        <x:v>комплементарность ароматических семейств, вкусовой контраст и матричный эффект</x:v>
      </x:c>
      <x:c r="G14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томатильо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4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4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7" s="28" t="str">
        <x:v>соус, глазировка, чатни, маринад, гарнир или основное блюдо</x:v>
      </x:c>
      <x:c r="K147" s="28" t="str">
        <x:v>Средняя</x:v>
      </x:c>
      <x:c r="L147" s="28" t="str">
        <x:v>The Art &amp; Science of Foodpairing.pdf</x:v>
      </x:c>
      <x:c r="M147" s="28" t="str">
        <x:v>The Art &amp; Science of Foodpairing.pdf: 260–261</x:v>
      </x:c>
    </x:row>
    <x:row r="148" ht="64" customHeight="1">
      <x:c r="A148" s="28" t="str">
        <x:v>STN-0177</x:v>
      </x:c>
      <x:c r="B148" s="28" t="str">
        <x:v>персик</x:v>
      </x:c>
      <x:c r="C148" s="28" t="str">
        <x:v>персик</x:v>
      </x:c>
      <x:c r="D148" s="28" t="str">
        <x:v>отварные бобы</x:v>
      </x:c>
      <x:c r="E148" s="28" t="str">
        <x:v>Овощи и корнеплоды</x:v>
      </x:c>
      <x:c r="F148" s="28" t="str">
        <x:v>комплементарность ароматических семейств, вкусовой контраст и матричный эффект</x:v>
      </x:c>
      <x:c r="G14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Отварные бобы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4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4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8" s="28" t="str">
        <x:v>соус, глазировка, чатни, маринад, гарнир или основное блюдо</x:v>
      </x:c>
      <x:c r="K148" s="28" t="str">
        <x:v>Средняя</x:v>
      </x:c>
      <x:c r="L148" s="28" t="str">
        <x:v>The Art &amp; Science of Foodpairing.pdf</x:v>
      </x:c>
      <x:c r="M148" s="28" t="str">
        <x:v>The Art &amp; Science of Foodpairing.pdf: 260–261</x:v>
      </x:c>
    </x:row>
    <x:row r="149" ht="64" customHeight="1">
      <x:c r="A149" s="28" t="str">
        <x:v>STN-0178</x:v>
      </x:c>
      <x:c r="B149" s="28" t="str">
        <x:v>персик</x:v>
      </x:c>
      <x:c r="C149" s="28" t="str">
        <x:v>персик</x:v>
      </x:c>
      <x:c r="D149" s="28" t="str">
        <x:v>папайя</x:v>
      </x:c>
      <x:c r="E149" s="28" t="str">
        <x:v>Тропические фрукты</x:v>
      </x:c>
      <x:c r="F149" s="28" t="str">
        <x:v>прямое или классовое перекрытие характерных одорантов + вкусовой баланс</x:v>
      </x:c>
      <x:c r="G14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Папайя относится к группе «Тропические фрукты» и даёт профиль «мягкий тропический, цветочный, мускусный и слегка зелёный»; типичные соединения или классы: линалоол, бензилацетат, этилбутират, метилбутират; в семенах и незрелом плоде — бензилизотиоцианат.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умеренная сладость, низкая кислотность; незрелый плод нейтральнее.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мягкая водная мякоть; содержит протеазу папаин.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перезрелая папайя может казаться мускусной; папаин размягчает белки при длительном контакте.</x:v>
      </x:c>
      <x:c r="H14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перезрелая папайя может казаться мускусной; папаин размягчает белки при длительном контакте.</x:v>
      </x:c>
      <x:c r="I14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9" s="28" t="str">
        <x:v>напиток, соус, десерт или горячее блюдо после пробной дегустации</x:v>
      </x:c>
      <x:c r="K149" s="28" t="str">
        <x:v>Гипотеза / практическая</x:v>
      </x:c>
      <x:c r="L149" s="28" t="str">
        <x:v>Таблица сочетания(1).pdf</x:v>
      </x:c>
      <x:c r="M149" s="28" t="str">
        <x:v>Таблица сочетания(1).pdf: Таблица сочетаний: 15 | Таблица сочетания(1).pdf: 15</x:v>
      </x:c>
    </x:row>
    <x:row r="150" ht="64" customHeight="1">
      <x:c r="A150" s="28" t="str">
        <x:v>STN-0179</x:v>
      </x:c>
      <x:c r="B150" s="28" t="str">
        <x:v>персик</x:v>
      </x:c>
      <x:c r="C150" s="28" t="str">
        <x:v>персик</x:v>
      </x:c>
      <x:c r="D150" s="28" t="str">
        <x:v>пастернак</x:v>
      </x:c>
      <x:c r="E150" s="28" t="str">
        <x:v>Прочее</x:v>
      </x:c>
      <x:c r="F150" s="28" t="str">
        <x:v>комплементарность ароматических семейств, вкусовой контраст и матричный эффект</x:v>
      </x:c>
      <x:c r="G15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Пастернак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5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5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0" s="28" t="str">
        <x:v>напиток, соус, десерт или горячее блюдо после пробной дегустации</x:v>
      </x:c>
      <x:c r="K150" s="28" t="str">
        <x:v>Средняя</x:v>
      </x:c>
      <x:c r="L150" s="28" t="str">
        <x:v>The Art &amp; Science of Foodpairing.pdf</x:v>
      </x:c>
      <x:c r="M150" s="28" t="str">
        <x:v>The Art &amp; Science of Foodpairing.pdf: 260–261</x:v>
      </x:c>
    </x:row>
    <x:row r="151" ht="64" customHeight="1">
      <x:c r="A151" s="28" t="str">
        <x:v>STN-0180</x:v>
      </x:c>
      <x:c r="B151" s="28" t="str">
        <x:v>персик</x:v>
      </x:c>
      <x:c r="C151" s="28" t="str">
        <x:v>персик</x:v>
      </x:c>
      <x:c r="D151" s="28" t="str">
        <x:v>пекан</x:v>
      </x:c>
      <x:c r="E151" s="28" t="str">
        <x:v>Орехи и семена</x:v>
      </x:c>
      <x:c r="F151" s="28" t="str">
        <x:v>прямое или классовое перекрытие характерных одорантов + вкусовой баланс</x:v>
      </x:c>
      <x:c r="G15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Пекан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15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151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51" s="28" t="str">
        <x:v>тарт, крем, мороженое, выпечка, сырная подача или начинка</x:v>
      </x:c>
      <x:c r="K151" s="28" t="str">
        <x:v>Гипотеза / практическая</x:v>
      </x:c>
      <x:c r="L151" s="28" t="str">
        <x:v>Таблица сочетания(1).pdf</x:v>
      </x:c>
      <x:c r="M151" s="28" t="str">
        <x:v>Таблица сочетания(1).pdf: 15</x:v>
      </x:c>
    </x:row>
    <x:row r="152" ht="64" customHeight="1">
      <x:c r="A152" s="28" t="str">
        <x:v>STN-0181</x:v>
      </x:c>
      <x:c r="B152" s="28" t="str">
        <x:v>персик</x:v>
      </x:c>
      <x:c r="C152" s="28" t="str">
        <x:v>персик</x:v>
      </x:c>
      <x:c r="D152" s="28" t="str">
        <x:v>перец рокото</x:v>
      </x:c>
      <x:c r="E152" s="28" t="str">
        <x:v>Специи и острые компоненты</x:v>
      </x:c>
      <x:c r="F152" s="28" t="str">
        <x:v>комплементарность ароматических семейств, вкусовой контраст и матричный эффект</x:v>
      </x:c>
      <x:c r="G15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Перец рокото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152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152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52" s="28" t="str">
        <x:v>напиток, соус, десерт или горячее блюдо после пробной дегустации</x:v>
      </x:c>
      <x:c r="K152" s="28" t="str">
        <x:v>Средняя</x:v>
      </x:c>
      <x:c r="L152" s="28" t="str">
        <x:v>The Art &amp; Science of Foodpairing.pdf</x:v>
      </x:c>
      <x:c r="M152" s="28" t="str">
        <x:v>The Art &amp; Science of Foodpairing.pdf: 260–261</x:v>
      </x:c>
    </x:row>
    <x:row r="153" ht="64" customHeight="1">
      <x:c r="A153" s="28" t="str">
        <x:v>STN-0182</x:v>
      </x:c>
      <x:c r="B153" s="28" t="str">
        <x:v>персик</x:v>
      </x:c>
      <x:c r="C153" s="28" t="str">
        <x:v>персик</x:v>
      </x:c>
      <x:c r="D153" s="28" t="str">
        <x:v>перец урфа</x:v>
      </x:c>
      <x:c r="E153" s="28" t="str">
        <x:v>Специи и острые компоненты</x:v>
      </x:c>
      <x:c r="F153" s="28" t="str">
        <x:v>комплементарность ароматических семейств, вкусовой контраст и матричный эффект</x:v>
      </x:c>
      <x:c r="G15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Перец урфа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53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53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53" s="28" t="str">
        <x:v>напиток, соус, десерт или горячее блюдо после пробной дегустации</x:v>
      </x:c>
      <x:c r="K153" s="28" t="str">
        <x:v>Средняя</x:v>
      </x:c>
      <x:c r="L153" s="28" t="str">
        <x:v>The Art &amp; Science of Foodpairing.pdf</x:v>
      </x:c>
      <x:c r="M153" s="28" t="str">
        <x:v>The Art &amp; Science of Foodpairing.pdf: 260–261</x:v>
      </x:c>
    </x:row>
    <x:row r="154" ht="64" customHeight="1">
      <x:c r="A154" s="28" t="str">
        <x:v>STN-0183</x:v>
      </x:c>
      <x:c r="B154" s="28" t="str">
        <x:v>персик</x:v>
      </x:c>
      <x:c r="C154" s="28" t="str">
        <x:v>персик</x:v>
      </x:c>
      <x:c r="D154" s="28" t="str">
        <x:v>приготовленный black salsify</x:v>
      </x:c>
      <x:c r="E154" s="28" t="str">
        <x:v>Прочее</x:v>
      </x:c>
      <x:c r="F154" s="28" t="str">
        <x:v>комплементарность ароматических семейств, вкусовой контраст и матричный эффект</x:v>
      </x:c>
      <x:c r="G15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Приготовленный black salsify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5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5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4" s="28" t="str">
        <x:v>напиток, соус, десерт или горячее блюдо после пробной дегустации</x:v>
      </x:c>
      <x:c r="K154" s="28" t="str">
        <x:v>Средняя</x:v>
      </x:c>
      <x:c r="L154" s="28" t="str">
        <x:v>The Art &amp; Science of Foodpairing.pdf</x:v>
      </x:c>
      <x:c r="M154" s="28" t="str">
        <x:v>The Art &amp; Science of Foodpairing.pdf: 260–261</x:v>
      </x:c>
    </x:row>
    <x:row r="155" ht="64" customHeight="1">
      <x:c r="A155" s="28" t="str">
        <x:v>STN-0184</x:v>
      </x:c>
      <x:c r="B155" s="28" t="str">
        <x:v>персик</x:v>
      </x:c>
      <x:c r="C155" s="28" t="str">
        <x:v>персик</x:v>
      </x:c>
      <x:c r="D155" s="28" t="str">
        <x:v>припущенный тюрбо</x:v>
      </x:c>
      <x:c r="E155" s="28" t="str">
        <x:v>Рыба и морепродукты</x:v>
      </x:c>
      <x:c r="F155" s="28" t="str">
        <x:v>комплементарность ароматических семейств, вкусовой контраст и матричный эффект</x:v>
      </x:c>
      <x:c r="G15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Припущенный тюрбо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5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55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155" s="28" t="str">
        <x:v>соус, глазировка, чатни, маринад, гарнир или основное блюдо</x:v>
      </x:c>
      <x:c r="K155" s="28" t="str">
        <x:v>Средняя</x:v>
      </x:c>
      <x:c r="L155" s="28" t="str">
        <x:v>The Art &amp; Science of Foodpairing.pdf</x:v>
      </x:c>
      <x:c r="M155" s="28" t="str">
        <x:v>The Art &amp; Science of Foodpairing.pdf: 260–261</x:v>
      </x:c>
    </x:row>
    <x:row r="156" ht="64" customHeight="1">
      <x:c r="A156" s="28" t="str">
        <x:v>STN-0185</x:v>
      </x:c>
      <x:c r="B156" s="28" t="str">
        <x:v>персик</x:v>
      </x:c>
      <x:c r="C156" s="28" t="str">
        <x:v>персик</x:v>
      </x:c>
      <x:c r="D156" s="28" t="str">
        <x:v>прошутто</x:v>
      </x:c>
      <x:c r="E156" s="28" t="str">
        <x:v>Мясо и птица</x:v>
      </x:c>
      <x:c r="F156" s="28" t="str">
        <x:v>комплементарность ароматических семейств, вкусовой контраст и матричный эффект</x:v>
      </x:c>
      <x:c r="G15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Прошутто относится к группе «Мясо и птица» и даёт профиль «мясной, жареный, жирный и сернистый»; типичные соединения или классы: пиразины, тиазолы, альдегиды Стреккера,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терпены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реакции Майяра создают мост к карамельным, ореховым и сухофруктовым нотам.</x:v>
      </x:c>
      <x:c r="H156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реакции Майяра создают мост к карамельным, ореховым и сухофруктовым нотам.</x:v>
      </x:c>
      <x:c r="I156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156" s="28" t="str">
        <x:v>соус, глазировка, чатни, маринад, гарнир или основное блюдо</x:v>
      </x:c>
      <x:c r="K156" s="28" t="str">
        <x:v>Средняя</x:v>
      </x:c>
      <x:c r="L156" s="28" t="str">
        <x:v>Тезариус вкусов (Ники Сегнит)(1).pdf</x:v>
      </x:c>
      <x:c r="M156" s="28" t="str">
        <x:v>Тезариус вкусов (Ники Сегнит)(1).pdf: 459 | Тезариус вкусов (Ники Сегнит)(1).pdf: 751</x:v>
      </x:c>
    </x:row>
    <x:row r="157" ht="64" customHeight="1">
      <x:c r="A157" s="28" t="str">
        <x:v>STN-0186</x:v>
      </x:c>
      <x:c r="B157" s="28" t="str">
        <x:v>персик</x:v>
      </x:c>
      <x:c r="C157" s="28" t="str">
        <x:v>персик</x:v>
      </x:c>
      <x:c r="D157" s="28" t="str">
        <x:v>прошутто сан-даниэле</x:v>
      </x:c>
      <x:c r="E157" s="28" t="str">
        <x:v>Мясо и птица</x:v>
      </x:c>
      <x:c r="F157" s="28" t="str">
        <x:v>комплементарность ароматических семейств, вкусовой контраст и матричный эффект</x:v>
      </x:c>
      <x:c r="G15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Прошутто сан-даниэле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H157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I157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157" s="28" t="str">
        <x:v>соус, глазировка, чатни, маринад, гарнир или основное блюдо</x:v>
      </x:c>
      <x:c r="K157" s="28" t="str">
        <x:v>Средняя</x:v>
      </x:c>
      <x:c r="L157" s="28" t="str">
        <x:v>The Art &amp; Science of Foodpairing.pdf</x:v>
      </x:c>
      <x:c r="M157" s="28" t="str">
        <x:v>The Art &amp; Science of Foodpairing.pdf: 260–261</x:v>
      </x:c>
    </x:row>
    <x:row r="158" ht="64" customHeight="1">
      <x:c r="A158" s="28" t="str">
        <x:v>STN-0187</x:v>
      </x:c>
      <x:c r="B158" s="28" t="str">
        <x:v>персик</x:v>
      </x:c>
      <x:c r="C158" s="28" t="str">
        <x:v>персик</x:v>
      </x:c>
      <x:c r="D158" s="28" t="str">
        <x:v>радиккьо</x:v>
      </x:c>
      <x:c r="E158" s="28" t="str">
        <x:v>Овощи и корнеплоды</x:v>
      </x:c>
      <x:c r="F158" s="28" t="str">
        <x:v>комплементарность ароматических семейств, вкусовой контраст и матричный эффект</x:v>
      </x:c>
      <x:c r="G15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Радиккьо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5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5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8" s="28" t="str">
        <x:v>соус, глазировка, чатни, маринад, гарнир или основное блюдо</x:v>
      </x:c>
      <x:c r="K158" s="28" t="str">
        <x:v>Средняя</x:v>
      </x:c>
      <x:c r="L158" s="28" t="str">
        <x:v>The Art &amp; Science of Foodpairing.pdf</x:v>
      </x:c>
      <x:c r="M158" s="28" t="str">
        <x:v>The Art &amp; Science of Foodpairing.pdf: 260–261</x:v>
      </x:c>
    </x:row>
    <x:row r="159" ht="64" customHeight="1">
      <x:c r="A159" s="28" t="str">
        <x:v>STN-0188</x:v>
      </x:c>
      <x:c r="B159" s="28" t="str">
        <x:v>персик</x:v>
      </x:c>
      <x:c r="C159" s="28" t="str">
        <x:v>персик</x:v>
      </x:c>
      <x:c r="D159" s="28" t="str">
        <x:v>ревень</x:v>
      </x:c>
      <x:c r="E159" s="28" t="str">
        <x:v>Прочее</x:v>
      </x:c>
      <x:c r="F159" s="28" t="str">
        <x:v>комплементарность ароматических семейств, вкусовой контраст и матричный эффект</x:v>
      </x:c>
      <x:c r="G15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Ревень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5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5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9" s="28" t="str">
        <x:v>напиток, соус, десерт или горячее блюдо после пробной дегустации</x:v>
      </x:c>
      <x:c r="K159" s="28" t="str">
        <x:v>Гипотеза / практическая</x:v>
      </x:c>
      <x:c r="L159" s="28" t="str">
        <x:v>Таблица сочетания(1).pdf</x:v>
      </x:c>
      <x:c r="M159" s="28" t="str">
        <x:v>Таблица сочетания(1).pdf: 19</x:v>
      </x:c>
    </x:row>
    <x:row r="160" ht="64" customHeight="1">
      <x:c r="A160" s="28" t="str">
        <x:v>STN-0189</x:v>
      </x:c>
      <x:c r="B160" s="28" t="str">
        <x:v>персик</x:v>
      </x:c>
      <x:c r="C160" s="28" t="str">
        <x:v>персик</x:v>
      </x:c>
      <x:c r="D160" s="28" t="str">
        <x:v>роза</x:v>
      </x:c>
      <x:c r="E160" s="28" t="str">
        <x:v>Травы и цветы</x:v>
      </x:c>
      <x:c r="F160" s="28" t="str">
        <x:v>прямое или классовое перекрытие характерных одорантов + вкусовой баланс</x:v>
      </x:c>
      <x:c r="G16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Роза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6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6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0" s="28" t="str">
        <x:v>напиток, соус, десерт или горячее блюдо после пробной дегустации</x:v>
      </x:c>
      <x:c r="K160" s="28" t="str">
        <x:v>Гипотеза / практическая</x:v>
      </x:c>
      <x:c r="L160" s="28" t="str">
        <x:v>Таблица сочетания(1).pdf</x:v>
      </x:c>
      <x:c r="M160" s="28" t="str">
        <x:v>Таблица сочетания(1).pdf: 19</x:v>
      </x:c>
    </x:row>
    <x:row r="161" ht="64" customHeight="1">
      <x:c r="A161" s="28" t="str">
        <x:v>STN-0190</x:v>
      </x:c>
      <x:c r="B161" s="28" t="str">
        <x:v>персик</x:v>
      </x:c>
      <x:c r="C161" s="28" t="str">
        <x:v>персик</x:v>
      </x:c>
      <x:c r="D161" s="28" t="str">
        <x:v>салями милано</x:v>
      </x:c>
      <x:c r="E161" s="28" t="str">
        <x:v>Мясо и птица</x:v>
      </x:c>
      <x:c r="F161" s="28" t="str">
        <x:v>комплементарность ароматических семейств, вкусовой контраст и матричный эффект</x:v>
      </x:c>
      <x:c r="G16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Салями милано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H161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I161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161" s="28" t="str">
        <x:v>соус, глазировка, чатни, маринад, гарнир или основное блюдо</x:v>
      </x:c>
      <x:c r="K161" s="28" t="str">
        <x:v>Средняя</x:v>
      </x:c>
      <x:c r="L161" s="28" t="str">
        <x:v>The Art &amp; Science of Foodpairing.pdf</x:v>
      </x:c>
      <x:c r="M161" s="28" t="str">
        <x:v>The Art &amp; Science of Foodpairing.pdf: 260–261</x:v>
      </x:c>
    </x:row>
    <x:row r="162" ht="64" customHeight="1">
      <x:c r="A162" s="28" t="str">
        <x:v>STN-0192</x:v>
      </x:c>
      <x:c r="B162" s="28" t="str">
        <x:v>персик</x:v>
      </x:c>
      <x:c r="C162" s="28" t="str">
        <x:v>персик</x:v>
      </x:c>
      <x:c r="D162" s="28" t="str">
        <x:v>свежий корень имбиря</x:v>
      </x:c>
      <x:c r="E162" s="28" t="str">
        <x:v>Специи</x:v>
      </x:c>
      <x:c r="F162" s="28" t="str">
        <x:v>комплементарность ароматических семейств, вкусовой контраст и матричный эффект</x:v>
      </x:c>
      <x:c r="G16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Свежий корень имбиря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пряный, иногда горький.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хорошо извлекаются спиртом и жиром.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6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6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2" s="28" t="str">
        <x:v>напиток, соус, десерт или горячее блюдо после пробной дегустации</x:v>
      </x:c>
      <x:c r="K162" s="28" t="str">
        <x:v>Средняя</x:v>
      </x:c>
      <x:c r="L162" s="28" t="str">
        <x:v>The Art &amp; Science of Foodpairing.pdf</x:v>
      </x:c>
      <x:c r="M162" s="28" t="str">
        <x:v>The Art &amp; Science of Foodpairing.pdf: 142 | The Art &amp; Science of Foodpairing.pdf: 143</x:v>
      </x:c>
    </x:row>
    <x:row r="163" ht="64" customHeight="1">
      <x:c r="A163" s="28" t="str">
        <x:v>STN-0193</x:v>
      </x:c>
      <x:c r="B163" s="28" t="str">
        <x:v>персик</x:v>
      </x:c>
      <x:c r="C163" s="28" t="str">
        <x:v>персик</x:v>
      </x:c>
      <x:c r="D163" s="28" t="str">
        <x:v>сельдерей</x:v>
      </x:c>
      <x:c r="E163" s="28" t="str">
        <x:v>Овощи и бобовые</x:v>
      </x:c>
      <x:c r="F163" s="28" t="str">
        <x:v>комплементарность ароматических семейств, вкусовой контраст и матричный эффект</x:v>
      </x:c>
      <x:c r="G16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Сельдерей относится к группе «Овощи и бобовые» и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варьирует от сладости до горечи, умами и крахмалистости.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водная, волокнистая или крахмальная.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H16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I16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3" s="28" t="str">
        <x:v>напиток, соус, десерт или горячее блюдо после пробной дегустации</x:v>
      </x:c>
      <x:c r="K163" s="28" t="str">
        <x:v>Средняя</x:v>
      </x:c>
      <x:c r="L163" s="28" t="str">
        <x:v>The Art &amp; Science of Foodpairing.pdf</x:v>
      </x:c>
      <x:c r="M163" s="28" t="str">
        <x:v>The Art &amp; Science of Foodpairing.pdf: 260–261</x:v>
      </x:c>
    </x:row>
    <x:row r="164" ht="64" customHeight="1">
      <x:c r="A164" s="28" t="str">
        <x:v>STN-0194</x:v>
      </x:c>
      <x:c r="B164" s="28" t="str">
        <x:v>персик</x:v>
      </x:c>
      <x:c r="C164" s="28" t="str">
        <x:v>персик</x:v>
      </x:c>
      <x:c r="D164" s="28" t="str">
        <x:v>скрэмбл</x:v>
      </x:c>
      <x:c r="E164" s="28" t="str">
        <x:v>Прочее</x:v>
      </x:c>
      <x:c r="F164" s="28" t="str">
        <x:v>комплементарность ароматических семейств, вкусовой контраст и матричный эффект</x:v>
      </x:c>
      <x:c r="G16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Скрэмбл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16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16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4" s="28" t="str">
        <x:v>напиток, соус, десерт или горячее блюдо после пробной дегустации</x:v>
      </x:c>
      <x:c r="K164" s="28" t="str">
        <x:v>Средняя</x:v>
      </x:c>
      <x:c r="L164" s="28" t="str">
        <x:v>The Art &amp; Science of Foodpairing.pdf</x:v>
      </x:c>
      <x:c r="M164" s="28" t="str">
        <x:v>The Art &amp; Science of Foodpairing.pdf: 260–261</x:v>
      </x:c>
    </x:row>
    <x:row r="165" ht="64" customHeight="1">
      <x:c r="A165" s="28" t="str">
        <x:v>STN-0195</x:v>
      </x:c>
      <x:c r="B165" s="28" t="str">
        <x:v>персик</x:v>
      </x:c>
      <x:c r="C165" s="28" t="str">
        <x:v>персик</x:v>
      </x:c>
      <x:c r="D165" s="28" t="str">
        <x:v>слива</x:v>
      </x:c>
      <x:c r="E165" s="28" t="str">
        <x:v>Косточковые фрукты</x:v>
      </x:c>
      <x:c r="F165" s="28" t="str">
        <x:v>прямое или классовое перекрытие характерных одорантов + вкусовой баланс</x:v>
      </x:c>
      <x:c r="G16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Слива относится к группе «Косточковые фрукты» и даёт профиль «винно-фруктовый, цветочный, зелёный, пряный, миндальный; от свежего до тёмно-джемового»; типичные соединения или классы: фруктовые эфиры, γ- и δ-лактоны, бензальдегид, линалоол, C6-альдегиды, дамасконы. В рабочих профилях пересекаются: бензальдегид,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 и заметная яблочно-лимонная кислотность; кожица часто терпкая.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сочная пектиновая мякоть; кожица богата полифенолами; аромат хорошо работает в воде, сахаре 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H16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I16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5" s="28" t="str">
        <x:v>напиток, соус, десерт или горячее блюдо после пробной дегустации</x:v>
      </x:c>
      <x:c r="K165" s="28" t="str">
        <x:v>Высокая</x:v>
      </x:c>
      <x:c r="L165" s="28" t="str">
        <x:v>The Art &amp; Science of Foodpairing.pdf | Таблица сочетания(1).pdf</x:v>
      </x:c>
      <x:c r="M165" s="28" t="str">
        <x:v>Таблица сочетания(1).pdf: 17 | The Art &amp; Science of Foodpairing.pdf: 260</x:v>
      </x:c>
    </x:row>
    <x:row r="166" ht="64" customHeight="1">
      <x:c r="A166" s="28" t="str">
        <x:v>STN-0198</x:v>
      </x:c>
      <x:c r="B166" s="28" t="str">
        <x:v>персик</x:v>
      </x:c>
      <x:c r="C166" s="28" t="str">
        <x:v>персик</x:v>
      </x:c>
      <x:c r="D166" s="28" t="str">
        <x:v>сушеная вешенка</x:v>
      </x:c>
      <x:c r="E166" s="28" t="str">
        <x:v>Прочее</x:v>
      </x:c>
      <x:c r="F166" s="28" t="str">
        <x:v>комплементарность ароматических семейств, вкусовой контраст и матричный эффект</x:v>
      </x:c>
      <x:c r="G16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Сушеная вешенка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16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16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6" s="28" t="str">
        <x:v>напиток, соус, десерт или горячее блюдо после пробной дегустации</x:v>
      </x:c>
      <x:c r="K166" s="28" t="str">
        <x:v>Средняя</x:v>
      </x:c>
      <x:c r="L166" s="28" t="str">
        <x:v>The Art &amp; Science of Foodpairing.pdf</x:v>
      </x:c>
      <x:c r="M166" s="28" t="str">
        <x:v>The Art &amp; Science of Foodpairing.pdf: 260–261</x:v>
      </x:c>
    </x:row>
    <x:row r="167" ht="64" customHeight="1">
      <x:c r="A167" s="28" t="str">
        <x:v>STN-0200</x:v>
      </x:c>
      <x:c r="B167" s="28" t="str">
        <x:v>персик</x:v>
      </x:c>
      <x:c r="C167" s="28" t="str">
        <x:v>персик</x:v>
      </x:c>
      <x:c r="D167" s="28" t="str">
        <x:v>сушеные белые грибы</x:v>
      </x:c>
      <x:c r="E167" s="28" t="str">
        <x:v>Грибы и трюфели</x:v>
      </x:c>
      <x:c r="F167" s="28" t="str">
        <x:v>комплементарность ароматических семейств, вкусовой контраст и матричный эффект</x:v>
      </x:c>
      <x:c r="G16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белые грибы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умами и лёгкая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вода и клетчатка; обжарка создаёт новые жареные молекулы.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6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6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7" s="28" t="str">
        <x:v>соус, глазировка, чатни, маринад, гарнир или основное блюдо</x:v>
      </x:c>
      <x:c r="K167" s="28" t="str">
        <x:v>Средняя</x:v>
      </x:c>
      <x:c r="L167" s="28" t="str">
        <x:v>The Art &amp; Science of Foodpairing.pdf</x:v>
      </x:c>
      <x:c r="M167" s="28" t="str">
        <x:v>The Art &amp; Science of Foodpairing.pdf: 260–261</x:v>
      </x:c>
    </x:row>
    <x:row r="168" ht="64" customHeight="1">
      <x:c r="A168" s="28" t="str">
        <x:v>STN-0201</x:v>
      </x:c>
      <x:c r="B168" s="28" t="str">
        <x:v>персик</x:v>
      </x:c>
      <x:c r="C168" s="28" t="str">
        <x:v>персик</x:v>
      </x:c>
      <x:c r="D168" s="28" t="str">
        <x:v>сушеные листья тмина</x:v>
      </x:c>
      <x:c r="E168" s="28" t="str">
        <x:v>Прочее</x:v>
      </x:c>
      <x:c r="F168" s="28" t="str">
        <x:v>комплементарность ароматических семейств, вкусовой контраст и матричный эффект</x:v>
      </x:c>
      <x:c r="G16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листья тмина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16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16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8" s="28" t="str">
        <x:v>напиток, соус, десерт или горячее блюдо после пробной дегустации</x:v>
      </x:c>
      <x:c r="K168" s="28" t="str">
        <x:v>Средняя</x:v>
      </x:c>
      <x:c r="L168" s="28" t="str">
        <x:v>The Art &amp; Science of Foodpairing.pdf</x:v>
      </x:c>
      <x:c r="M168" s="28" t="str">
        <x:v>The Art &amp; Science of Foodpairing.pdf: 260–261</x:v>
      </x:c>
    </x:row>
    <x:row r="169" ht="64" customHeight="1">
      <x:c r="A169" s="28" t="str">
        <x:v>STN-0202</x:v>
      </x:c>
      <x:c r="B169" s="28" t="str">
        <x:v>персик</x:v>
      </x:c>
      <x:c r="C169" s="28" t="str">
        <x:v>персик</x:v>
      </x:c>
      <x:c r="D169" s="28" t="str">
        <x:v>сушеные семена черного тмина</x:v>
      </x:c>
      <x:c r="E169" s="28" t="str">
        <x:v>Специи и острые компоненты</x:v>
      </x:c>
      <x:c r="F169" s="28" t="str">
        <x:v>комплементарность ароматических семейств, вкусовой контраст и матричный эффект</x:v>
      </x:c>
      <x:c r="G16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семена черного тмина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169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169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69" s="28" t="str">
        <x:v>напиток, соус, десерт или горячее блюдо после пробной дегустации</x:v>
      </x:c>
      <x:c r="K169" s="28" t="str">
        <x:v>Средняя</x:v>
      </x:c>
      <x:c r="L169" s="28" t="str">
        <x:v>The Art &amp; Science of Foodpairing.pdf</x:v>
      </x:c>
      <x:c r="M169" s="28" t="str">
        <x:v>The Art &amp; Science of Foodpairing.pdf: 260–261</x:v>
      </x:c>
    </x:row>
    <x:row r="170" ht="64" customHeight="1">
      <x:c r="A170" s="28" t="str">
        <x:v>STN-0203</x:v>
      </x:c>
      <x:c r="B170" s="28" t="str">
        <x:v>персик</x:v>
      </x:c>
      <x:c r="C170" s="28" t="str">
        <x:v>персик</x:v>
      </x:c>
      <x:c r="D170" s="28" t="str">
        <x:v>сушеные цветы сакуры</x:v>
      </x:c>
      <x:c r="E170" s="28" t="str">
        <x:v>Травы, листья и цветы</x:v>
      </x:c>
      <x:c r="F170" s="28" t="str">
        <x:v>прямое или классовое перекрытие характерных одорантов + вкусовой баланс</x:v>
      </x:c>
      <x:c r="G17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цветы сакуры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170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17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70" s="28" t="str">
        <x:v>напиток, соус, десерт или горячее блюдо после пробной дегустации</x:v>
      </x:c>
      <x:c r="K170" s="28" t="str">
        <x:v>Средняя</x:v>
      </x:c>
      <x:c r="L170" s="28" t="str">
        <x:v>The Art &amp; Science of Foodpairing.pdf</x:v>
      </x:c>
      <x:c r="M170" s="28" t="str">
        <x:v>The Art &amp; Science of Foodpairing.pdf: 260–261</x:v>
      </x:c>
    </x:row>
    <x:row r="171" ht="64" customHeight="1">
      <x:c r="A171" s="28" t="str">
        <x:v>STN-0204</x:v>
      </x:c>
      <x:c r="B171" s="28" t="str">
        <x:v>персик</x:v>
      </x:c>
      <x:c r="C171" s="28" t="str">
        <x:v>персик</x:v>
      </x:c>
      <x:c r="D171" s="28" t="str">
        <x:v>сыр манчего</x:v>
      </x:c>
      <x:c r="E171" s="28" t="str">
        <x:v>Сыры и молочные продукты</x:v>
      </x:c>
      <x:c r="F171" s="28" t="str">
        <x:v>комплементарность ароматических семейств, вкусовой контраст и матричный эффект</x:v>
      </x:c>
      <x:c r="G17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Сыр манчего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Общие ароматические направления: сливочный.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 Обработка: 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H171" s="28" t="str">
        <x:v>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I171" s="28" t="str">
        <x:v>незрелый плод ароматически беден; перезрелый быстро окисляется; косточки не использовать без безопасной технологии. Избыток кислоты может свернуть молочную основу; фрукт и сыр проверяют при рабочей температуре.</x:v>
      </x:c>
      <x:c r="J171" s="28" t="str">
        <x:v>тарт, крем, мороженое, выпечка, сырная подача или начинка</x:v>
      </x:c>
      <x:c r="K171" s="28" t="str">
        <x:v>Средняя</x:v>
      </x:c>
      <x:c r="L171" s="28" t="str">
        <x:v>The Art &amp; Science of Foodpairing.pdf</x:v>
      </x:c>
      <x:c r="M171" s="28" t="str">
        <x:v>The Art &amp; Science of Foodpairing.pdf: 260–261</x:v>
      </x:c>
    </x:row>
    <x:row r="172" ht="64" customHeight="1">
      <x:c r="A172" s="28" t="str">
        <x:v>STN-0205</x:v>
      </x:c>
      <x:c r="B172" s="28" t="str">
        <x:v>персик</x:v>
      </x:c>
      <x:c r="C172" s="28" t="str">
        <x:v>персик</x:v>
      </x:c>
      <x:c r="D172" s="28" t="str">
        <x:v>сычуаньский перец</x:v>
      </x:c>
      <x:c r="E172" s="28" t="str">
        <x:v>Специи и острые компоненты</x:v>
      </x:c>
      <x:c r="F172" s="28" t="str">
        <x:v>комплементарность ароматических семейств, вкусовой контраст и матричный эффект</x:v>
      </x:c>
      <x:c r="G17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Сычуаньский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172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172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72" s="28" t="str">
        <x:v>напиток, соус, десерт или горячее блюдо после пробной дегустации</x:v>
      </x:c>
      <x:c r="K172" s="28" t="str">
        <x:v>Средняя</x:v>
      </x:c>
      <x:c r="L172" s="28" t="str">
        <x:v>The Art &amp; Science of Foodpairing.pdf</x:v>
      </x:c>
      <x:c r="M172" s="28" t="str">
        <x:v>The Art &amp; Science of Foodpairing.pdf: 260–261</x:v>
      </x:c>
    </x:row>
    <x:row r="173" ht="64" customHeight="1">
      <x:c r="A173" s="28" t="str">
        <x:v>STN-0206</x:v>
      </x:c>
      <x:c r="B173" s="28" t="str">
        <x:v>персик</x:v>
      </x:c>
      <x:c r="C173" s="28" t="str">
        <x:v>персик</x:v>
      </x:c>
      <x:c r="D173" s="28" t="str">
        <x:v>таитянская ваниль</x:v>
      </x:c>
      <x:c r="E173" s="28" t="str">
        <x:v>Прочее</x:v>
      </x:c>
      <x:c r="F173" s="28" t="str">
        <x:v>комплементарность ароматических семейств, вкусовой контраст и матричный эффект</x:v>
      </x:c>
      <x:c r="G17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Таитянская ваниль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7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7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73" s="28" t="str">
        <x:v>напиток, соус, десерт или горячее блюдо после пробной дегустации</x:v>
      </x:c>
      <x:c r="K173" s="28" t="str">
        <x:v>Средняя</x:v>
      </x:c>
      <x:c r="L173" s="28" t="str">
        <x:v>The Art &amp; Science of Foodpairing.pdf</x:v>
      </x:c>
      <x:c r="M173" s="28" t="str">
        <x:v>The Art &amp; Science of Foodpairing.pdf: 260–261</x:v>
      </x:c>
    </x:row>
    <x:row r="174" ht="64" customHeight="1">
      <x:c r="A174" s="28" t="str">
        <x:v>STN-0207</x:v>
      </x:c>
      <x:c r="B174" s="28" t="str">
        <x:v>персик</x:v>
      </x:c>
      <x:c r="C174" s="28" t="str">
        <x:v>персик</x:v>
      </x:c>
      <x:c r="D174" s="28" t="str">
        <x:v>темный шоколад</x:v>
      </x:c>
      <x:c r="E174" s="28" t="str">
        <x:v>Чай, кофе и какао</x:v>
      </x:c>
      <x:c r="F174" s="28" t="str">
        <x:v>комплементарность ароматических семейств, вкусовой контраст и матричный эффект</x:v>
      </x:c>
      <x:c r="G17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Темный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горечь, терпкость и жареная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водные настои извлекают полифенолы; жир и сахар смягчают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17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17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74" s="28" t="str">
        <x:v>напиток, соус, десерт или горячее блюдо после пробной дегустации</x:v>
      </x:c>
      <x:c r="K174" s="28" t="str">
        <x:v>Средняя</x:v>
      </x:c>
      <x:c r="L174" s="28" t="str">
        <x:v>The Art &amp; Science of Foodpairing.pdf</x:v>
      </x:c>
      <x:c r="M174" s="28" t="str">
        <x:v>The Art &amp; Science of Foodpairing.pdf: 260–261</x:v>
      </x:c>
    </x:row>
    <x:row r="175" ht="64" customHeight="1">
      <x:c r="A175" s="28" t="str">
        <x:v>STN-0208</x:v>
      </x:c>
      <x:c r="B175" s="28" t="str">
        <x:v>персик</x:v>
      </x:c>
      <x:c r="C175" s="28" t="str">
        <x:v>персик</x:v>
      </x:c>
      <x:c r="D175" s="28" t="str">
        <x:v>тертый сырой корень сельдерея</x:v>
      </x:c>
      <x:c r="E175" s="28" t="str">
        <x:v>Сыры и молочные продукты</x:v>
      </x:c>
      <x:c r="F175" s="28" t="str">
        <x:v>комплементарность ароматических семейств, вкусовой контраст и матричный эффект</x:v>
      </x:c>
      <x:c r="G17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Тертый сырой корень сельдерея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Общие ароматические направления: сливочный.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 Обработка: 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H175" s="28" t="str">
        <x:v>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I175" s="28" t="str">
        <x:v>незрелый плод ароматически беден; перезрелый быстро окисляется; косточки не использовать без безопасной технологии. Избыток кислоты может свернуть молочную основу; фрукт и сыр проверяют при рабочей температуре.</x:v>
      </x:c>
      <x:c r="J175" s="28" t="str">
        <x:v>тарт, крем, мороженое, выпечка, сырная подача или начинка</x:v>
      </x:c>
      <x:c r="K175" s="28" t="str">
        <x:v>Средняя</x:v>
      </x:c>
      <x:c r="L175" s="28" t="str">
        <x:v>The Art &amp; Science of Foodpairing.pdf</x:v>
      </x:c>
      <x:c r="M175" s="28" t="str">
        <x:v>The Art &amp; Science of Foodpairing.pdf: 260–261</x:v>
      </x:c>
    </x:row>
    <x:row r="176" ht="64" customHeight="1">
      <x:c r="A176" s="28" t="str">
        <x:v>STN-0209</x:v>
      </x:c>
      <x:c r="B176" s="28" t="str">
        <x:v>персик</x:v>
      </x:c>
      <x:c r="C176" s="28" t="str">
        <x:v>персик</x:v>
      </x:c>
      <x:c r="D176" s="28" t="str">
        <x:v>томаты черри</x:v>
      </x:c>
      <x:c r="E176" s="28" t="str">
        <x:v>Овощи и корнеплоды</x:v>
      </x:c>
      <x:c r="F176" s="28" t="str">
        <x:v>комплементарность ароматических семейств, вкусовой контраст и матричный эффект</x:v>
      </x:c>
      <x:c r="G17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Томаты черри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7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7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76" s="28" t="str">
        <x:v>соус, глазировка, чатни, маринад, гарнир или основное блюдо</x:v>
      </x:c>
      <x:c r="K176" s="28" t="str">
        <x:v>Средняя</x:v>
      </x:c>
      <x:c r="L176" s="28" t="str">
        <x:v>The Art &amp; Science of Foodpairing.pdf</x:v>
      </x:c>
      <x:c r="M176" s="28" t="str">
        <x:v>The Art &amp; Science of Foodpairing.pdf: 260–261</x:v>
      </x:c>
    </x:row>
    <x:row r="177" ht="64" customHeight="1">
      <x:c r="A177" s="28" t="str">
        <x:v>STN-0210</x:v>
      </x:c>
      <x:c r="B177" s="28" t="str">
        <x:v>персик</x:v>
      </x:c>
      <x:c r="C177" s="28" t="str">
        <x:v>персик</x:v>
      </x:c>
      <x:c r="D177" s="28" t="str">
        <x:v>тушеная пикша</x:v>
      </x:c>
      <x:c r="E177" s="28" t="str">
        <x:v>Рыба и морепродукты</x:v>
      </x:c>
      <x:c r="F177" s="28" t="str">
        <x:v>комплементарность ароматических семейств, вкусовой контраст и матричный эффект</x:v>
      </x:c>
      <x:c r="G17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Тушеная пикша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7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77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177" s="28" t="str">
        <x:v>соус, глазировка, чатни, маринад, гарнир или основное блюдо</x:v>
      </x:c>
      <x:c r="K177" s="28" t="str">
        <x:v>Средняя</x:v>
      </x:c>
      <x:c r="L177" s="28" t="str">
        <x:v>The Art &amp; Science of Foodpairing.pdf</x:v>
      </x:c>
      <x:c r="M177" s="28" t="str">
        <x:v>The Art &amp; Science of Foodpairing.pdf: 260–261</x:v>
      </x:c>
    </x:row>
    <x:row r="178" ht="64" customHeight="1">
      <x:c r="A178" s="28" t="str">
        <x:v>STN-0211</x:v>
      </x:c>
      <x:c r="B178" s="28" t="str">
        <x:v>персик</x:v>
      </x:c>
      <x:c r="C178" s="28" t="str">
        <x:v>персик</x:v>
      </x:c>
      <x:c r="D178" s="28" t="str">
        <x:v>укроп</x:v>
      </x:c>
      <x:c r="E178" s="28" t="str">
        <x:v>Травы и цветы</x:v>
      </x:c>
      <x:c r="F178" s="28" t="str">
        <x:v>прямое или классовое перекрытие характерных одорантов + вкусовой баланс</x:v>
      </x:c>
      <x:c r="G17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7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7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78" s="28" t="str">
        <x:v>напиток, соус, десерт или горячее блюдо после пробной дегустации</x:v>
      </x:c>
      <x:c r="K178" s="28" t="str">
        <x:v>Средняя</x:v>
      </x:c>
      <x:c r="L178" s="28" t="str">
        <x:v>The Art &amp; Science of Foodpairing.pdf</x:v>
      </x:c>
      <x:c r="M178" s="28" t="str">
        <x:v>The Art &amp; Science of Foodpairing.pdf: 260–261</x:v>
      </x:c>
    </x:row>
    <x:row r="179" ht="64" customHeight="1">
      <x:c r="A179" s="28" t="str">
        <x:v>STN-0212</x:v>
      </x:c>
      <x:c r="B179" s="28" t="str">
        <x:v>персик</x:v>
      </x:c>
      <x:c r="C179" s="28" t="str">
        <x:v>персик</x:v>
      </x:c>
      <x:c r="D179" s="28" t="str">
        <x:v>фиалка</x:v>
      </x:c>
      <x:c r="E179" s="28" t="str">
        <x:v>Травы и цветы</x:v>
      </x:c>
      <x:c r="F179" s="28" t="str">
        <x:v>прямое или классовое перекрытие характерных одорантов + вкусовой баланс</x:v>
      </x:c>
      <x:c r="G17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Фиалка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7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7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79" s="28" t="str">
        <x:v>напиток, соус, десерт или горячее блюдо после пробной дегустации</x:v>
      </x:c>
      <x:c r="K179" s="28" t="str">
        <x:v>Гипотеза / практическая</x:v>
      </x:c>
      <x:c r="L179" s="28" t="str">
        <x:v>Таблица сочетания(1).pdf</x:v>
      </x:c>
      <x:c r="M179" s="28" t="str">
        <x:v>Таблица сочетания(1).pdf: 21</x:v>
      </x:c>
    </x:row>
    <x:row r="180" ht="64" customHeight="1">
      <x:c r="A180" s="28" t="str">
        <x:v>STN-0213</x:v>
      </x:c>
      <x:c r="B180" s="28" t="str">
        <x:v>персик</x:v>
      </x:c>
      <x:c r="C180" s="28" t="str">
        <x:v>персик</x:v>
      </x:c>
      <x:c r="D180" s="28" t="str">
        <x:v>филе скумбрии</x:v>
      </x:c>
      <x:c r="E180" s="28" t="str">
        <x:v>Рыба и морепродукты</x:v>
      </x:c>
      <x:c r="F180" s="28" t="str">
        <x:v>комплементарность ароматических семейств, вкусовой контраст и матричный эффект</x:v>
      </x:c>
      <x:c r="G18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Филе скумбрии относится к группе «Рыба и морепродукты» и даёт профиль «морской, йодистый, зелёный, жирный»; типичные соединения или классы: альдегиды окисления липидов, бромфенолы, диметилсульфид, умами-соединения. По доступным материалам нельзя уверенно свести совместимость к одной общей молекуле. Общие ароматические направления: зелёный.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кислота может денатурировать поверхностные белки; жир рыбы удерживает терпены.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H18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I180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180" s="28" t="str">
        <x:v>соус, глазировка, чатни, маринад, гарнир или основное блюдо</x:v>
      </x:c>
      <x:c r="K180" s="28" t="str">
        <x:v>Средняя</x:v>
      </x:c>
      <x:c r="L180" s="28" t="str">
        <x:v>The Art &amp; Science of Foodpairing.pdf</x:v>
      </x:c>
      <x:c r="M180" s="28" t="str">
        <x:v>The Art &amp; Science of Foodpairing.pdf: 260–261</x:v>
      </x:c>
    </x:row>
    <x:row r="181" ht="64" customHeight="1">
      <x:c r="A181" s="28" t="str">
        <x:v>STN-0214</x:v>
      </x:c>
      <x:c r="B181" s="28" t="str">
        <x:v>персик</x:v>
      </x:c>
      <x:c r="C181" s="28" t="str">
        <x:v>персик</x:v>
      </x:c>
      <x:c r="D181" s="28" t="str">
        <x:v>филе трески</x:v>
      </x:c>
      <x:c r="E181" s="28" t="str">
        <x:v>Рыба и морепродукты</x:v>
      </x:c>
      <x:c r="F181" s="28" t="str">
        <x:v>комплементарность ароматических семейств, вкусовой контраст и матричный эффект</x:v>
      </x:c>
      <x:c r="G18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Филе трески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8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81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181" s="28" t="str">
        <x:v>соус, глазировка, чатни, маринад, гарнир или основное блюдо</x:v>
      </x:c>
      <x:c r="K181" s="28" t="str">
        <x:v>Средняя</x:v>
      </x:c>
      <x:c r="L181" s="28" t="str">
        <x:v>The Art &amp; Science of Foodpairing.pdf</x:v>
      </x:c>
      <x:c r="M181" s="28" t="str">
        <x:v>The Art &amp; Science of Foodpairing.pdf: 260–261</x:v>
      </x:c>
    </x:row>
    <x:row r="182" ht="64" customHeight="1">
      <x:c r="A182" s="28" t="str">
        <x:v>STN-0215</x:v>
      </x:c>
      <x:c r="B182" s="28" t="str">
        <x:v>персик</x:v>
      </x:c>
      <x:c r="C182" s="28" t="str">
        <x:v>персик</x:v>
      </x:c>
      <x:c r="D182" s="28" t="str">
        <x:v>фисташка</x:v>
      </x:c>
      <x:c r="E182" s="28" t="str">
        <x:v>Орехи и семена</x:v>
      </x:c>
      <x:c r="F182" s="28" t="str">
        <x:v>прямое или классовое перекрытие характерных одорантов + вкусовой баланс</x:v>
      </x:c>
      <x:c r="G18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Фисташка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18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182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82" s="28" t="str">
        <x:v>тарт, крем, мороженое, выпечка, сырная подача или начинка</x:v>
      </x:c>
      <x:c r="K182" s="28" t="str">
        <x:v>Высокая</x:v>
      </x:c>
      <x:c r="L182" s="28" t="str">
        <x:v>The Art &amp; Science of Foodpairing.pdf | Таблица сочетания(1).pdf</x:v>
      </x:c>
      <x:c r="M182" s="28" t="str">
        <x:v>Таблица сочетания(1).pdf: 15 | Таблица сочетания(1).pdf: 17 | The Art &amp; Science of Foodpairing.pdf: 260–261</x:v>
      </x:c>
    </x:row>
    <x:row r="183" ht="64" customHeight="1">
      <x:c r="A183" s="28" t="str">
        <x:v>STN-0216</x:v>
      </x:c>
      <x:c r="B183" s="28" t="str">
        <x:v>персик</x:v>
      </x:c>
      <x:c r="C183" s="28" t="str">
        <x:v>персик</x:v>
      </x:c>
      <x:c r="D183" s="28" t="str">
        <x:v>фундук</x:v>
      </x:c>
      <x:c r="E183" s="28" t="str">
        <x:v>Орехи и семена</x:v>
      </x:c>
      <x:c r="F183" s="28" t="str">
        <x:v>комплементарность ароматических семейств, вкусовой контраст и матричный эффект</x:v>
      </x:c>
      <x:c r="G18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Фундук относится к группе «Орехи и семена» и даёт профиль «жареный ореховый и маслянистый»; типичные соединения или классы: филбертон, пиразины. По доступным материалам нельзя уверенно свести совместимость к одной общей молекуле.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18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183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83" s="28" t="str">
        <x:v>тарт, крем, мороженое, выпечка, сырная подача или начинка</x:v>
      </x:c>
      <x:c r="K183" s="28" t="str">
        <x:v>Гипотеза / практическая</x:v>
      </x:c>
      <x:c r="L183" s="28" t="str">
        <x:v>Таблица сочетания(1).pdf</x:v>
      </x:c>
      <x:c r="M183" s="28" t="str">
        <x:v>Таблица сочетания(1).pdf: 15</x:v>
      </x:c>
    </x:row>
    <x:row r="184" ht="64" customHeight="1">
      <x:c r="A184" s="28" t="str">
        <x:v>STN-0217</x:v>
      </x:c>
      <x:c r="B184" s="28" t="str">
        <x:v>персик</x:v>
      </x:c>
      <x:c r="C184" s="28" t="str">
        <x:v>персик</x:v>
      </x:c>
      <x:c r="D184" s="28" t="str">
        <x:v>хвоя сосны</x:v>
      </x:c>
      <x:c r="E184" s="28" t="str">
        <x:v>Травы, листья и цветы</x:v>
      </x:c>
      <x:c r="F184" s="28" t="str">
        <x:v>прямое или классовое перекрытие характерных одорантов + вкусовой баланс</x:v>
      </x:c>
      <x:c r="G18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Хвоя сосны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184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18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4" s="28" t="str">
        <x:v>напиток, соус, десерт или горячее блюдо после пробной дегустации</x:v>
      </x:c>
      <x:c r="K184" s="28" t="str">
        <x:v>Средняя</x:v>
      </x:c>
      <x:c r="L184" s="28" t="str">
        <x:v>The Art &amp; Science of Foodpairing.pdf</x:v>
      </x:c>
      <x:c r="M184" s="28" t="str">
        <x:v>The Art &amp; Science of Foodpairing.pdf: 260–261</x:v>
      </x:c>
    </x:row>
    <x:row r="185" ht="64" customHeight="1">
      <x:c r="A185" s="28" t="str">
        <x:v>STN-0218</x:v>
      </x:c>
      <x:c r="B185" s="28" t="str">
        <x:v>персик</x:v>
      </x:c>
      <x:c r="C185" s="28" t="str">
        <x:v>персик</x:v>
      </x:c>
      <x:c r="D185" s="28" t="str">
        <x:v>цветы бузины</x:v>
      </x:c>
      <x:c r="E185" s="28" t="str">
        <x:v>Травы и цветы</x:v>
      </x:c>
      <x:c r="F185" s="28" t="str">
        <x:v>прямое или классовое перекрытие характерных одорантов + вкусовой баланс</x:v>
      </x:c>
      <x:c r="G18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Цветы бузины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8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8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5" s="28" t="str">
        <x:v>напиток, соус, десерт или горячее блюдо после пробной дегустации</x:v>
      </x:c>
      <x:c r="K185" s="28" t="str">
        <x:v>Средняя</x:v>
      </x:c>
      <x:c r="L185" s="28" t="str">
        <x:v>The Art &amp; Science of Foodpairing.pdf</x:v>
      </x:c>
      <x:c r="M185" s="28" t="str">
        <x:v>The Art &amp; Science of Foodpairing.pdf: 260–261</x:v>
      </x:c>
    </x:row>
    <x:row r="186" ht="64" customHeight="1">
      <x:c r="A186" s="28" t="str">
        <x:v>STN-0219</x:v>
      </x:c>
      <x:c r="B186" s="28" t="str">
        <x:v>персик</x:v>
      </x:c>
      <x:c r="C186" s="28" t="str">
        <x:v>персик</x:v>
      </x:c>
      <x:c r="D186" s="28" t="str">
        <x:v>цикорий</x:v>
      </x:c>
      <x:c r="E186" s="28" t="str">
        <x:v>Овощи и корнеплоды</x:v>
      </x:c>
      <x:c r="F186" s="28" t="str">
        <x:v>комплементарность ароматических семейств, вкусовой контраст и матричный эффект</x:v>
      </x:c>
      <x:c r="G18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Цикорий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8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8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6" s="28" t="str">
        <x:v>соус, глазировка, чатни, маринад, гарнир или основное блюдо</x:v>
      </x:c>
      <x:c r="K186" s="28" t="str">
        <x:v>Средняя</x:v>
      </x:c>
      <x:c r="L186" s="28" t="str">
        <x:v>The Art &amp; Science of Foodpairing.pdf</x:v>
      </x:c>
      <x:c r="M186" s="28" t="str">
        <x:v>The Art &amp; Science of Foodpairing.pdf: 260–261</x:v>
      </x:c>
    </x:row>
    <x:row r="187" ht="64" customHeight="1">
      <x:c r="A187" s="28" t="str">
        <x:v>STN-0222</x:v>
      </x:c>
      <x:c r="B187" s="28" t="str">
        <x:v>персик</x:v>
      </x:c>
      <x:c r="C187" s="28" t="str">
        <x:v>персик</x:v>
      </x:c>
      <x:c r="D187" s="28" t="str">
        <x:v>черешня</x:v>
      </x:c>
      <x:c r="E187" s="28" t="str">
        <x:v>Ягоды и производные</x:v>
      </x:c>
      <x:c r="F187" s="28" t="str">
        <x:v>прямое или классовое перекрытие характерных одорантов + вкусовой баланс</x:v>
      </x:c>
      <x:c r="G18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Черешня относится к группе «Ягоды и производные» и даёт профиль «миндальный, сладко-фруктовый, цветочный»; типичные соединения или классы: бензальдегид, бета-дамасценон, эфиры. В рабочих профилях пересекаются: бензальдегид.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сладкий, умеренно кислый.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нежнее кислой вишни; легко становится приторной.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H18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I18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7" s="28" t="str">
        <x:v>напиток, соус, десерт или горячее блюдо после пробной дегустации</x:v>
      </x:c>
      <x:c r="K187" s="28" t="str">
        <x:v>Средняя</x:v>
      </x:c>
      <x:c r="L187" s="28" t="str">
        <x:v>The Art &amp; Science of Foodpairing.pdf</x:v>
      </x:c>
      <x:c r="M187" s="28" t="str">
        <x:v>The Art &amp; Science of Foodpairing.pdf: The Art &amp; Science of Foodpairing: 260, 261 | The Art &amp; Science of Foodpairing.pdf: 260–261</x:v>
      </x:c>
    </x:row>
    <x:row r="188" ht="64" customHeight="1">
      <x:c r="A188" s="28" t="str">
        <x:v>STN-0225</x:v>
      </x:c>
      <x:c r="B188" s="28" t="str">
        <x:v>персик</x:v>
      </x:c>
      <x:c r="C188" s="28" t="str">
        <x:v>персик</x:v>
      </x:c>
      <x:c r="D188" s="28" t="str">
        <x:v>чернослив</x:v>
      </x:c>
      <x:c r="E188" s="28" t="str">
        <x:v>Сушёные косточковые фрукты</x:v>
      </x:c>
      <x:c r="F188" s="28" t="str">
        <x:v>прямое или классовое перекрытие характерных одорантов + вкусовой баланс</x:v>
      </x:c>
      <x:c r="G18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Чернослив относится к группе «Сушёные косточковые фрукты» и даёт профиль «тёмно-фруктовый, карамельный, винный, слегка дымный и миндальный»; типичные соединения или классы: фурфурол, 5-метилфурфурол, мальтол, лактоны, бензальдегид, продукты термического распада сахаров. В рабочих профилях пересекаются: бензальдегид.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маловодная, богатая сахарами, пектином и сорбитолом; хорошо удерживает специи и алкоголь.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H18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I18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8" s="28" t="str">
        <x:v>напиток, соус, десерт или горячее блюдо после пробной дегустации</x:v>
      </x:c>
      <x:c r="K188" s="28" t="str">
        <x:v>Средняя</x:v>
      </x:c>
      <x:c r="L188" s="28" t="str">
        <x:v>The Art &amp; Science of Foodpairing.pdf</x:v>
      </x:c>
      <x:c r="M188" s="28" t="str">
        <x:v>The Art &amp; Science of Foodpairing.pdf: 260 | The Art &amp; Science of Foodpairing.pdf: 260–261</x:v>
      </x:c>
    </x:row>
    <x:row r="189" ht="64" customHeight="1">
      <x:c r="A189" s="28" t="str">
        <x:v>STN-0226</x:v>
      </x:c>
      <x:c r="B189" s="28" t="str">
        <x:v>персик</x:v>
      </x:c>
      <x:c r="C189" s="28" t="str">
        <x:v>персик</x:v>
      </x:c>
      <x:c r="D189" s="28" t="str">
        <x:v>черный трюфель</x:v>
      </x:c>
      <x:c r="E189" s="28" t="str">
        <x:v>Грибы и трюфели</x:v>
      </x:c>
      <x:c r="F189" s="28" t="str">
        <x:v>комплементарность ароматических семейств, вкусовой контраст и матричный эффект</x:v>
      </x:c>
      <x:c r="G18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Черный трюфель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умами и лёгкая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вода и клетчатка; обжарка создаёт новые жареные молекулы.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8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8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9" s="28" t="str">
        <x:v>соус, глазировка, чатни, маринад, гарнир или основное блюдо</x:v>
      </x:c>
      <x:c r="K189" s="28" t="str">
        <x:v>Средняя</x:v>
      </x:c>
      <x:c r="L189" s="28" t="str">
        <x:v>The Art &amp; Science of Foodpairing.pdf</x:v>
      </x:c>
      <x:c r="M189" s="28" t="str">
        <x:v>The Art &amp; Science of Foodpairing.pdf: 192</x:v>
      </x:c>
    </x:row>
    <x:row r="190" ht="64" customHeight="1">
      <x:c r="A190" s="28" t="str">
        <x:v>STN-0227</x:v>
      </x:c>
      <x:c r="B190" s="28" t="str">
        <x:v>персик</x:v>
      </x:c>
      <x:c r="C190" s="28" t="str">
        <x:v>персик</x:v>
      </x:c>
      <x:c r="D190" s="28" t="str">
        <x:v>шиитаке</x:v>
      </x:c>
      <x:c r="E190" s="28" t="str">
        <x:v>Прочее</x:v>
      </x:c>
      <x:c r="F190" s="28" t="str">
        <x:v>комплементарность ароматических семейств, вкусовой контраст и матричный эффект</x:v>
      </x:c>
      <x:c r="G19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Шиитаке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9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9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90" s="28" t="str">
        <x:v>напиток, соус, десерт или горячее блюдо после пробной дегустации</x:v>
      </x:c>
      <x:c r="K190" s="28" t="str">
        <x:v>Средняя</x:v>
      </x:c>
      <x:c r="L190" s="28" t="str">
        <x:v>The Art &amp; Science of Foodpairing.pdf</x:v>
      </x:c>
      <x:c r="M190" s="28" t="str">
        <x:v>The Art &amp; Science of Foodpairing.pdf: 126</x:v>
      </x:c>
    </x:row>
    <x:row r="191" ht="64" customHeight="1">
      <x:c r="A191" s="28" t="str">
        <x:v>STN-0228</x:v>
      </x:c>
      <x:c r="B191" s="28" t="str">
        <x:v>персик</x:v>
      </x:c>
      <x:c r="C191" s="28" t="str">
        <x:v>персик</x:v>
      </x:c>
      <x:c r="D191" s="28" t="str">
        <x:v>шнитт-лук</x:v>
      </x:c>
      <x:c r="E191" s="28" t="str">
        <x:v>Травы, листья и цветы</x:v>
      </x:c>
      <x:c r="F191" s="28" t="str">
        <x:v>прямое или классовое перекрытие характерных одорантов + вкусовой баланс</x:v>
      </x:c>
      <x:c r="G19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Шнитт-лук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191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19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91" s="28" t="str">
        <x:v>напиток, соус, десерт или горячее блюдо после пробной дегустации</x:v>
      </x:c>
      <x:c r="K191" s="28" t="str">
        <x:v>Средняя</x:v>
      </x:c>
      <x:c r="L191" s="28" t="str">
        <x:v>The Art &amp; Science of Foodpairing.pdf</x:v>
      </x:c>
      <x:c r="M191" s="28" t="str">
        <x:v>The Art &amp; Science of Foodpairing.pdf: 260–261</x:v>
      </x:c>
    </x:row>
    <x:row r="192" ht="64" customHeight="1">
      <x:c r="A192" s="28" t="str">
        <x:v>STN-0229</x:v>
      </x:c>
      <x:c r="B192" s="28" t="str">
        <x:v>персик</x:v>
      </x:c>
      <x:c r="C192" s="28" t="str">
        <x:v>персик</x:v>
      </x:c>
      <x:c r="D192" s="28" t="str">
        <x:v>шоколад</x:v>
      </x:c>
      <x:c r="E192" s="28" t="str">
        <x:v>Чай, кофе и какао</x:v>
      </x:c>
      <x:c r="F192" s="28" t="str">
        <x:v>комплементарность ароматических семейств, вкусовой контраст и матричный эффект</x:v>
      </x:c>
      <x:c r="G19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горечь, терпкость и жареная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водные настои извлекают полифенолы; жир и сахар смягчают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19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19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92" s="28" t="str">
        <x:v>напиток, соус, десерт или горячее блюдо после пробной дегустации</x:v>
      </x:c>
      <x:c r="K192" s="28" t="str">
        <x:v>Высокая</x:v>
      </x:c>
      <x:c r="L192" s="28" t="str">
        <x:v>The Art &amp; Science of Foodpairing.pdf | Таблица сочетания(1).pdf</x:v>
      </x:c>
      <x:c r="M192" s="28" t="str">
        <x:v>Таблица сочетания(1).pdf: 15 | The Art &amp; Science of Foodpairing.pdf: 62</x:v>
      </x:c>
    </x:row>
    <x:row r="193" ht="64" customHeight="1">
      <x:c r="A193" s="28" t="str">
        <x:v>STN-0230</x:v>
      </x:c>
      <x:c r="B193" s="28" t="str">
        <x:v>персик</x:v>
      </x:c>
      <x:c r="C193" s="28" t="str">
        <x:v>персик</x:v>
      </x:c>
      <x:c r="D193" s="28" t="str">
        <x:v>эстрагон</x:v>
      </x:c>
      <x:c r="E193" s="28" t="str">
        <x:v>Травы и цветы</x:v>
      </x:c>
      <x:c r="F193" s="28" t="str">
        <x:v>прямое или классовое перекрытие характерных одорантов + вкусовой баланс</x:v>
      </x:c>
      <x:c r="G19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Эстрагон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горьковатый, свежий.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летучие масла чувствительны к нагреву.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9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9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93" s="28" t="str">
        <x:v>напиток, соус, десерт или горячее блюдо после пробной дегустации</x:v>
      </x:c>
      <x:c r="K193" s="28" t="str">
        <x:v>Средняя</x:v>
      </x:c>
      <x:c r="L193" s="28" t="str">
        <x:v>The Art &amp; Science of Foodpairing.pdf</x:v>
      </x:c>
      <x:c r="M193" s="28" t="str">
        <x:v>The Art &amp; Science of Foodpairing.pdf: 260–261</x:v>
      </x:c>
    </x:row>
    <x:row r="194" ht="64" customHeight="1">
      <x:c r="A194" s="28" t="str">
        <x:v>STN-0231</x:v>
      </x:c>
      <x:c r="B194" s="28" t="str">
        <x:v>персик</x:v>
      </x:c>
      <x:c r="C194" s="28" t="str">
        <x:v>персик</x:v>
      </x:c>
      <x:c r="D194" s="28" t="str">
        <x:v>ягоды</x:v>
      </x:c>
      <x:c r="E194" s="28" t="str">
        <x:v>Прочее</x:v>
      </x:c>
      <x:c r="F194" s="28" t="str">
        <x:v>комплементарность ароматических семейств, вкусовой контраст и матричный эффект</x:v>
      </x:c>
      <x:c r="G19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Ягоды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9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9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94" s="28" t="str">
        <x:v>напиток, соус, десерт или горячее блюдо после пробной дегустации</x:v>
      </x:c>
      <x:c r="K194" s="28" t="str">
        <x:v>Гипотеза / практическая</x:v>
      </x:c>
      <x:c r="L194" s="28" t="str">
        <x:v>Таблица сочетания(1).pdf</x:v>
      </x:c>
      <x:c r="M194" s="28" t="str">
        <x:v>Таблица сочетания(1).pdf: 15</x:v>
      </x:c>
    </x:row>
    <x:row r="195" ht="64" customHeight="1">
      <x:c r="A195" s="28" t="str">
        <x:v>STN-0232</x:v>
      </x:c>
      <x:c r="B195" s="28" t="str">
        <x:v>персик</x:v>
      </x:c>
      <x:c r="C195" s="28" t="str">
        <x:v>персик</x:v>
      </x:c>
      <x:c r="D195" s="28" t="str">
        <x:v>ягоды можжевельника</x:v>
      </x:c>
      <x:c r="E195" s="28" t="str">
        <x:v>Прочее</x:v>
      </x:c>
      <x:c r="F195" s="28" t="str">
        <x:v>комплементарность ароматических семейств, вкусовой контраст и матричный эффект</x:v>
      </x:c>
      <x:c r="G19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Ягоды можжевельника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9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9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95" s="28" t="str">
        <x:v>напиток, соус, десерт или горячее блюдо после пробной дегустации</x:v>
      </x:c>
      <x:c r="K195" s="28" t="str">
        <x:v>Гипотеза / практическая</x:v>
      </x:c>
      <x:c r="L195" s="28" t="str">
        <x:v>Таблица сочетания(1).pdf</x:v>
      </x:c>
      <x:c r="M195" s="28" t="str">
        <x:v>Таблица сочетания(1).pdf: 10</x:v>
      </x:c>
    </x:row>
    <x:row r="196" ht="64" customHeight="1">
      <x:c r="A196" s="28" t="str">
        <x:v>STN-0233</x:v>
      </x:c>
      <x:c r="B196" s="28" t="str">
        <x:v>персик</x:v>
      </x:c>
      <x:c r="C196" s="28" t="str">
        <x:v>персик</x:v>
      </x:c>
      <x:c r="D196" s="28" t="str">
        <x:v>японский соевый соус</x:v>
      </x:c>
      <x:c r="E196" s="28" t="str">
        <x:v>Ферментированные продукты, соусы и уксусы</x:v>
      </x:c>
      <x:c r="F196" s="28" t="str">
        <x:v>комплементарность ароматических семейств, вкусовой контраст и матричный эффект</x:v>
      </x:c>
      <x:c r="G19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Японский соевый соус относится к группе «Ферментированные продукты, соусы и уксусы» и даёт профиль «кислый, умами, ферментированный, солёный»; типичные соединения или классы: уксусная кислота, эфиры, аминокислотные и ферментационные соединения. По доступным материалам нельзя уверенно свести совместимость к одной общей молекуле. Кислота, соль и умами усиливают контраст с фруктовой сладостью; сочетание работает в малой дозировке как приправа. Матрица пары: сочная пектиновая мякоть; кожица несёт зелёные и цветочные ноты; лактоны хорошо удерживаются жиром и этанолом. Партнёр: водная и солевая матрица; часть ароматов удерживается белком и сахаром.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9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96" s="28" t="str">
        <x:v>незрелый плод ароматически беден; перезрелый быстро окисляется; косточки не использовать без безопасной технологии. Соль и кислота быстро становятся доминирующими; используйте как акцент.</x:v>
      </x:c>
      <x:c r="J196" s="28" t="str">
        <x:v>соус, глазировка, чатни, маринад, гарнир или основное блюдо</x:v>
      </x:c>
      <x:c r="K196" s="28" t="str">
        <x:v>Средняя</x:v>
      </x:c>
      <x:c r="L196" s="28" t="str">
        <x:v>The Art &amp; Science of Foodpairing.pdf</x:v>
      </x:c>
      <x:c r="M196" s="28" t="str">
        <x:v>The Art &amp; Science of Foodpairing.pdf: 301</x:v>
      </x:c>
    </x:row>
    <x:row r="197" ht="64" customHeight="1">
      <x:c r="A197" s="28" t="str">
        <x:v>STN-0236</x:v>
      </x:c>
      <x:c r="B197" s="28" t="str">
        <x:v>нектарин</x:v>
      </x:c>
      <x:c r="C197" s="28" t="str">
        <x:v>нектарин</x:v>
      </x:c>
      <x:c r="D197" s="28" t="str">
        <x:v>авокадо</x:v>
      </x:c>
      <x:c r="E197" s="28" t="str">
        <x:v>Тропические фрукты и жирные матрицы</x:v>
      </x:c>
      <x:c r="F197" s="28" t="str">
        <x:v>комплементарность ароматических семейств, вкусовой контраст и матричный эффект</x:v>
      </x:c>
      <x:c r="G19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мягкий, жирный, почти несладкий; лёгкая растительная горечь.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высокожировая эмульсия; хорошо растворяет гидрофобные ароматические молекулы.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19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19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7" s="28" t="str">
        <x:v>напиток, соус, десерт или горячее блюдо после пробной дегустации</x:v>
      </x:c>
      <x:c r="K197" s="28" t="str">
        <x:v>Средняя</x:v>
      </x:c>
      <x:c r="L197" s="28" t="str">
        <x:v>The Art &amp; Science of Foodpairing.pdf</x:v>
      </x:c>
      <x:c r="M197" s="28" t="str">
        <x:v>The Art &amp; Science of Foodpairing.pdf: 260–261</x:v>
      </x:c>
    </x:row>
    <x:row r="198" ht="64" customHeight="1">
      <x:c r="A198" s="28" t="str">
        <x:v>STN-0237</x:v>
      </x:c>
      <x:c r="B198" s="28" t="str">
        <x:v>нектарин</x:v>
      </x:c>
      <x:c r="C198" s="28" t="str">
        <x:v>нектарин</x:v>
      </x:c>
      <x:c r="D198" s="28" t="str">
        <x:v>айва</x:v>
      </x:c>
      <x:c r="E198" s="28" t="str">
        <x:v>Семечковые фрукты</x:v>
      </x:c>
      <x:c r="F198" s="28" t="str">
        <x:v>прямое или классовое перекрытие характерных одорантов + вкусовой баланс</x:v>
      </x:c>
      <x:c r="G19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Айва относится к группе «Семечковые фрукты» и даёт профиль «цветочный, яблочно-грушевый, цитрусовый, медовый и слегка древесный»; типичные соединения или классы: эфиры жирных кислот, лактоны, линалоол, α-терпинеол, C6-альдегиды. В рабочих профилях пересекаются: линалоол, c6-альдегиды, эфиры.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кислотность и выраженная терпкость в сыром виде; после нагрева — сладко-фруктовый профиль.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плотная, пектиновая и малосочная; хорошо удерживает аромат в желе и сиропах.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сырая айва жёсткая и вяжущая; избыток дубильных веществ требует сахара, жира или длительного нагрева.</x:v>
      </x:c>
      <x:c r="H19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сырая айва жёсткая и вяжущая; избыток дубильных веществ требует сахара, жира или длительного нагрева.</x:v>
      </x:c>
      <x:c r="I19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8" s="28" t="str">
        <x:v>напиток, соус, десерт или горячее блюдо после пробной дегустации</x:v>
      </x:c>
      <x:c r="K198" s="28" t="str">
        <x:v>Гипотеза / практическая</x:v>
      </x:c>
      <x:c r="L198" s="28" t="str">
        <x:v>Таблица сочетания(1).pdf</x:v>
      </x:c>
      <x:c r="M198" s="28" t="str">
        <x:v>Таблица сочетания(1).pdf: Таблица сочетаний: 18 | Таблица сочетания(1).pdf: 18</x:v>
      </x:c>
    </x:row>
    <x:row r="199" ht="64" customHeight="1">
      <x:c r="A199" s="28" t="str">
        <x:v>STN-0239</x:v>
      </x:c>
      <x:c r="B199" s="28" t="str">
        <x:v>нектарин</x:v>
      </x:c>
      <x:c r="C199" s="28" t="str">
        <x:v>нектарин</x:v>
      </x:c>
      <x:c r="D199" s="28" t="str">
        <x:v>ананас</x:v>
      </x:c>
      <x:c r="E199" s="28" t="str">
        <x:v>Тропические фрукты</x:v>
      </x:c>
      <x:c r="F199" s="28" t="str">
        <x:v>комплементарность ароматических семейств, вкусовой контраст и матричный эффект</x:v>
      </x:c>
      <x:c r="G19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Ананас относится к группе «Тропические фрукты» и даёт профиль «яркий фруктовый, конфетный, цитрусовый, зелёный и слегка сернистый»; типичные соединения или классы: метилгексаноат, этилгексаноат, этилбутират, метил-3-(метилтио)пропионат и другие сернистые следы. По доступным материалам нельзя уверенно свести совместимость к одной общей молекуле. Общие ароматические направления: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выраженная сладость и кислотность; лёгкая терпкость сердцевины.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кислая; содержит протеазу бромелайн, разрушающую белки.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H19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I19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9" s="28" t="str">
        <x:v>напиток, соус, десерт или горячее блюдо после пробной дегустации</x:v>
      </x:c>
      <x:c r="K199" s="28" t="str">
        <x:v>Средняя</x:v>
      </x:c>
      <x:c r="L199" s="28" t="str">
        <x:v>The Art &amp; Science of Foodpairing.pdf</x:v>
      </x:c>
      <x:c r="M199" s="28" t="str">
        <x:v>The Art &amp; Science of Foodpairing.pdf: The Art &amp; Science of Foodpairing: 243 | The Art &amp; Science of Foodpairing.pdf: 243</x:v>
      </x:c>
    </x:row>
    <x:row r="200" ht="64" customHeight="1">
      <x:c r="A200" s="28" t="str">
        <x:v>STN-0240</x:v>
      </x:c>
      <x:c r="B200" s="28" t="str">
        <x:v>нектарин</x:v>
      </x:c>
      <x:c r="C200" s="28" t="str">
        <x:v>нектарин</x:v>
      </x:c>
      <x:c r="D200" s="28" t="str">
        <x:v>анис</x:v>
      </x:c>
      <x:c r="E200" s="28" t="str">
        <x:v>Специи и острые компоненты</x:v>
      </x:c>
      <x:c r="F200" s="28" t="str">
        <x:v>комплементарность ароматических семейств, вкусовой контраст и матричный эффект</x:v>
      </x:c>
      <x:c r="G20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Анис относится к группе «Специи и острые компоненты» и даёт профиль «сладкий лакричный и пряный»; типичные соединения или классы: анетол.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00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00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00" s="28" t="str">
        <x:v>напиток, соус, десерт или горячее блюдо после пробной дегустации</x:v>
      </x:c>
      <x:c r="K200" s="28" t="str">
        <x:v>Гипотеза / практическая</x:v>
      </x:c>
      <x:c r="L200" s="28" t="str">
        <x:v>Таблица сочетания(1).pdf</x:v>
      </x:c>
      <x:c r="M200" s="28" t="str">
        <x:v>Таблица сочетания(1).pdf: 14</x:v>
      </x:c>
    </x:row>
    <x:row r="201" ht="64" customHeight="1">
      <x:c r="A201" s="28" t="str">
        <x:v>STN-0242</x:v>
      </x:c>
      <x:c r="B201" s="28" t="str">
        <x:v>нектарин</x:v>
      </x:c>
      <x:c r="C201" s="28" t="str">
        <x:v>нектарин</x:v>
      </x:c>
      <x:c r="D201" s="28" t="str">
        <x:v>артишок</x:v>
      </x:c>
      <x:c r="E201" s="28" t="str">
        <x:v>Овощи и грибы</x:v>
      </x:c>
      <x:c r="F201" s="28" t="str">
        <x:v>прямое или классовое перекрытие характерных одорантов + вкусовой баланс</x:v>
      </x:c>
      <x:c r="G20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Артишок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растительный, иногда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высокая доля воды; нагрев меняет зелёный профиль.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0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0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1" s="28" t="str">
        <x:v>напиток, соус, десерт или горячее блюдо после пробной дегустации</x:v>
      </x:c>
      <x:c r="K201" s="28" t="str">
        <x:v>Средняя</x:v>
      </x:c>
      <x:c r="L201" s="28" t="str">
        <x:v>The Art &amp; Science of Foodpairing.pdf</x:v>
      </x:c>
      <x:c r="M201" s="28" t="str">
        <x:v>The Art &amp; Science of Foodpairing.pdf: 329</x:v>
      </x:c>
    </x:row>
    <x:row r="202" ht="64" customHeight="1">
      <x:c r="A202" s="28" t="str">
        <x:v>STN-0243</x:v>
      </x:c>
      <x:c r="B202" s="28" t="str">
        <x:v>нектарин</x:v>
      </x:c>
      <x:c r="C202" s="28" t="str">
        <x:v>нектарин</x:v>
      </x:c>
      <x:c r="D202" s="28" t="str">
        <x:v>бадьян</x:v>
      </x:c>
      <x:c r="E202" s="28" t="str">
        <x:v>Специи и острые компоненты</x:v>
      </x:c>
      <x:c r="F202" s="28" t="str">
        <x:v>комплементарность ароматических семейств, вкусовой контраст и матричный эффект</x:v>
      </x:c>
      <x:c r="G20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Бадьян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02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02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02" s="28" t="str">
        <x:v>напиток, соус, десерт или горячее блюдо после пробной дегустации</x:v>
      </x:c>
      <x:c r="K202" s="28" t="str">
        <x:v>Средняя</x:v>
      </x:c>
      <x:c r="L202" s="28" t="str">
        <x:v>The Art &amp; Science of Foodpairing.pdf</x:v>
      </x:c>
      <x:c r="M202" s="28" t="str">
        <x:v>The Art &amp; Science of Foodpairing.pdf: 260–261</x:v>
      </x:c>
    </x:row>
    <x:row r="203" ht="64" customHeight="1">
      <x:c r="A203" s="28" t="str">
        <x:v>STN-0244</x:v>
      </x:c>
      <x:c r="B203" s="28" t="str">
        <x:v>нектарин</x:v>
      </x:c>
      <x:c r="C203" s="28" t="str">
        <x:v>нектарин</x:v>
      </x:c>
      <x:c r="D203" s="28" t="str">
        <x:v>байонская ветчина</x:v>
      </x:c>
      <x:c r="E203" s="28" t="str">
        <x:v>Мясо и птица</x:v>
      </x:c>
      <x:c r="F203" s="28" t="str">
        <x:v>комплементарность ароматических семейств, вкусовой контраст и матричный эффект</x:v>
      </x:c>
      <x:c r="G20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Байонская ветчина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H203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I203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03" s="28" t="str">
        <x:v>соус, глазировка, чатни, маринад, гарнир или основное блюдо</x:v>
      </x:c>
      <x:c r="K203" s="28" t="str">
        <x:v>Средняя</x:v>
      </x:c>
      <x:c r="L203" s="28" t="str">
        <x:v>The Art &amp; Science of Foodpairing.pdf</x:v>
      </x:c>
      <x:c r="M203" s="28" t="str">
        <x:v>The Art &amp; Science of Foodpairing.pdf: 260–261</x:v>
      </x:c>
    </x:row>
    <x:row r="204" ht="64" customHeight="1">
      <x:c r="A204" s="28" t="str">
        <x:v>STN-0245</x:v>
      </x:c>
      <x:c r="B204" s="28" t="str">
        <x:v>нектарин</x:v>
      </x:c>
      <x:c r="C204" s="28" t="str">
        <x:v>нектарин</x:v>
      </x:c>
      <x:c r="D204" s="28" t="str">
        <x:v>баранина на гриле</x:v>
      </x:c>
      <x:c r="E204" s="28" t="str">
        <x:v>Мясо и птица</x:v>
      </x:c>
      <x:c r="F204" s="28" t="str">
        <x:v>комплементарность ароматических семейств, вкусовой контраст и матричный эффект</x:v>
      </x:c>
      <x:c r="G20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Баранина на гриле относится к группе «Мясо и птица» и даёт профиль «жареный, жирный, сернистый, умами»; типичные соединения или классы: альдегиды, пиразины,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переносит аромат; реакция Майяра создаёт новые одоранты.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H204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I204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04" s="28" t="str">
        <x:v>соус, глазировка, чатни, маринад, гарнир или основное блюдо</x:v>
      </x:c>
      <x:c r="K204" s="28" t="str">
        <x:v>Средняя</x:v>
      </x:c>
      <x:c r="L204" s="28" t="str">
        <x:v>The Art &amp; Science of Foodpairing.pdf</x:v>
      </x:c>
      <x:c r="M204" s="28" t="str">
        <x:v>The Art &amp; Science of Foodpairing.pdf: 260–261</x:v>
      </x:c>
    </x:row>
    <x:row r="205" ht="64" customHeight="1">
      <x:c r="A205" s="28" t="str">
        <x:v>STN-0246</x:v>
      </x:c>
      <x:c r="B205" s="28" t="str">
        <x:v>нектарин</x:v>
      </x:c>
      <x:c r="C205" s="28" t="str">
        <x:v>нектарин</x:v>
      </x:c>
      <x:c r="D205" s="28" t="str">
        <x:v>бейгл</x:v>
      </x:c>
      <x:c r="E205" s="28" t="str">
        <x:v>Злаки и выпечка</x:v>
      </x:c>
      <x:c r="F205" s="28" t="str">
        <x:v>комплементарность ароматических семейств, вкусовой контраст и матричный эффект</x:v>
      </x:c>
      <x:c r="G20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Бейгл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крахмальная матрица приглушает кислоту и распределяет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0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0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5" s="28" t="str">
        <x:v>тарт, крем, мороженое, выпечка, сырная подача или начинка</x:v>
      </x:c>
      <x:c r="K205" s="28" t="str">
        <x:v>Средняя</x:v>
      </x:c>
      <x:c r="L205" s="28" t="str">
        <x:v>The Art &amp; Science of Foodpairing.pdf</x:v>
      </x:c>
      <x:c r="M205" s="28" t="str">
        <x:v>The Art &amp; Science of Foodpairing.pdf: 260–261</x:v>
      </x:c>
    </x:row>
    <x:row r="206" ht="64" customHeight="1">
      <x:c r="A206" s="28" t="str">
        <x:v>STN-0247</x:v>
      </x:c>
      <x:c r="B206" s="28" t="str">
        <x:v>нектарин</x:v>
      </x:c>
      <x:c r="C206" s="28" t="str">
        <x:v>нектарин</x:v>
      </x:c>
      <x:c r="D206" s="28" t="str">
        <x:v>белый перец</x:v>
      </x:c>
      <x:c r="E206" s="28" t="str">
        <x:v>Специи и острые компоненты</x:v>
      </x:c>
      <x:c r="F206" s="28" t="str">
        <x:v>комплементарность ароматических семейств, вкусовой контраст и матричный эффект</x:v>
      </x:c>
      <x:c r="G20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Белый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206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206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06" s="28" t="str">
        <x:v>напиток, соус, десерт или горячее блюдо после пробной дегустации</x:v>
      </x:c>
      <x:c r="K206" s="28" t="str">
        <x:v>Средняя</x:v>
      </x:c>
      <x:c r="L206" s="28" t="str">
        <x:v>The Art &amp; Science of Foodpairing.pdf</x:v>
      </x:c>
      <x:c r="M206" s="28" t="str">
        <x:v>The Art &amp; Science of Foodpairing.pdf: 273</x:v>
      </x:c>
    </x:row>
    <x:row r="207" ht="64" customHeight="1">
      <x:c r="A207" s="28" t="str">
        <x:v>STN-0248</x:v>
      </x:c>
      <x:c r="B207" s="28" t="str">
        <x:v>нектарин</x:v>
      </x:c>
      <x:c r="C207" s="28" t="str">
        <x:v>нектарин</x:v>
      </x:c>
      <x:c r="D207" s="28" t="str">
        <x:v>белый тостовый хлеб</x:v>
      </x:c>
      <x:c r="E207" s="28" t="str">
        <x:v>Злаки и выпечка</x:v>
      </x:c>
      <x:c r="F207" s="28" t="str">
        <x:v>комплементарность ароматических семейств, вкусовой контраст и матричный эффект</x:v>
      </x:c>
      <x:c r="G20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Белый тостовый хлеб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крахмальная матрица приглушает кислоту и распределяет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0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0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7" s="28" t="str">
        <x:v>тарт, крем, мороженое, выпечка, сырная подача или начинка</x:v>
      </x:c>
      <x:c r="K207" s="28" t="str">
        <x:v>Средняя</x:v>
      </x:c>
      <x:c r="L207" s="28" t="str">
        <x:v>The Art &amp; Science of Foodpairing.pdf</x:v>
      </x:c>
      <x:c r="M207" s="28" t="str">
        <x:v>The Art &amp; Science of Foodpairing.pdf: 260–261</x:v>
      </x:c>
    </x:row>
    <x:row r="208" ht="64" customHeight="1">
      <x:c r="A208" s="28" t="str">
        <x:v>STN-0250</x:v>
      </x:c>
      <x:c r="B208" s="28" t="str">
        <x:v>нектарин</x:v>
      </x:c>
      <x:c r="C208" s="28" t="str">
        <x:v>нектарин</x:v>
      </x:c>
      <x:c r="D208" s="28" t="str">
        <x:v>бриошь</x:v>
      </x:c>
      <x:c r="E208" s="28" t="str">
        <x:v>Злаки, хлеб и выпечка</x:v>
      </x:c>
      <x:c r="F208" s="28" t="str">
        <x:v>комплементарность ароматических семейств, вкусовой контраст и матричный эффект</x:v>
      </x:c>
      <x:c r="G20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Бриошь относится к группе «Злаки, хлеб и выпечка» и даёт профиль «хлебный, зерновой, ореховый, жареный и карамельный»; типичные соединения или классы: 2-ацетил-1-пирролин, пиразины, фураны, мальтол.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крахмалистость, лёгкая сладость и жареная горечь.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 и клетчатка смягчают кислоту и поглощают ароматические соусы.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H20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I20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8" s="28" t="str">
        <x:v>напиток, соус, десерт или горячее блюдо после пробной дегустации</x:v>
      </x:c>
      <x:c r="K208" s="28" t="str">
        <x:v>Средняя</x:v>
      </x:c>
      <x:c r="L208" s="28" t="str">
        <x:v>The Art &amp; Science of Foodpairing.pdf</x:v>
      </x:c>
      <x:c r="M208" s="28" t="str">
        <x:v>The Art &amp; Science of Foodpairing.pdf: 260–261</x:v>
      </x:c>
    </x:row>
    <x:row r="209" ht="64" customHeight="1">
      <x:c r="A209" s="28" t="str">
        <x:v>STN-0251</x:v>
      </x:c>
      <x:c r="B209" s="28" t="str">
        <x:v>нектарин</x:v>
      </x:c>
      <x:c r="C209" s="28" t="str">
        <x:v>нектарин</x:v>
      </x:c>
      <x:c r="D209" s="28" t="str">
        <x:v>вакаме</x:v>
      </x:c>
      <x:c r="E209" s="28" t="str">
        <x:v>Рыба и морепродукты</x:v>
      </x:c>
      <x:c r="F209" s="28" t="str">
        <x:v>комплементарность ароматических семейств, вкусовой контраст и матричный эффект</x:v>
      </x:c>
      <x:c r="G20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Вакаме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0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09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09" s="28" t="str">
        <x:v>соус, глазировка, чатни, маринад, гарнир или основное блюдо</x:v>
      </x:c>
      <x:c r="K209" s="28" t="str">
        <x:v>Средняя</x:v>
      </x:c>
      <x:c r="L209" s="28" t="str">
        <x:v>The Art &amp; Science of Foodpairing.pdf</x:v>
      </x:c>
      <x:c r="M209" s="28" t="str">
        <x:v>The Art &amp; Science of Foodpairing.pdf: 260–261</x:v>
      </x:c>
    </x:row>
    <x:row r="210" ht="64" customHeight="1">
      <x:c r="A210" s="28" t="str">
        <x:v>STN-0252</x:v>
      </x:c>
      <x:c r="B210" s="28" t="str">
        <x:v>нектарин</x:v>
      </x:c>
      <x:c r="C210" s="28" t="str">
        <x:v>нектарин</x:v>
      </x:c>
      <x:c r="D210" s="28" t="str">
        <x:v>вишня</x:v>
      </x:c>
      <x:c r="E210" s="28" t="str">
        <x:v>Косточковые фрукты</x:v>
      </x:c>
      <x:c r="F210" s="28" t="str">
        <x:v>прямое или классовое перекрытие характерных одорантов + вкусовой баланс</x:v>
      </x:c>
      <x:c r="G21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линалоол, эфиры. Общие ароматические направления: цветочный, фруктовый, лактонный.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 и умеренная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пектиновая; кожица и косточка могут давать терпкость и миндальные ноты.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21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21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0" s="28" t="str">
        <x:v>напиток, соус, десерт или горячее блюдо после пробной дегустации</x:v>
      </x:c>
      <x:c r="K210" s="28" t="str">
        <x:v>Гипотеза / практическая</x:v>
      </x:c>
      <x:c r="L210" s="28" t="str">
        <x:v>Таблица сочетания(1).pdf</x:v>
      </x:c>
      <x:c r="M210" s="28" t="str">
        <x:v>Таблица сочетания(1).pdf: Таблица сочетаний: 4, 14 | Таблица сочетания(1).pdf: 4 | Таблица сочетания(1).pdf: 14</x:v>
      </x:c>
    </x:row>
    <x:row r="211" ht="64" customHeight="1">
      <x:c r="A211" s="28" t="str">
        <x:v>STN-0253</x:v>
      </x:c>
      <x:c r="B211" s="28" t="str">
        <x:v>нектарин</x:v>
      </x:c>
      <x:c r="C211" s="28" t="str">
        <x:v>нектарин</x:v>
      </x:c>
      <x:c r="D211" s="28" t="str">
        <x:v>восковая тыква</x:v>
      </x:c>
      <x:c r="E211" s="28" t="str">
        <x:v>Овощи и корнеплоды</x:v>
      </x:c>
      <x:c r="F211" s="28" t="str">
        <x:v>прямое или классовое перекрытие характерных одорантов + вкусовой баланс</x:v>
      </x:c>
      <x:c r="G21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Восковая тыква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1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1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1" s="28" t="str">
        <x:v>соус, глазировка, чатни, маринад, гарнир или основное блюдо</x:v>
      </x:c>
      <x:c r="K211" s="28" t="str">
        <x:v>Средняя</x:v>
      </x:c>
      <x:c r="L211" s="28" t="str">
        <x:v>The Art &amp; Science of Foodpairing.pdf</x:v>
      </x:c>
      <x:c r="M211" s="28" t="str">
        <x:v>The Art &amp; Science of Foodpairing.pdf: 260–261</x:v>
      </x:c>
    </x:row>
    <x:row r="212" ht="64" customHeight="1">
      <x:c r="A212" s="28" t="str">
        <x:v>STN-0255</x:v>
      </x:c>
      <x:c r="B212" s="28" t="str">
        <x:v>нектарин</x:v>
      </x:c>
      <x:c r="C212" s="28" t="str">
        <x:v>нектарин</x:v>
      </x:c>
      <x:c r="D212" s="28" t="str">
        <x:v>говяжий бульон</x:v>
      </x:c>
      <x:c r="E212" s="28" t="str">
        <x:v>Мясо и птица</x:v>
      </x:c>
      <x:c r="F212" s="28" t="str">
        <x:v>комплементарность ароматических семейств, вкусовой контраст и матричный эффект</x:v>
      </x:c>
      <x:c r="G21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Говяжий бульон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H212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I212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12" s="28" t="str">
        <x:v>соус, глазировка, чатни, маринад, гарнир или основное блюдо</x:v>
      </x:c>
      <x:c r="K212" s="28" t="str">
        <x:v>Средняя</x:v>
      </x:c>
      <x:c r="L212" s="28" t="str">
        <x:v>The Art &amp; Science of Foodpairing.pdf</x:v>
      </x:c>
      <x:c r="M212" s="28" t="str">
        <x:v>The Art &amp; Science of Foodpairing.pdf: 260–261</x:v>
      </x:c>
    </x:row>
    <x:row r="213" ht="64" customHeight="1">
      <x:c r="A213" s="28" t="str">
        <x:v>STN-0257</x:v>
      </x:c>
      <x:c r="B213" s="28" t="str">
        <x:v>нектарин</x:v>
      </x:c>
      <x:c r="C213" s="28" t="str">
        <x:v>нектарин</x:v>
      </x:c>
      <x:c r="D213" s="28" t="str">
        <x:v>горгонзола</x:v>
      </x:c>
      <x:c r="E213" s="28" t="str">
        <x:v>Прочее</x:v>
      </x:c>
      <x:c r="F213" s="28" t="str">
        <x:v>комплементарность ароматических семейств, вкусовой контраст и матричный эффект</x:v>
      </x:c>
      <x:c r="G21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Горгонзола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важны вода, жир, белок, сахар и температура.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21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21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3" s="28" t="str">
        <x:v>напиток, соус, десерт или горячее блюдо после пробной дегустации</x:v>
      </x:c>
      <x:c r="K213" s="28" t="str">
        <x:v>Средняя</x:v>
      </x:c>
      <x:c r="L213" s="28" t="str">
        <x:v>The Art &amp; Science of Foodpairing.pdf</x:v>
      </x:c>
      <x:c r="M213" s="28" t="str">
        <x:v>The Art &amp; Science of Foodpairing.pdf: 260–261</x:v>
      </x:c>
    </x:row>
    <x:row r="214" ht="64" customHeight="1">
      <x:c r="A214" s="28" t="str">
        <x:v>STN-0258</x:v>
      </x:c>
      <x:c r="B214" s="28" t="str">
        <x:v>нектарин</x:v>
      </x:c>
      <x:c r="C214" s="28" t="str">
        <x:v>нектарин</x:v>
      </x:c>
      <x:c r="D214" s="28" t="str">
        <x:v>гранат</x:v>
      </x:c>
      <x:c r="E214" s="28" t="str">
        <x:v>Субтропические фрукты</x:v>
      </x:c>
      <x:c r="F214" s="28" t="str">
        <x:v>прямое или классовое перекрытие характерных одорантов + вкусовой баланс</x:v>
      </x:c>
      <x:c r="G21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Гранат относится к группе «Субтропические фрукты» и даёт профиль «красно-фруктовый, цветочный, зелёный и винный»; типичные соединения или классы: гексаналь, (E)-2-гексеналь, эфиры, терпены; нелетучие пуникалагины и антоцианы. В рабочих профилях пересекаются: эфиры. Общие ароматические направления: цветочный,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яркая кислотность, сладость и выраженная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водный сок с полифенолами; семена дают хруст и лёгкую горечь.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H21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I21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4" s="28" t="str">
        <x:v>напиток, соус, десерт или горячее блюдо после пробной дегустации</x:v>
      </x:c>
      <x:c r="K214" s="28" t="str">
        <x:v>Средняя</x:v>
      </x:c>
      <x:c r="L214" s="28" t="str">
        <x:v>The Art &amp; Science of Foodpairing.pdf</x:v>
      </x:c>
      <x:c r="M214" s="28" t="str">
        <x:v>The Art &amp; Science of Foodpairing.pdf: 260–261</x:v>
      </x:c>
    </x:row>
    <x:row r="215" ht="64" customHeight="1">
      <x:c r="A215" s="28" t="str">
        <x:v>STN-0260</x:v>
      </x:c>
      <x:c r="B215" s="28" t="str">
        <x:v>нектарин</x:v>
      </x:c>
      <x:c r="C215" s="28" t="str">
        <x:v>нектарин</x:v>
      </x:c>
      <x:c r="D215" s="28" t="str">
        <x:v>груша</x:v>
      </x:c>
      <x:c r="E215" s="28" t="str">
        <x:v>Семечковые фрукты</x:v>
      </x:c>
      <x:c r="F215" s="28" t="str">
        <x:v>прямое или классовое перекрытие характерных одорантов + вкусовой баланс</x:v>
      </x:c>
      <x:c r="G21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Груша относится к группе «Семечковые фрукты» и даёт профиль «сочный фруктовый, цветочный, медовый, зелёный; у зрелых сортов — винный и пряный»; типичные соединения или классы: этил (E,Z)-2,4-декадиеноат («грушевый эфир»), гексилацетат, бутилацетат, гексаналь, линалоол. В рабочих профилях пересекаются: линалоол. Общие ароматические направления: цветочный,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мягкая сладость, умеренная кислотность, иногда лёгкая зернистость и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водная, богатая пектином и каменистыми клетками; летучие эфиры чувствительны к перегреву.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H21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I21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5" s="28" t="str">
        <x:v>напиток, соус, десерт или горячее блюдо после пробной дегустации</x:v>
      </x:c>
      <x:c r="K215" s="28" t="str">
        <x:v>Гипотеза / практическая</x:v>
      </x:c>
      <x:c r="L215" s="28" t="str">
        <x:v>The Art &amp; Science of Foodpairing.pdf</x:v>
      </x:c>
      <x:c r="M215" s="28" t="str">
        <x:v>The Art &amp; Science of Foodpairing.pdf: The Art &amp; Science of Foodpairing: 351</x:v>
      </x:c>
    </x:row>
    <x:row r="216" ht="64" customHeight="1">
      <x:c r="A216" s="28" t="str">
        <x:v>STN-0262</x:v>
      </x:c>
      <x:c r="B216" s="28" t="str">
        <x:v>нектарин</x:v>
      </x:c>
      <x:c r="C216" s="28" t="str">
        <x:v>нектарин</x:v>
      </x:c>
      <x:c r="D216" s="28" t="str">
        <x:v>грюйер</x:v>
      </x:c>
      <x:c r="E216" s="28" t="str">
        <x:v>Молочные продукты и сыры</x:v>
      </x:c>
      <x:c r="F216" s="28" t="str">
        <x:v>комплементарность ароматических семейств, вкусовой контраст и матричный эффект</x:v>
      </x:c>
      <x:c r="G21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Грюйер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жирный, кислый/солёный.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жировая и белковая матрица смягчает кислотность.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1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1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6" s="28" t="str">
        <x:v>напиток, соус, десерт или горячее блюдо после пробной дегустации</x:v>
      </x:c>
      <x:c r="K216" s="28" t="str">
        <x:v>Средняя</x:v>
      </x:c>
      <x:c r="L216" s="28" t="str">
        <x:v>The Art &amp; Science of Foodpairing.pdf</x:v>
      </x:c>
      <x:c r="M216" s="28" t="str">
        <x:v>The Art &amp; Science of Foodpairing.pdf: 260–261</x:v>
      </x:c>
    </x:row>
    <x:row r="217" ht="64" customHeight="1">
      <x:c r="A217" s="28" t="str">
        <x:v>STN-0263</x:v>
      </x:c>
      <x:c r="B217" s="28" t="str">
        <x:v>нектарин</x:v>
      </x:c>
      <x:c r="C217" s="28" t="str">
        <x:v>нектарин</x:v>
      </x:c>
      <x:c r="D217" s="28" t="str">
        <x:v>доджанг</x:v>
      </x:c>
      <x:c r="E217" s="28" t="str">
        <x:v>Ферментированные продукты, соусы и уксусы</x:v>
      </x:c>
      <x:c r="F217" s="28" t="str">
        <x:v>прямое или классовое перекрытие характерных одорантов + вкусовой баланс</x:v>
      </x:c>
      <x:c r="G21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Доджанг относится к группе «Ферментированные продукты, соусы и уксусы» и даёт профиль «кислый, умами, ферментированный»; типичные соединения или классы: аминокислоты, органические кислоты, эфиры. В рабочих профилях пересекаются: эфиры. Кислота, соль и умами усиливают контраст с фруктовой сладостью; сочетание работает в малой дозировке как приправа. Матрица пары: водно-пектиновая; гидрофобные лактоны лучше проявляются в жире и этаноле. Партнёр: вода, соль и продукты ферментации.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1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17" s="28" t="str">
        <x:v>не перегревать и не переслащивать; иначе исчезает свежая фруктовая детализация. Соль и кислота быстро становятся доминирующими; используйте как акцент.</x:v>
      </x:c>
      <x:c r="J217" s="28" t="str">
        <x:v>соус, глазировка, чатни, маринад, гарнир или основное блюдо</x:v>
      </x:c>
      <x:c r="K217" s="28" t="str">
        <x:v>Средняя</x:v>
      </x:c>
      <x:c r="L217" s="28" t="str">
        <x:v>The Art &amp; Science of Foodpairing.pdf</x:v>
      </x:c>
      <x:c r="M217" s="28" t="str">
        <x:v>The Art &amp; Science of Foodpairing.pdf: 260–261</x:v>
      </x:c>
    </x:row>
    <x:row r="218" ht="64" customHeight="1">
      <x:c r="A218" s="28" t="str">
        <x:v>STN-0266</x:v>
      </x:c>
      <x:c r="B218" s="28" t="str">
        <x:v>нектарин</x:v>
      </x:c>
      <x:c r="C218" s="28" t="str">
        <x:v>нектарин</x:v>
      </x:c>
      <x:c r="D218" s="28" t="str">
        <x:v>жареное филе куриной грудки</x:v>
      </x:c>
      <x:c r="E218" s="28" t="str">
        <x:v>Прочее</x:v>
      </x:c>
      <x:c r="F218" s="28" t="str">
        <x:v>комплементарность ароматических семейств, вкусовой контраст и матричный эффект</x:v>
      </x:c>
      <x:c r="G21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Жареное филе куриной грудки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важны вода, жир, белок, сахар и температура.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21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21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8" s="28" t="str">
        <x:v>напиток, соус, десерт или горячее блюдо после пробной дегустации</x:v>
      </x:c>
      <x:c r="K218" s="28" t="str">
        <x:v>Средняя</x:v>
      </x:c>
      <x:c r="L218" s="28" t="str">
        <x:v>The Art &amp; Science of Foodpairing.pdf</x:v>
      </x:c>
      <x:c r="M218" s="28" t="str">
        <x:v>The Art &amp; Science of Foodpairing.pdf: 260–261</x:v>
      </x:c>
    </x:row>
    <x:row r="219" ht="64" customHeight="1">
      <x:c r="A219" s="28" t="str">
        <x:v>STN-0267</x:v>
      </x:c>
      <x:c r="B219" s="28" t="str">
        <x:v>нектарин</x:v>
      </x:c>
      <x:c r="C219" s="28" t="str">
        <x:v>нектарин</x:v>
      </x:c>
      <x:c r="D219" s="28" t="str">
        <x:v>запеченная индейка</x:v>
      </x:c>
      <x:c r="E219" s="28" t="str">
        <x:v>Мясо и птица</x:v>
      </x:c>
      <x:c r="F219" s="28" t="str">
        <x:v>комплементарность ароматических семейств, вкусовой контраст и матричный эффект</x:v>
      </x:c>
      <x:c r="G21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Запеченная индейка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H219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I219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19" s="28" t="str">
        <x:v>соус, глазировка, чатни, маринад, гарнир или основное блюдо</x:v>
      </x:c>
      <x:c r="K219" s="28" t="str">
        <x:v>Средняя</x:v>
      </x:c>
      <x:c r="L219" s="28" t="str">
        <x:v>The Art &amp; Science of Foodpairing.pdf</x:v>
      </x:c>
      <x:c r="M219" s="28" t="str">
        <x:v>The Art &amp; Science of Foodpairing.pdf: 260–261</x:v>
      </x:c>
    </x:row>
    <x:row r="220" ht="64" customHeight="1">
      <x:c r="A220" s="28" t="str">
        <x:v>STN-0268</x:v>
      </x:c>
      <x:c r="B220" s="28" t="str">
        <x:v>нектарин</x:v>
      </x:c>
      <x:c r="C220" s="28" t="str">
        <x:v>нектарин</x:v>
      </x:c>
      <x:c r="D220" s="28" t="str">
        <x:v>запеченная кольраби</x:v>
      </x:c>
      <x:c r="E220" s="28" t="str">
        <x:v>Овощи и корнеплоды</x:v>
      </x:c>
      <x:c r="F220" s="28" t="str">
        <x:v>прямое или классовое перекрытие характерных одорантов + вкусовой баланс</x:v>
      </x:c>
      <x:c r="G22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Запеченная кольраби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2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2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0" s="28" t="str">
        <x:v>соус, глазировка, чатни, маринад, гарнир или основное блюдо</x:v>
      </x:c>
      <x:c r="K220" s="28" t="str">
        <x:v>Средняя</x:v>
      </x:c>
      <x:c r="L220" s="28" t="str">
        <x:v>The Art &amp; Science of Foodpairing.pdf</x:v>
      </x:c>
      <x:c r="M220" s="28" t="str">
        <x:v>The Art &amp; Science of Foodpairing.pdf: 260–261</x:v>
      </x:c>
    </x:row>
    <x:row r="221" ht="64" customHeight="1">
      <x:c r="A221" s="28" t="str">
        <x:v>STN-0269</x:v>
      </x:c>
      <x:c r="B221" s="28" t="str">
        <x:v>нектарин</x:v>
      </x:c>
      <x:c r="C221" s="28" t="str">
        <x:v>нектарин</x:v>
      </x:c>
      <x:c r="D221" s="28" t="str">
        <x:v>запеченный бекон</x:v>
      </x:c>
      <x:c r="E221" s="28" t="str">
        <x:v>Мясо и птица</x:v>
      </x:c>
      <x:c r="F221" s="28" t="str">
        <x:v>комплементарность ароматических семейств, вкусовой контраст и матричный эффект</x:v>
      </x:c>
      <x:c r="G22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Запеченный бекон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H221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I221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21" s="28" t="str">
        <x:v>соус, глазировка, чатни, маринад, гарнир или основное блюдо</x:v>
      </x:c>
      <x:c r="K221" s="28" t="str">
        <x:v>Средняя</x:v>
      </x:c>
      <x:c r="L221" s="28" t="str">
        <x:v>The Art &amp; Science of Foodpairing.pdf</x:v>
      </x:c>
      <x:c r="M221" s="28" t="str">
        <x:v>The Art &amp; Science of Foodpairing.pdf: 260–261</x:v>
      </x:c>
    </x:row>
    <x:row r="222" ht="64" customHeight="1">
      <x:c r="A222" s="28" t="str">
        <x:v>STN-0270</x:v>
      </x:c>
      <x:c r="B222" s="28" t="str">
        <x:v>нектарин</x:v>
      </x:c>
      <x:c r="C222" s="28" t="str">
        <x:v>нектарин</x:v>
      </x:c>
      <x:c r="D222" s="28" t="str">
        <x:v>запеченный морской петух</x:v>
      </x:c>
      <x:c r="E222" s="28" t="str">
        <x:v>Рыба и морепродукты</x:v>
      </x:c>
      <x:c r="F222" s="28" t="str">
        <x:v>комплементарность ароматических семейств, вкусовой контраст и матричный эффект</x:v>
      </x:c>
      <x:c r="G22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Запеченный морской петух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2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22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22" s="28" t="str">
        <x:v>соус, глазировка, чатни, маринад, гарнир или основное блюдо</x:v>
      </x:c>
      <x:c r="K222" s="28" t="str">
        <x:v>Средняя</x:v>
      </x:c>
      <x:c r="L222" s="28" t="str">
        <x:v>The Art &amp; Science of Foodpairing.pdf</x:v>
      </x:c>
      <x:c r="M222" s="28" t="str">
        <x:v>The Art &amp; Science of Foodpairing.pdf: 260–261</x:v>
      </x:c>
    </x:row>
    <x:row r="223" ht="64" customHeight="1">
      <x:c r="A223" s="28" t="str">
        <x:v>STN-0271</x:v>
      </x:c>
      <x:c r="B223" s="28" t="str">
        <x:v>нектарин</x:v>
      </x:c>
      <x:c r="C223" s="28" t="str">
        <x:v>нектарин</x:v>
      </x:c>
      <x:c r="D223" s="28" t="str">
        <x:v>зеленые водоросли</x:v>
      </x:c>
      <x:c r="E223" s="28" t="str">
        <x:v>Рыба и морепродукты</x:v>
      </x:c>
      <x:c r="F223" s="28" t="str">
        <x:v>комплементарность ароматических семейств, вкусовой контраст и матричный эффект</x:v>
      </x:c>
      <x:c r="G22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Зеленые водоросли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2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23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23" s="28" t="str">
        <x:v>соус, глазировка, чатни, маринад, гарнир или основное блюдо</x:v>
      </x:c>
      <x:c r="K223" s="28" t="str">
        <x:v>Средняя</x:v>
      </x:c>
      <x:c r="L223" s="28" t="str">
        <x:v>The Art &amp; Science of Foodpairing.pdf</x:v>
      </x:c>
      <x:c r="M223" s="28" t="str">
        <x:v>The Art &amp; Science of Foodpairing.pdf: 260–261</x:v>
      </x:c>
    </x:row>
    <x:row r="224" ht="64" customHeight="1">
      <x:c r="A224" s="28" t="str">
        <x:v>STN-0272</x:v>
      </x:c>
      <x:c r="B224" s="28" t="str">
        <x:v>нектарин</x:v>
      </x:c>
      <x:c r="C224" s="28" t="str">
        <x:v>нектарин</x:v>
      </x:c>
      <x:c r="D224" s="28" t="str">
        <x:v>зеленые оливки</x:v>
      </x:c>
      <x:c r="E224" s="28" t="str">
        <x:v>Овощи и корнеплоды</x:v>
      </x:c>
      <x:c r="F224" s="28" t="str">
        <x:v>прямое или классовое перекрытие характерных одорантов + вкусовой баланс</x:v>
      </x:c>
      <x:c r="G22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Зеленые оливки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2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2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4" s="28" t="str">
        <x:v>соус, глазировка, чатни, маринад, гарнир или основное блюдо</x:v>
      </x:c>
      <x:c r="K224" s="28" t="str">
        <x:v>Средняя</x:v>
      </x:c>
      <x:c r="L224" s="28" t="str">
        <x:v>The Art &amp; Science of Foodpairing.pdf</x:v>
      </x:c>
      <x:c r="M224" s="28" t="str">
        <x:v>The Art &amp; Science of Foodpairing.pdf: 260–261</x:v>
      </x:c>
    </x:row>
    <x:row r="225" ht="64" customHeight="1">
      <x:c r="A225" s="28" t="str">
        <x:v>STN-0274</x:v>
      </x:c>
      <x:c r="B225" s="28" t="str">
        <x:v>нектарин</x:v>
      </x:c>
      <x:c r="C225" s="28" t="str">
        <x:v>нектарин</x:v>
      </x:c>
      <x:c r="D225" s="28" t="str">
        <x:v>инжир</x:v>
      </x:c>
      <x:c r="E225" s="28" t="str">
        <x:v>Субтропические фрукты</x:v>
      </x:c>
      <x:c r="F225" s="28" t="str">
        <x:v>прямое или классовое перекрытие характерных одорантов + вкусовой баланс</x:v>
      </x:c>
      <x:c r="G22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бензальдегид, линалоол. Общие ароматические направления: цветочный, лактонный,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сладость, низкая кислотность; семена дают хруст.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пектиновая и сахаристая; сушёный инжир концентрирует сахар, фенолы и карамельные ноты.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22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22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5" s="28" t="str">
        <x:v>напиток, соус, десерт или горячее блюдо после пробной дегустации</x:v>
      </x:c>
      <x:c r="K225" s="28" t="str">
        <x:v>Гипотеза / практическая</x:v>
      </x:c>
      <x:c r="L225" s="28" t="str">
        <x:v>Таблица сочетания(1).pdf</x:v>
      </x:c>
      <x:c r="M225" s="28" t="str">
        <x:v>Таблица сочетания(1).pdf: Таблица сочетаний: 14 | Таблица сочетания(1).pdf: 14</x:v>
      </x:c>
    </x:row>
    <x:row r="226" ht="64" customHeight="1">
      <x:c r="A226" s="28" t="str">
        <x:v>STN-0275</x:v>
      </x:c>
      <x:c r="B226" s="28" t="str">
        <x:v>нектарин</x:v>
      </x:c>
      <x:c r="C226" s="28" t="str">
        <x:v>нектарин</x:v>
      </x:c>
      <x:c r="D226" s="28" t="str">
        <x:v>канталупа</x:v>
      </x:c>
      <x:c r="E226" s="28" t="str">
        <x:v>Бахчевые</x:v>
      </x:c>
      <x:c r="F226" s="28" t="str">
        <x:v>прямое или классовое перекрытие характерных одорантов + вкусовой баланс</x:v>
      </x:c>
      <x:c r="G22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Канталупа относится к группе «Бахчевые» и даёт профиль «интенсивно сладкий, мускусный, цветочный и зелёный»; типичные соединения или классы: этил-2-метилбутират, этилбутират, C9-альдегиды, тиоэфиры. В рабочих профилях пересекаются: эфиры.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выраженная сладость и слабая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мягкая; аромат быстро улетучивается после нарезки.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H22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I22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6" s="28" t="str">
        <x:v>напиток, соус, десерт или горячее блюдо после пробной дегустации</x:v>
      </x:c>
      <x:c r="K226" s="28" t="str">
        <x:v>Средняя</x:v>
      </x:c>
      <x:c r="L226" s="28" t="str">
        <x:v>The Art &amp; Science of Foodpairing.pdf</x:v>
      </x:c>
      <x:c r="M226" s="28" t="str">
        <x:v>The Art &amp; Science of Foodpairing.pdf: 260–261</x:v>
      </x:c>
    </x:row>
    <x:row r="227" ht="64" customHeight="1">
      <x:c r="A227" s="28" t="str">
        <x:v>STN-0276</x:v>
      </x:c>
      <x:c r="B227" s="28" t="str">
        <x:v>нектарин</x:v>
      </x:c>
      <x:c r="C227" s="28" t="str">
        <x:v>нектарин</x:v>
      </x:c>
      <x:c r="D227" s="28" t="str">
        <x:v>карамель</x:v>
      </x:c>
      <x:c r="E227" s="28" t="str">
        <x:v>Сахара, мёд и кондитерские основы</x:v>
      </x:c>
      <x:c r="F227" s="28" t="str">
        <x:v>комплементарность ароматических семейств, вкусовой контраст и матричный эффект</x:v>
      </x:c>
      <x:c r="G22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вязкая сахарная; снижает летучесть и смягчает кислоту.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2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2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7" s="28" t="str">
        <x:v>напиток, соус, десерт или горячее блюдо после пробной дегустации</x:v>
      </x:c>
      <x:c r="K227" s="28" t="str">
        <x:v>Гипотеза / практическая</x:v>
      </x:c>
      <x:c r="L227" s="28" t="str">
        <x:v>Таблица сочетания(1).pdf</x:v>
      </x:c>
      <x:c r="M227" s="28" t="str">
        <x:v>Таблица сочетания(1).pdf: 14</x:v>
      </x:c>
    </x:row>
    <x:row r="228" ht="64" customHeight="1">
      <x:c r="A228" s="28" t="str">
        <x:v>STN-0277</x:v>
      </x:c>
      <x:c r="B228" s="28" t="str">
        <x:v>нектарин</x:v>
      </x:c>
      <x:c r="C228" s="28" t="str">
        <x:v>нектарин</x:v>
      </x:c>
      <x:c r="D228" s="28" t="str">
        <x:v>кардамон</x:v>
      </x:c>
      <x:c r="E228" s="28" t="str">
        <x:v>Специи и острые компоненты</x:v>
      </x:c>
      <x:c r="F228" s="28" t="str">
        <x:v>прямое или классовое перекрытие характерных одорантов + вкусовой баланс</x:v>
      </x:c>
      <x:c r="G22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Кардамон относится к группе «Специи и острые компоненты» и даёт профиль «цитрусовый, камфорный и цветочный»; типичные соединения или классы: 1,8-цинеол, α-терпинилацетат, линалоол. В рабочих профилях пересекаются: линалоол.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28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28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28" s="28" t="str">
        <x:v>напиток, соус, десерт или горячее блюдо после пробной дегустации</x:v>
      </x:c>
      <x:c r="K228" s="28" t="str">
        <x:v>Гипотеза / практическая</x:v>
      </x:c>
      <x:c r="L228" s="28" t="str">
        <x:v>Таблица сочетания(1).pdf</x:v>
      </x:c>
      <x:c r="M228" s="28" t="str">
        <x:v>Таблица сочетания(1).pdf: 14</x:v>
      </x:c>
    </x:row>
    <x:row r="229" ht="64" customHeight="1">
      <x:c r="A229" s="28" t="str">
        <x:v>STN-0278</x:v>
      </x:c>
      <x:c r="B229" s="28" t="str">
        <x:v>нектарин</x:v>
      </x:c>
      <x:c r="C229" s="28" t="str">
        <x:v>нектарин</x:v>
      </x:c>
      <x:c r="D229" s="28" t="str">
        <x:v>кедровый орех</x:v>
      </x:c>
      <x:c r="E229" s="28" t="str">
        <x:v>Орехи и семена</x:v>
      </x:c>
      <x:c r="F229" s="28" t="str">
        <x:v>прямое или классовое перекрытие характерных одорантов + вкусовой баланс</x:v>
      </x:c>
      <x:c r="G22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Кедровый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2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29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J229" s="28" t="str">
        <x:v>тарт, крем, мороженое, выпечка, сырная подача или начинка</x:v>
      </x:c>
      <x:c r="K229" s="28" t="str">
        <x:v>Средняя</x:v>
      </x:c>
      <x:c r="L229" s="28" t="str">
        <x:v>The Art &amp; Science of Foodpairing.pdf</x:v>
      </x:c>
      <x:c r="M229" s="28" t="str">
        <x:v>The Art &amp; Science of Foodpairing.pdf: 260–261</x:v>
      </x:c>
    </x:row>
    <x:row r="230" ht="64" customHeight="1">
      <x:c r="A230" s="28" t="str">
        <x:v>STN-0279</x:v>
      </x:c>
      <x:c r="B230" s="28" t="str">
        <x:v>нектарин</x:v>
      </x:c>
      <x:c r="C230" s="28" t="str">
        <x:v>нектарин</x:v>
      </x:c>
      <x:c r="D230" s="28" t="str">
        <x:v>кейл на пару</x:v>
      </x:c>
      <x:c r="E230" s="28" t="str">
        <x:v>Овощи и корнеплоды</x:v>
      </x:c>
      <x:c r="F230" s="28" t="str">
        <x:v>прямое или классовое перекрытие характерных одорантов + вкусовой баланс</x:v>
      </x:c>
      <x:c r="G23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Кейл на пару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3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3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0" s="28" t="str">
        <x:v>соус, глазировка, чатни, маринад, гарнир или основное блюдо</x:v>
      </x:c>
      <x:c r="K230" s="28" t="str">
        <x:v>Средняя</x:v>
      </x:c>
      <x:c r="L230" s="28" t="str">
        <x:v>The Art &amp; Science of Foodpairing.pdf</x:v>
      </x:c>
      <x:c r="M230" s="28" t="str">
        <x:v>The Art &amp; Science of Foodpairing.pdf: 260–261</x:v>
      </x:c>
    </x:row>
    <x:row r="231" ht="64" customHeight="1">
      <x:c r="A231" s="28" t="str">
        <x:v>STN-0280</x:v>
      </x:c>
      <x:c r="B231" s="28" t="str">
        <x:v>нектарин</x:v>
      </x:c>
      <x:c r="C231" s="28" t="str">
        <x:v>нектарин</x:v>
      </x:c>
      <x:c r="D231" s="28" t="str">
        <x:v>кефир</x:v>
      </x:c>
      <x:c r="E231" s="28" t="str">
        <x:v>Сыры и молочные продукты</x:v>
      </x:c>
      <x:c r="F231" s="28" t="str">
        <x:v>комплементарность ароматических семейств, вкусовой контраст и матричный эффект</x:v>
      </x:c>
      <x:c r="G23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Кефир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 Обработка: 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H231" s="28" t="str">
        <x:v>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I231" s="28" t="str">
        <x:v>не перегревать и не переслащивать; иначе исчезает свежая фруктовая детализация. Избыток кислоты может свернуть молочную основу; фрукт и сыр проверяют при рабочей температуре.</x:v>
      </x:c>
      <x:c r="J231" s="28" t="str">
        <x:v>тарт, крем, мороженое, выпечка, сырная подача или начинка</x:v>
      </x:c>
      <x:c r="K231" s="28" t="str">
        <x:v>Средняя</x:v>
      </x:c>
      <x:c r="L231" s="28" t="str">
        <x:v>The Art &amp; Science of Foodpairing.pdf</x:v>
      </x:c>
      <x:c r="M231" s="28" t="str">
        <x:v>The Art &amp; Science of Foodpairing.pdf: 260–261</x:v>
      </x:c>
    </x:row>
    <x:row r="232" ht="64" customHeight="1">
      <x:c r="A232" s="28" t="str">
        <x:v>STN-0281</x:v>
      </x:c>
      <x:c r="B232" s="28" t="str">
        <x:v>нектарин</x:v>
      </x:c>
      <x:c r="C232" s="28" t="str">
        <x:v>нектарин</x:v>
      </x:c>
      <x:c r="D232" s="28" t="str">
        <x:v>киви</x:v>
      </x:c>
      <x:c r="E232" s="28" t="str">
        <x:v>Тропические и субтропические фрукты</x:v>
      </x:c>
      <x:c r="F232" s="28" t="str">
        <x:v>прямое или классовое перекрытие характерных одорантов + вкусовой баланс</x:v>
      </x:c>
      <x:c r="G23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Киви относится к группе «Тропические и субтропические фрукты» и даёт профиль «зелёный, травянистый, цитрусовый, фруктовый и слегка морской»; типичные соединения или классы: гексаналь, (E)-2-гексеналь, этилбутират, метилбутират, линалоол; фермент актинидин. В рабочих профилях пересекаются: линалоол. Общие ароматические направления: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кислотность, сладость и выраженная свежесть.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водная; содержит протеазу актинидин и кристаллы оксалата кальция.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H23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I23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2" s="28" t="str">
        <x:v>напиток, соус, десерт или горячее блюдо после пробной дегустации</x:v>
      </x:c>
      <x:c r="K232" s="28" t="str">
        <x:v>Средняя</x:v>
      </x:c>
      <x:c r="L232" s="28" t="str">
        <x:v>The Art &amp; Science of Foodpairing.pdf</x:v>
      </x:c>
      <x:c r="M232" s="28" t="str">
        <x:v>The Art &amp; Science of Foodpairing.pdf: 260–261</x:v>
      </x:c>
    </x:row>
    <x:row r="233" ht="64" customHeight="1">
      <x:c r="A233" s="28" t="str">
        <x:v>STN-0282</x:v>
      </x:c>
      <x:c r="B233" s="28" t="str">
        <x:v>нектарин</x:v>
      </x:c>
      <x:c r="C233" s="28" t="str">
        <x:v>нектарин</x:v>
      </x:c>
      <x:c r="D233" s="28" t="str">
        <x:v>кимчи из пекинской капусты</x:v>
      </x:c>
      <x:c r="E233" s="28" t="str">
        <x:v>Ферментированные продукты, соусы и уксусы</x:v>
      </x:c>
      <x:c r="F233" s="28" t="str">
        <x:v>прямое или классовое перекрытие характерных одорантов + вкусовой баланс</x:v>
      </x:c>
      <x:c r="G23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Кимчи из пекинской капусты относится к группе «Ферментированные продукты, соусы и уксусы» и даёт профиль «кислый, умами, ферментированный, солёный»; типичные соединения или классы: уксусная кислота, эфиры, аминокислотные и ферментационные соединения. В рабочих профилях пересекаются: эфиры. Кислота, соль и умами усиливают контраст с фруктовой сладостью; сочетание работает в малой дозировке как приправа. Матрица пары: водно-пектиновая; гидрофобные лактоны лучше проявляются в жире и этаноле. Партнёр: водная и солевая матрица; часть ароматов удерживается белком и сахаром.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3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33" s="28" t="str">
        <x:v>не перегревать и не переслащивать; иначе исчезает свежая фруктовая детализация. Соль и кислота быстро становятся доминирующими; используйте как акцент.</x:v>
      </x:c>
      <x:c r="J233" s="28" t="str">
        <x:v>соус, глазировка, чатни, маринад, гарнир или основное блюдо</x:v>
      </x:c>
      <x:c r="K233" s="28" t="str">
        <x:v>Средняя</x:v>
      </x:c>
      <x:c r="L233" s="28" t="str">
        <x:v>The Art &amp; Science of Foodpairing.pdf</x:v>
      </x:c>
      <x:c r="M233" s="28" t="str">
        <x:v>The Art &amp; Science of Foodpairing.pdf: 304</x:v>
      </x:c>
    </x:row>
    <x:row r="234" ht="64" customHeight="1">
      <x:c r="A234" s="28" t="str">
        <x:v>STN-0283</x:v>
      </x:c>
      <x:c r="B234" s="28" t="str">
        <x:v>нектарин</x:v>
      </x:c>
      <x:c r="C234" s="28" t="str">
        <x:v>нектарин</x:v>
      </x:c>
      <x:c r="D234" s="28" t="str">
        <x:v>кленовый сироп</x:v>
      </x:c>
      <x:c r="E234" s="28" t="str">
        <x:v>Сахара, мёд и кондитерские основы</x:v>
      </x:c>
      <x:c r="F234" s="28" t="str">
        <x:v>комплементарность ароматических семейств, вкусовой контраст и матричный эффект</x:v>
      </x:c>
      <x:c r="G23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вязкая сахарная; снижает летучесть и смягчает кислоту.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3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3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4" s="28" t="str">
        <x:v>напиток, соус, десерт или горячее блюдо после пробной дегустации</x:v>
      </x:c>
      <x:c r="K234" s="28" t="str">
        <x:v>Гипотеза / практическая</x:v>
      </x:c>
      <x:c r="L234" s="28" t="str">
        <x:v>Таблица сочетания(1).pdf</x:v>
      </x:c>
      <x:c r="M234" s="28" t="str">
        <x:v>Таблица сочетания(1).pdf: 14</x:v>
      </x:c>
    </x:row>
    <x:row r="235" ht="64" customHeight="1">
      <x:c r="A235" s="28" t="str">
        <x:v>STN-0286</x:v>
      </x:c>
      <x:c r="B235" s="28" t="str">
        <x:v>нектарин</x:v>
      </x:c>
      <x:c r="C235" s="28" t="str">
        <x:v>нектарин</x:v>
      </x:c>
      <x:c r="D235" s="28" t="str">
        <x:v>кокос</x:v>
      </x:c>
      <x:c r="E235" s="28" t="str">
        <x:v>Тропические фрукты и жирные матрицы</x:v>
      </x:c>
      <x:c r="F235" s="28" t="str">
        <x:v>прямое или классовое перекрытие характерных одорантов + вкусовой баланс</x:v>
      </x:c>
      <x:c r="G23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В рабочих профилях пересекаются: декалактон.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богатая жиром эмульсия; хорошо растворяет гидрофобные терпены, специи и ароматические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23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23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5" s="28" t="str">
        <x:v>напиток, соус, десерт или горячее блюдо после пробной дегустации</x:v>
      </x:c>
      <x:c r="K235" s="28" t="str">
        <x:v>Гипотеза / практическая</x:v>
      </x:c>
      <x:c r="L235" s="28" t="str">
        <x:v>Таблица сочетания(1).pdf</x:v>
      </x:c>
      <x:c r="M235" s="28" t="str">
        <x:v>Таблица сочетания(1).pdf: Таблица сочетаний: 14 | Таблица сочетания(1).pdf: 14</x:v>
      </x:c>
    </x:row>
    <x:row r="236" ht="64" customHeight="1">
      <x:c r="A236" s="28" t="str">
        <x:v>STN-0287</x:v>
      </x:c>
      <x:c r="B236" s="28" t="str">
        <x:v>нектарин</x:v>
      </x:c>
      <x:c r="C236" s="28" t="str">
        <x:v>нектарин</x:v>
      </x:c>
      <x:c r="D236" s="28" t="str">
        <x:v>корица</x:v>
      </x:c>
      <x:c r="E236" s="28" t="str">
        <x:v>Специи и острые компоненты</x:v>
      </x:c>
      <x:c r="F236" s="28" t="str">
        <x:v>комплементарность ароматических семейств, вкусовой контраст и матричный эффект</x:v>
      </x:c>
      <x:c r="G23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36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36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36" s="28" t="str">
        <x:v>напиток, соус, десерт или горячее блюдо после пробной дегустации</x:v>
      </x:c>
      <x:c r="K236" s="28" t="str">
        <x:v>Гипотеза / практическая</x:v>
      </x:c>
      <x:c r="L236" s="28" t="str">
        <x:v>Таблица сочетания(1).pdf</x:v>
      </x:c>
      <x:c r="M236" s="28" t="str">
        <x:v>Таблица сочетания(1).pdf: 14</x:v>
      </x:c>
    </x:row>
    <x:row r="237" ht="64" customHeight="1">
      <x:c r="A237" s="28" t="str">
        <x:v>STN-0288</x:v>
      </x:c>
      <x:c r="B237" s="28" t="str">
        <x:v>нектарин</x:v>
      </x:c>
      <x:c r="C237" s="28" t="str">
        <x:v>нектарин</x:v>
      </x:c>
      <x:c r="D237" s="28" t="str">
        <x:v>краснокочанная капуста</x:v>
      </x:c>
      <x:c r="E237" s="28" t="str">
        <x:v>Овощи и корнеплоды</x:v>
      </x:c>
      <x:c r="F237" s="28" t="str">
        <x:v>прямое или классовое перекрытие характерных одорантов + вкусовой баланс</x:v>
      </x:c>
      <x:c r="G23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Краснокочанная капуста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3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3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7" s="28" t="str">
        <x:v>соус, глазировка, чатни, маринад, гарнир или основное блюдо</x:v>
      </x:c>
      <x:c r="K237" s="28" t="str">
        <x:v>Средняя</x:v>
      </x:c>
      <x:c r="L237" s="28" t="str">
        <x:v>The Art &amp; Science of Foodpairing.pdf</x:v>
      </x:c>
      <x:c r="M237" s="28" t="str">
        <x:v>The Art &amp; Science of Foodpairing.pdf: 260–261</x:v>
      </x:c>
    </x:row>
    <x:row r="238" ht="64" customHeight="1">
      <x:c r="A238" s="28" t="str">
        <x:v>STN-0289</x:v>
      </x:c>
      <x:c r="B238" s="28" t="str">
        <x:v>нектарин</x:v>
      </x:c>
      <x:c r="C238" s="28" t="str">
        <x:v>нектарин</x:v>
      </x:c>
      <x:c r="D238" s="28" t="str">
        <x:v>лемонграсс</x:v>
      </x:c>
      <x:c r="E238" s="28" t="str">
        <x:v>Травы и цветы</x:v>
      </x:c>
      <x:c r="F238" s="28" t="str">
        <x:v>прямое или классовое перекрытие характерных одорантов + вкусовой баланс</x:v>
      </x:c>
      <x:c r="G23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Лемонграсс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3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3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8" s="28" t="str">
        <x:v>напиток, соус, десерт или горячее блюдо после пробной дегустации</x:v>
      </x:c>
      <x:c r="K238" s="28" t="str">
        <x:v>Средняя</x:v>
      </x:c>
      <x:c r="L238" s="28" t="str">
        <x:v>The Art &amp; Science of Foodpairing.pdf</x:v>
      </x:c>
      <x:c r="M238" s="28" t="str">
        <x:v>The Art &amp; Science of Foodpairing.pdf: 146</x:v>
      </x:c>
    </x:row>
    <x:row r="239" ht="64" customHeight="1">
      <x:c r="A239" s="28" t="str">
        <x:v>STN-0292</x:v>
      </x:c>
      <x:c r="B239" s="28" t="str">
        <x:v>нектарин</x:v>
      </x:c>
      <x:c r="C239" s="28" t="str">
        <x:v>нектарин</x:v>
      </x:c>
      <x:c r="D239" s="28" t="str">
        <x:v>лист шисо</x:v>
      </x:c>
      <x:c r="E239" s="28" t="str">
        <x:v>Травы, листья и цветы</x:v>
      </x:c>
      <x:c r="F239" s="28" t="str">
        <x:v>прямое или классовое перекрытие характерных одорантов + вкусовой баланс</x:v>
      </x:c>
      <x:c r="G23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Лист шисо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239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23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9" s="28" t="str">
        <x:v>напиток, соус, десерт или горячее блюдо после пробной дегустации</x:v>
      </x:c>
      <x:c r="K239" s="28" t="str">
        <x:v>Средняя</x:v>
      </x:c>
      <x:c r="L239" s="28" t="str">
        <x:v>The Art &amp; Science of Foodpairing.pdf</x:v>
      </x:c>
      <x:c r="M239" s="28" t="str">
        <x:v>The Art &amp; Science of Foodpairing.pdf: 260–261</x:v>
      </x:c>
    </x:row>
    <x:row r="240" ht="64" customHeight="1">
      <x:c r="A240" s="28" t="str">
        <x:v>STN-0293</x:v>
      </x:c>
      <x:c r="B240" s="28" t="str">
        <x:v>нектарин</x:v>
      </x:c>
      <x:c r="C240" s="28" t="str">
        <x:v>нектарин</x:v>
      </x:c>
      <x:c r="D240" s="28" t="str">
        <x:v>листья кориандра</x:v>
      </x:c>
      <x:c r="E240" s="28" t="str">
        <x:v>Травы/пряности</x:v>
      </x:c>
      <x:c r="F240" s="28" t="str">
        <x:v>комплементарность ароматических семейств, вкусовой контраст и матричный эффект</x:v>
      </x:c>
      <x:c r="G24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Листья кориандра относится к группе «Травы/пряности» и даёт профиль «цитрусовый, зелёный, цветочный»; типичные соединения или классы: линалол, деканаль, додеканаль.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травяной, слегка горький.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листья чувствительны к нагреву; семена устойчивее и слаще.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H24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I24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0" s="28" t="str">
        <x:v>напиток, соус, десерт или горячее блюдо после пробной дегустации</x:v>
      </x:c>
      <x:c r="K240" s="28" t="str">
        <x:v>Средняя</x:v>
      </x:c>
      <x:c r="L240" s="28" t="str">
        <x:v>The Art &amp; Science of Foodpairing.pdf</x:v>
      </x:c>
      <x:c r="M240" s="28" t="str">
        <x:v>The Art &amp; Science of Foodpairing.pdf: 99 | The Art &amp; Science of Foodpairing.pdf: 260–261</x:v>
      </x:c>
    </x:row>
    <x:row r="241" ht="64" customHeight="1">
      <x:c r="A241" s="28" t="str">
        <x:v>STN-0294</x:v>
      </x:c>
      <x:c r="B241" s="28" t="str">
        <x:v>нектарин</x:v>
      </x:c>
      <x:c r="C241" s="28" t="str">
        <x:v>нектарин</x:v>
      </x:c>
      <x:c r="D241" s="28" t="str">
        <x:v>листья пажитника</x:v>
      </x:c>
      <x:c r="E241" s="28" t="str">
        <x:v>Травы и цветы</x:v>
      </x:c>
      <x:c r="F241" s="28" t="str">
        <x:v>прямое или классовое перекрытие характерных одорантов + вкусовой баланс</x:v>
      </x:c>
      <x:c r="G24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Листья пажитника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4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4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1" s="28" t="str">
        <x:v>напиток, соус, десерт или горячее блюдо после пробной дегустации</x:v>
      </x:c>
      <x:c r="K241" s="28" t="str">
        <x:v>Средняя</x:v>
      </x:c>
      <x:c r="L241" s="28" t="str">
        <x:v>The Art &amp; Science of Foodpairing.pdf</x:v>
      </x:c>
      <x:c r="M241" s="28" t="str">
        <x:v>The Art &amp; Science of Foodpairing.pdf: 260–261</x:v>
      </x:c>
    </x:row>
    <x:row r="242" ht="64" customHeight="1">
      <x:c r="A242" s="28" t="str">
        <x:v>STN-0295</x:v>
      </x:c>
      <x:c r="B242" s="28" t="str">
        <x:v>нектарин</x:v>
      </x:c>
      <x:c r="C242" s="28" t="str">
        <x:v>нектарин</x:v>
      </x:c>
      <x:c r="D242" s="28" t="str">
        <x:v>личи</x:v>
      </x:c>
      <x:c r="E242" s="28" t="str">
        <x:v>Тропические фрукты</x:v>
      </x:c>
      <x:c r="F242" s="28" t="str">
        <x:v>прямое или классовое перекрытие характерных одорантов + вкусовой баланс</x:v>
      </x:c>
      <x:c r="G24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Личи относится к группе «Тропические фрукты» и даёт профиль «розовый, цветочный, виноградный и цитрусовый»; типичные соединения или классы: цис- и транс-розовый оксид, линалоол, гераниол, цитронеллол. В рабочих профилях пересекаются: линалоол.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чистая сладость, мягкая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водная; цветочные терпены чувствительны к нагреву.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H24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I24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2" s="28" t="str">
        <x:v>напиток, соус, десерт или горячее блюдо после пробной дегустации</x:v>
      </x:c>
      <x:c r="K242" s="28" t="str">
        <x:v>Средняя</x:v>
      </x:c>
      <x:c r="L242" s="28" t="str">
        <x:v>The Art &amp; Science of Foodpairing.pdf</x:v>
      </x:c>
      <x:c r="M242" s="28" t="str">
        <x:v>The Art &amp; Science of Foodpairing.pdf: 260–261</x:v>
      </x:c>
    </x:row>
    <x:row r="243" ht="64" customHeight="1">
      <x:c r="A243" s="28" t="str">
        <x:v>STN-0298</x:v>
      </x:c>
      <x:c r="B243" s="28" t="str">
        <x:v>нектарин</x:v>
      </x:c>
      <x:c r="C243" s="28" t="str">
        <x:v>нектарин</x:v>
      </x:c>
      <x:c r="D243" s="28" t="str">
        <x:v>мед</x:v>
      </x:c>
      <x:c r="E243" s="28" t="str">
        <x:v>Сахара, мёд и кондитерские основы</x:v>
      </x:c>
      <x:c r="F243" s="28" t="str">
        <x:v>комплементарность ароматических семейств, вкусовой контраст и матричный эффект</x:v>
      </x:c>
      <x:c r="G24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вязкая сахарная; снижает летучесть и смягчает кислоту.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4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4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3" s="28" t="str">
        <x:v>напиток, соус, десерт или горячее блюдо после пробной дегустации</x:v>
      </x:c>
      <x:c r="K243" s="28" t="str">
        <x:v>Гипотеза / практическая</x:v>
      </x:c>
      <x:c r="L243" s="28" t="str">
        <x:v>Таблица сочетания(1).pdf</x:v>
      </x:c>
      <x:c r="M243" s="28" t="str">
        <x:v>Таблица сочетания(1).pdf: 14</x:v>
      </x:c>
    </x:row>
    <x:row r="244" ht="64" customHeight="1">
      <x:c r="A244" s="28" t="str">
        <x:v>STN-0299</x:v>
      </x:c>
      <x:c r="B244" s="28" t="str">
        <x:v>нектарин</x:v>
      </x:c>
      <x:c r="C244" s="28" t="str">
        <x:v>нектарин</x:v>
      </x:c>
      <x:c r="D244" s="28" t="str">
        <x:v>миндаль</x:v>
      </x:c>
      <x:c r="E244" s="28" t="str">
        <x:v>Орехи и семена</x:v>
      </x:c>
      <x:c r="F244" s="28" t="str">
        <x:v>прямое или классовое перекрытие характерных одорантов + вкусовой баланс</x:v>
      </x:c>
      <x:c r="G24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Миндаль относится к группе «Орехи и семена» и даёт профиль «марципановый и ореховый»; типичные соединения или классы: бензальдегид, пиразины после обжарки.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4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44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J244" s="28" t="str">
        <x:v>тарт, крем, мороженое, выпечка, сырная подача или начинка</x:v>
      </x:c>
      <x:c r="K244" s="28" t="str">
        <x:v>Высокая</x:v>
      </x:c>
      <x:c r="L244" s="28" t="str">
        <x:v>The Art &amp; Science of Foodpairing.pdf | Таблица сочетания(1).pdf</x:v>
      </x:c>
      <x:c r="M244" s="28" t="str">
        <x:v>Таблица сочетания(1).pdf: 14 | The Art &amp; Science of Foodpairing.pdf: 260–261</x:v>
      </x:c>
    </x:row>
    <x:row r="245" ht="64" customHeight="1">
      <x:c r="A245" s="28" t="str">
        <x:v>STN-0301</x:v>
      </x:c>
      <x:c r="B245" s="28" t="str">
        <x:v>нектарин</x:v>
      </x:c>
      <x:c r="C245" s="28" t="str">
        <x:v>нектарин</x:v>
      </x:c>
      <x:c r="D245" s="28" t="str">
        <x:v>моцарелла из коровьего молока</x:v>
      </x:c>
      <x:c r="E245" s="28" t="str">
        <x:v>Сыры и молочные продукты</x:v>
      </x:c>
      <x:c r="F245" s="28" t="str">
        <x:v>комплементарность ароматических семейств, вкусовой контраст и матричный эффект</x:v>
      </x:c>
      <x:c r="G24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Моцарелла из коровьего молока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 Обработка: 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H245" s="28" t="str">
        <x:v>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I245" s="28" t="str">
        <x:v>не перегревать и не переслащивать; иначе исчезает свежая фруктовая детализация. Избыток кислоты может свернуть молочную основу; фрукт и сыр проверяют при рабочей температуре.</x:v>
      </x:c>
      <x:c r="J245" s="28" t="str">
        <x:v>тарт, крем, мороженое, выпечка, сырная подача или начинка</x:v>
      </x:c>
      <x:c r="K245" s="28" t="str">
        <x:v>Средняя</x:v>
      </x:c>
      <x:c r="L245" s="28" t="str">
        <x:v>The Art &amp; Science of Foodpairing.pdf</x:v>
      </x:c>
      <x:c r="M245" s="28" t="str">
        <x:v>The Art &amp; Science of Foodpairing.pdf: 260–261</x:v>
      </x:c>
    </x:row>
    <x:row r="246" ht="64" customHeight="1">
      <x:c r="A246" s="28" t="str">
        <x:v>STN-0302</x:v>
      </x:c>
      <x:c r="B246" s="28" t="str">
        <x:v>нектарин</x:v>
      </x:c>
      <x:c r="C246" s="28" t="str">
        <x:v>нектарин</x:v>
      </x:c>
      <x:c r="D246" s="28" t="str">
        <x:v>мускатный орех</x:v>
      </x:c>
      <x:c r="E246" s="28" t="str">
        <x:v>Орехи и семена</x:v>
      </x:c>
      <x:c r="F246" s="28" t="str">
        <x:v>прямое или классовое перекрытие характерных одорантов + вкусовой баланс</x:v>
      </x:c>
      <x:c r="G24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Мускатный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4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46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J246" s="28" t="str">
        <x:v>тарт, крем, мороженое, выпечка, сырная подача или начинка</x:v>
      </x:c>
      <x:c r="K246" s="28" t="str">
        <x:v>Средняя</x:v>
      </x:c>
      <x:c r="L246" s="28" t="str">
        <x:v>The Art &amp; Science of Foodpairing.pdf</x:v>
      </x:c>
      <x:c r="M246" s="28" t="str">
        <x:v>The Art &amp; Science of Foodpairing.pdf: 260–261</x:v>
      </x:c>
    </x:row>
    <x:row r="247" ht="64" customHeight="1">
      <x:c r="A247" s="28" t="str">
        <x:v>STN-0304</x:v>
      </x:c>
      <x:c r="B247" s="28" t="str">
        <x:v>нектарин</x:v>
      </x:c>
      <x:c r="C247" s="28" t="str">
        <x:v>нектарин</x:v>
      </x:c>
      <x:c r="D247" s="28" t="str">
        <x:v>мята</x:v>
      </x:c>
      <x:c r="E247" s="28" t="str">
        <x:v>Травы и цветы</x:v>
      </x:c>
      <x:c r="F247" s="28" t="str">
        <x:v>комплементарность ароматических семейств, вкусовой контраст и матричный эффект</x:v>
      </x:c>
      <x:c r="G24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4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4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7" s="28" t="str">
        <x:v>напиток, соус, десерт или горячее блюдо после пробной дегустации</x:v>
      </x:c>
      <x:c r="K247" s="28" t="str">
        <x:v>Гипотеза / практическая</x:v>
      </x:c>
      <x:c r="L247" s="28" t="str">
        <x:v>Таблица сочетания(1).pdf</x:v>
      </x:c>
      <x:c r="M247" s="28" t="str">
        <x:v>Таблица сочетания(1).pdf: 14</x:v>
      </x:c>
    </x:row>
    <x:row r="248" ht="64" customHeight="1">
      <x:c r="A248" s="28" t="str">
        <x:v>STN-0305</x:v>
      </x:c>
      <x:c r="B248" s="28" t="str">
        <x:v>нектарин</x:v>
      </x:c>
      <x:c r="C248" s="28" t="str">
        <x:v>нектарин</x:v>
      </x:c>
      <x:c r="D248" s="28" t="str">
        <x:v>обжаренные миндальные лепестки</x:v>
      </x:c>
      <x:c r="E248" s="28" t="str">
        <x:v>Орехи и семена</x:v>
      </x:c>
      <x:c r="F248" s="28" t="str">
        <x:v>прямое или классовое перекрытие характерных одорантов + вкусовой баланс</x:v>
      </x:c>
      <x:c r="G24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Обжаренные миндальные лепестки относится к группе «Орехи и семена» и даёт профиль «ореховый, жареный, древесный, иногда миндальный»; типичные соединения или классы: бензальдегид, пиразины, фураны, лактоны и липидные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4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48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J248" s="28" t="str">
        <x:v>тарт, крем, мороженое, выпечка, сырная подача или начинка</x:v>
      </x:c>
      <x:c r="K248" s="28" t="str">
        <x:v>Средняя</x:v>
      </x:c>
      <x:c r="L248" s="28" t="str">
        <x:v>The Art &amp; Science of Foodpairing.pdf</x:v>
      </x:c>
      <x:c r="M248" s="28" t="str">
        <x:v>The Art &amp; Science of Foodpairing.pdf: 260–261</x:v>
      </x:c>
    </x:row>
    <x:row r="249" ht="64" customHeight="1">
      <x:c r="A249" s="28" t="str">
        <x:v>STN-0306</x:v>
      </x:c>
      <x:c r="B249" s="28" t="str">
        <x:v>нектарин</x:v>
      </x:c>
      <x:c r="C249" s="28" t="str">
        <x:v>нектарин</x:v>
      </x:c>
      <x:c r="D249" s="28" t="str">
        <x:v>обжаренный bacon</x:v>
      </x:c>
      <x:c r="E249" s="28" t="str">
        <x:v>Прочее</x:v>
      </x:c>
      <x:c r="F249" s="28" t="str">
        <x:v>комплементарность ароматических семейств, вкусовой контраст и матричный эффект</x:v>
      </x:c>
      <x:c r="G24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Обжаренный bacon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4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4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9" s="28" t="str">
        <x:v>напиток, соус, десерт или горячее блюдо после пробной дегустации</x:v>
      </x:c>
      <x:c r="K249" s="28" t="str">
        <x:v>Средняя</x:v>
      </x:c>
      <x:c r="L249" s="28" t="str">
        <x:v>The Art &amp; Science of Foodpairing.pdf</x:v>
      </x:c>
      <x:c r="M249" s="28" t="str">
        <x:v>The Art &amp; Science of Foodpairing.pdf: 260–261</x:v>
      </x:c>
    </x:row>
    <x:row r="250" ht="64" customHeight="1">
      <x:c r="A250" s="28" t="str">
        <x:v>STN-0307</x:v>
      </x:c>
      <x:c r="B250" s="28" t="str">
        <x:v>нектарин</x:v>
      </x:c>
      <x:c r="C250" s="28" t="str">
        <x:v>нектарин</x:v>
      </x:c>
      <x:c r="D250" s="28" t="str">
        <x:v>обжаренный duck breast</x:v>
      </x:c>
      <x:c r="E250" s="28" t="str">
        <x:v>Прочее</x:v>
      </x:c>
      <x:c r="F250" s="28" t="str">
        <x:v>комплементарность ароматических семейств, вкусовой контраст и матричный эффект</x:v>
      </x:c>
      <x:c r="G25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Обжаренный duck breast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5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5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0" s="28" t="str">
        <x:v>напиток, соус, десерт или горячее блюдо после пробной дегустации</x:v>
      </x:c>
      <x:c r="K250" s="28" t="str">
        <x:v>Средняя</x:v>
      </x:c>
      <x:c r="L250" s="28" t="str">
        <x:v>The Art &amp; Science of Foodpairing.pdf</x:v>
      </x:c>
      <x:c r="M250" s="28" t="str">
        <x:v>The Art &amp; Science of Foodpairing.pdf: 260–261</x:v>
      </x:c>
    </x:row>
    <x:row r="251" ht="64" customHeight="1">
      <x:c r="A251" s="28" t="str">
        <x:v>STN-0308</x:v>
      </x:c>
      <x:c r="B251" s="28" t="str">
        <x:v>нектарин</x:v>
      </x:c>
      <x:c r="C251" s="28" t="str">
        <x:v>нектарин</x:v>
      </x:c>
      <x:c r="D251" s="28" t="str">
        <x:v>обжаренный страус</x:v>
      </x:c>
      <x:c r="E251" s="28" t="str">
        <x:v>Мясо и птица</x:v>
      </x:c>
      <x:c r="F251" s="28" t="str">
        <x:v>комплементарность ароматических семейств, вкусовой контраст и матричный эффект</x:v>
      </x:c>
      <x:c r="G25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Обжаренный страус относится к группе «Мясо и птица» и даёт профиль «жареный, мясной, сернистый, жирный»; типичные соединения или классы: пиразины, тиазолы, альдегиды жиров,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терпеновые масла; кислота снижает ощущение жирности.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H251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I251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51" s="28" t="str">
        <x:v>соус, глазировка, чатни, маринад, гарнир или основное блюдо</x:v>
      </x:c>
      <x:c r="K251" s="28" t="str">
        <x:v>Средняя</x:v>
      </x:c>
      <x:c r="L251" s="28" t="str">
        <x:v>The Art &amp; Science of Foodpairing.pdf</x:v>
      </x:c>
      <x:c r="M251" s="28" t="str">
        <x:v>The Art &amp; Science of Foodpairing.pdf: 260–261</x:v>
      </x:c>
    </x:row>
    <x:row r="252" ht="64" customHeight="1">
      <x:c r="A252" s="28" t="str">
        <x:v>STN-0309</x:v>
      </x:c>
      <x:c r="B252" s="28" t="str">
        <x:v>нектарин</x:v>
      </x:c>
      <x:c r="C252" s="28" t="str">
        <x:v>нектарин</x:v>
      </x:c>
      <x:c r="D252" s="28" t="str">
        <x:v>оливковое масло</x:v>
      </x:c>
      <x:c r="E252" s="28" t="str">
        <x:v>Молочные продукты и сыры</x:v>
      </x:c>
      <x:c r="F252" s="28" t="str">
        <x:v>комплементарность ароматических семейств, вкусовой контраст и матричный эффект</x:v>
      </x:c>
      <x:c r="G25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жирный, кислый/солёный.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жировая и белковая матрица смягчает кислотность.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5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5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2" s="28" t="str">
        <x:v>напиток, соус, десерт или горячее блюдо после пробной дегустации</x:v>
      </x:c>
      <x:c r="K252" s="28" t="str">
        <x:v>Средняя</x:v>
      </x:c>
      <x:c r="L252" s="28" t="str">
        <x:v>The Art &amp; Science of Foodpairing.pdf</x:v>
      </x:c>
      <x:c r="M252" s="28" t="str">
        <x:v>The Art &amp; Science of Foodpairing.pdf: 172</x:v>
      </x:c>
    </x:row>
    <x:row r="253" ht="64" customHeight="1">
      <x:c r="A253" s="28" t="str">
        <x:v>STN-0310</x:v>
      </x:c>
      <x:c r="B253" s="28" t="str">
        <x:v>нектарин</x:v>
      </x:c>
      <x:c r="C253" s="28" t="str">
        <x:v>нектарин</x:v>
      </x:c>
      <x:c r="D253" s="28" t="str">
        <x:v>оливковое масло арбекина</x:v>
      </x:c>
      <x:c r="E253" s="28" t="str">
        <x:v>Прочее</x:v>
      </x:c>
      <x:c r="F253" s="28" t="str">
        <x:v>комплементарность ароматических семейств, вкусовой контраст и матричный эффект</x:v>
      </x:c>
      <x:c r="G25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Оливковое масло арбекина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баланс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матрица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5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5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3" s="28" t="str">
        <x:v>напиток, соус, десерт или горячее блюдо после пробной дегустации</x:v>
      </x:c>
      <x:c r="K253" s="28" t="str">
        <x:v>Средняя</x:v>
      </x:c>
      <x:c r="L253" s="28" t="str">
        <x:v>The Art &amp; Science of Foodpairing.pdf</x:v>
      </x:c>
      <x:c r="M253" s="28" t="str">
        <x:v>The Art &amp; Science of Foodpairing.pdf: 260–261</x:v>
      </x:c>
    </x:row>
    <x:row r="254" ht="64" customHeight="1">
      <x:c r="A254" s="28" t="str">
        <x:v>STN-0311</x:v>
      </x:c>
      <x:c r="B254" s="28" t="str">
        <x:v>нектарин</x:v>
      </x:c>
      <x:c r="C254" s="28" t="str">
        <x:v>нектарин</x:v>
      </x:c>
      <x:c r="D254" s="28" t="str">
        <x:v>отварная паста</x:v>
      </x:c>
      <x:c r="E254" s="28" t="str">
        <x:v>Злаки и выпечка</x:v>
      </x:c>
      <x:c r="F254" s="28" t="str">
        <x:v>комплементарность ароматических семейств, вкусовой контраст и матричный эффект</x:v>
      </x:c>
      <x:c r="G25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Отварная паста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крахмальная матрица приглушает кислоту и распределяет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5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5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4" s="28" t="str">
        <x:v>тарт, крем, мороженое, выпечка, сырная подача или начинка</x:v>
      </x:c>
      <x:c r="K254" s="28" t="str">
        <x:v>Средняя</x:v>
      </x:c>
      <x:c r="L254" s="28" t="str">
        <x:v>The Art &amp; Science of Foodpairing.pdf</x:v>
      </x:c>
      <x:c r="M254" s="28" t="str">
        <x:v>The Art &amp; Science of Foodpairing.pdf: 260–261</x:v>
      </x:c>
    </x:row>
    <x:row r="255" ht="64" customHeight="1">
      <x:c r="A255" s="28" t="str">
        <x:v>STN-0312</x:v>
      </x:c>
      <x:c r="B255" s="28" t="str">
        <x:v>нектарин</x:v>
      </x:c>
      <x:c r="C255" s="28" t="str">
        <x:v>нектарин</x:v>
      </x:c>
      <x:c r="D255" s="28" t="str">
        <x:v>отварная полба</x:v>
      </x:c>
      <x:c r="E255" s="28" t="str">
        <x:v>Злаки и выпечка</x:v>
      </x:c>
      <x:c r="F255" s="28" t="str">
        <x:v>комплементарность ароматических семейств, вкусовой контраст и матричный эффект</x:v>
      </x:c>
      <x:c r="G25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Отварная полба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крахмальная матрица приглушает кислоту и распределяет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5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5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5" s="28" t="str">
        <x:v>тарт, крем, мороженое, выпечка, сырная подача или начинка</x:v>
      </x:c>
      <x:c r="K255" s="28" t="str">
        <x:v>Средняя</x:v>
      </x:c>
      <x:c r="L255" s="28" t="str">
        <x:v>The Art &amp; Science of Foodpairing.pdf</x:v>
      </x:c>
      <x:c r="M255" s="28" t="str">
        <x:v>The Art &amp; Science of Foodpairing.pdf: 260–261</x:v>
      </x:c>
    </x:row>
    <x:row r="256" ht="64" customHeight="1">
      <x:c r="A256" s="28" t="str">
        <x:v>STN-0313</x:v>
      </x:c>
      <x:c r="B256" s="28" t="str">
        <x:v>нектарин</x:v>
      </x:c>
      <x:c r="C256" s="28" t="str">
        <x:v>нектарин</x:v>
      </x:c>
      <x:c r="D256" s="28" t="str">
        <x:v>отварная стручковая фасоль</x:v>
      </x:c>
      <x:c r="E256" s="28" t="str">
        <x:v>Овощи и корнеплоды</x:v>
      </x:c>
      <x:c r="F256" s="28" t="str">
        <x:v>прямое или классовое перекрытие характерных одорантов + вкусовой баланс</x:v>
      </x:c>
      <x:c r="G25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Отварная стручковая фасоль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5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5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6" s="28" t="str">
        <x:v>соус, глазировка, чатни, маринад, гарнир или основное блюдо</x:v>
      </x:c>
      <x:c r="K256" s="28" t="str">
        <x:v>Средняя</x:v>
      </x:c>
      <x:c r="L256" s="28" t="str">
        <x:v>The Art &amp; Science of Foodpairing.pdf</x:v>
      </x:c>
      <x:c r="M256" s="28" t="str">
        <x:v>The Art &amp; Science of Foodpairing.pdf: 260–261</x:v>
      </x:c>
    </x:row>
    <x:row r="257" ht="64" customHeight="1">
      <x:c r="A257" s="28" t="str">
        <x:v>STN-0314</x:v>
      </x:c>
      <x:c r="B257" s="28" t="str">
        <x:v>нектарин</x:v>
      </x:c>
      <x:c r="C257" s="28" t="str">
        <x:v>нектарин</x:v>
      </x:c>
      <x:c r="D257" s="28" t="str">
        <x:v>отварная тыква</x:v>
      </x:c>
      <x:c r="E257" s="28" t="str">
        <x:v>Овощи и корнеплоды</x:v>
      </x:c>
      <x:c r="F257" s="28" t="str">
        <x:v>прямое или классовое перекрытие характерных одорантов + вкусовой баланс</x:v>
      </x:c>
      <x:c r="G25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Отварная тыква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5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5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7" s="28" t="str">
        <x:v>соус, глазировка, чатни, маринад, гарнир или основное блюдо</x:v>
      </x:c>
      <x:c r="K257" s="28" t="str">
        <x:v>Средняя</x:v>
      </x:c>
      <x:c r="L257" s="28" t="str">
        <x:v>The Art &amp; Science of Foodpairing.pdf</x:v>
      </x:c>
      <x:c r="M257" s="28" t="str">
        <x:v>The Art &amp; Science of Foodpairing.pdf: 260–261</x:v>
      </x:c>
    </x:row>
    <x:row r="258" ht="64" customHeight="1">
      <x:c r="A258" s="28" t="str">
        <x:v>STN-0315</x:v>
      </x:c>
      <x:c r="B258" s="28" t="str">
        <x:v>нектарин</x:v>
      </x:c>
      <x:c r="C258" s="28" t="str">
        <x:v>нектарин</x:v>
      </x:c>
      <x:c r="D258" s="28" t="str">
        <x:v>отварное мясо бурого краба</x:v>
      </x:c>
      <x:c r="E258" s="28" t="str">
        <x:v>Мясо и птица</x:v>
      </x:c>
      <x:c r="F258" s="28" t="str">
        <x:v>комплементарность ароматических семейств, вкусовой контраст и матричный эффект</x:v>
      </x:c>
      <x:c r="G25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Отварное мясо бурого краба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H258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I258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58" s="28" t="str">
        <x:v>соус, глазировка, чатни, маринад, гарнир или основное блюдо</x:v>
      </x:c>
      <x:c r="K258" s="28" t="str">
        <x:v>Средняя</x:v>
      </x:c>
      <x:c r="L258" s="28" t="str">
        <x:v>The Art &amp; Science of Foodpairing.pdf</x:v>
      </x:c>
      <x:c r="M258" s="28" t="str">
        <x:v>The Art &amp; Science of Foodpairing.pdf: 260–261</x:v>
      </x:c>
    </x:row>
    <x:row r="259" ht="64" customHeight="1">
      <x:c r="A259" s="28" t="str">
        <x:v>STN-0316</x:v>
      </x:c>
      <x:c r="B259" s="28" t="str">
        <x:v>нектарин</x:v>
      </x:c>
      <x:c r="C259" s="28" t="str">
        <x:v>нектарин</x:v>
      </x:c>
      <x:c r="D259" s="28" t="str">
        <x:v>отварной broccoli</x:v>
      </x:c>
      <x:c r="E259" s="28" t="str">
        <x:v>Прочее</x:v>
      </x:c>
      <x:c r="F259" s="28" t="str">
        <x:v>комплементарность ароматических семейств, вкусовой контраст и матричный эффект</x:v>
      </x:c>
      <x:c r="G25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Отварной broccoli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5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5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9" s="28" t="str">
        <x:v>напиток, соус, десерт или горячее блюдо после пробной дегустации</x:v>
      </x:c>
      <x:c r="K259" s="28" t="str">
        <x:v>Средняя</x:v>
      </x:c>
      <x:c r="L259" s="28" t="str">
        <x:v>The Art &amp; Science of Foodpairing.pdf</x:v>
      </x:c>
      <x:c r="M259" s="28" t="str">
        <x:v>The Art &amp; Science of Foodpairing.pdf: 260–261</x:v>
      </x:c>
    </x:row>
    <x:row r="260" ht="64" customHeight="1">
      <x:c r="A260" s="28" t="str">
        <x:v>STN-0317</x:v>
      </x:c>
      <x:c r="B260" s="28" t="str">
        <x:v>нектарин</x:v>
      </x:c>
      <x:c r="C260" s="28" t="str">
        <x:v>нектарин</x:v>
      </x:c>
      <x:c r="D260" s="28" t="str">
        <x:v>отварной голубой краб</x:v>
      </x:c>
      <x:c r="E260" s="28" t="str">
        <x:v>Рыба и морепродукты</x:v>
      </x:c>
      <x:c r="F260" s="28" t="str">
        <x:v>комплементарность ароматических семейств, вкусовой контраст и матричный эффект</x:v>
      </x:c>
      <x:c r="G26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Отварной голубой краб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6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60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60" s="28" t="str">
        <x:v>соус, глазировка, чатни, маринад, гарнир или основное блюдо</x:v>
      </x:c>
      <x:c r="K260" s="28" t="str">
        <x:v>Средняя</x:v>
      </x:c>
      <x:c r="L260" s="28" t="str">
        <x:v>The Art &amp; Science of Foodpairing.pdf</x:v>
      </x:c>
      <x:c r="M260" s="28" t="str">
        <x:v>The Art &amp; Science of Foodpairing.pdf: 260–261</x:v>
      </x:c>
    </x:row>
    <x:row r="261" ht="64" customHeight="1">
      <x:c r="A261" s="28" t="str">
        <x:v>STN-0318</x:v>
      </x:c>
      <x:c r="B261" s="28" t="str">
        <x:v>нектарин</x:v>
      </x:c>
      <x:c r="C261" s="28" t="str">
        <x:v>нектарин</x:v>
      </x:c>
      <x:c r="D261" s="28" t="str">
        <x:v>отварной рис басмати</x:v>
      </x:c>
      <x:c r="E261" s="28" t="str">
        <x:v>Злаки и выпечка</x:v>
      </x:c>
      <x:c r="F261" s="28" t="str">
        <x:v>комплементарность ароматических семейств, вкусовой контраст и матричный эффект</x:v>
      </x:c>
      <x:c r="G26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Отварной рис басмати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крахмальная матрица приглушает кислоту и распределяет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6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6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61" s="28" t="str">
        <x:v>тарт, крем, мороженое, выпечка, сырная подача или начинка</x:v>
      </x:c>
      <x:c r="K261" s="28" t="str">
        <x:v>Средняя</x:v>
      </x:c>
      <x:c r="L261" s="28" t="str">
        <x:v>The Art &amp; Science of Foodpairing.pdf</x:v>
      </x:c>
      <x:c r="M261" s="28" t="str">
        <x:v>The Art &amp; Science of Foodpairing.pdf: 260–261</x:v>
      </x:c>
    </x:row>
    <x:row r="262" ht="64" customHeight="1">
      <x:c r="A262" s="28" t="str">
        <x:v>STN-0319</x:v>
      </x:c>
      <x:c r="B262" s="28" t="str">
        <x:v>нектарин</x:v>
      </x:c>
      <x:c r="C262" s="28" t="str">
        <x:v>нектарин</x:v>
      </x:c>
      <x:c r="D262" s="28" t="str">
        <x:v>отварной томатильо</x:v>
      </x:c>
      <x:c r="E262" s="28" t="str">
        <x:v>Овощи и корнеплоды</x:v>
      </x:c>
      <x:c r="F262" s="28" t="str">
        <x:v>прямое или классовое перекрытие характерных одорантов + вкусовой баланс</x:v>
      </x:c>
      <x:c r="G26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Отварной томатильо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6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6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62" s="28" t="str">
        <x:v>соус, глазировка, чатни, маринад, гарнир или основное блюдо</x:v>
      </x:c>
      <x:c r="K262" s="28" t="str">
        <x:v>Средняя</x:v>
      </x:c>
      <x:c r="L262" s="28" t="str">
        <x:v>The Art &amp; Science of Foodpairing.pdf</x:v>
      </x:c>
      <x:c r="M262" s="28" t="str">
        <x:v>The Art &amp; Science of Foodpairing.pdf: 260–261</x:v>
      </x:c>
    </x:row>
    <x:row r="263" ht="64" customHeight="1">
      <x:c r="A263" s="28" t="str">
        <x:v>STN-0320</x:v>
      </x:c>
      <x:c r="B263" s="28" t="str">
        <x:v>нектарин</x:v>
      </x:c>
      <x:c r="C263" s="28" t="str">
        <x:v>нектарин</x:v>
      </x:c>
      <x:c r="D263" s="28" t="str">
        <x:v>отварные бобы</x:v>
      </x:c>
      <x:c r="E263" s="28" t="str">
        <x:v>Овощи и корнеплоды</x:v>
      </x:c>
      <x:c r="F263" s="28" t="str">
        <x:v>прямое или классовое перекрытие характерных одорантов + вкусовой баланс</x:v>
      </x:c>
      <x:c r="G26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Отварные бобы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6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6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63" s="28" t="str">
        <x:v>соус, глазировка, чатни, маринад, гарнир или основное блюдо</x:v>
      </x:c>
      <x:c r="K263" s="28" t="str">
        <x:v>Средняя</x:v>
      </x:c>
      <x:c r="L263" s="28" t="str">
        <x:v>The Art &amp; Science of Foodpairing.pdf</x:v>
      </x:c>
      <x:c r="M263" s="28" t="str">
        <x:v>The Art &amp; Science of Foodpairing.pdf: 260–261</x:v>
      </x:c>
    </x:row>
    <x:row r="264" ht="64" customHeight="1">
      <x:c r="A264" s="28" t="str">
        <x:v>STN-0321</x:v>
      </x:c>
      <x:c r="B264" s="28" t="str">
        <x:v>нектарин</x:v>
      </x:c>
      <x:c r="C264" s="28" t="str">
        <x:v>нектарин</x:v>
      </x:c>
      <x:c r="D264" s="28" t="str">
        <x:v>пастернак</x:v>
      </x:c>
      <x:c r="E264" s="28" t="str">
        <x:v>Прочее</x:v>
      </x:c>
      <x:c r="F264" s="28" t="str">
        <x:v>комплементарность ароматических семейств, вкусовой контраст и матричный эффект</x:v>
      </x:c>
      <x:c r="G26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Пастернак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важны вода, жир, белок, сахар и температура.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26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26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64" s="28" t="str">
        <x:v>напиток, соус, десерт или горячее блюдо после пробной дегустации</x:v>
      </x:c>
      <x:c r="K264" s="28" t="str">
        <x:v>Средняя</x:v>
      </x:c>
      <x:c r="L264" s="28" t="str">
        <x:v>The Art &amp; Science of Foodpairing.pdf</x:v>
      </x:c>
      <x:c r="M264" s="28" t="str">
        <x:v>The Art &amp; Science of Foodpairing.pdf: 260–261</x:v>
      </x:c>
    </x:row>
    <x:row r="265" ht="64" customHeight="1">
      <x:c r="A265" s="28" t="str">
        <x:v>STN-0322</x:v>
      </x:c>
      <x:c r="B265" s="28" t="str">
        <x:v>нектарин</x:v>
      </x:c>
      <x:c r="C265" s="28" t="str">
        <x:v>нектарин</x:v>
      </x:c>
      <x:c r="D265" s="28" t="str">
        <x:v>пекан</x:v>
      </x:c>
      <x:c r="E265" s="28" t="str">
        <x:v>Орехи и семена</x:v>
      </x:c>
      <x:c r="F265" s="28" t="str">
        <x:v>прямое или классовое перекрытие характерных одорантов + вкусовой баланс</x:v>
      </x:c>
      <x:c r="G26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Пекан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6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65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J265" s="28" t="str">
        <x:v>тарт, крем, мороженое, выпечка, сырная подача или начинка</x:v>
      </x:c>
      <x:c r="K265" s="28" t="str">
        <x:v>Гипотеза / практическая</x:v>
      </x:c>
      <x:c r="L265" s="28" t="str">
        <x:v>Таблица сочетания(1).pdf</x:v>
      </x:c>
      <x:c r="M265" s="28" t="str">
        <x:v>Таблица сочетания(1).pdf: 14</x:v>
      </x:c>
    </x:row>
    <x:row r="266" ht="64" customHeight="1">
      <x:c r="A266" s="28" t="str">
        <x:v>STN-0323</x:v>
      </x:c>
      <x:c r="B266" s="28" t="str">
        <x:v>нектарин</x:v>
      </x:c>
      <x:c r="C266" s="28" t="str">
        <x:v>нектарин</x:v>
      </x:c>
      <x:c r="D266" s="28" t="str">
        <x:v>перец рокото</x:v>
      </x:c>
      <x:c r="E266" s="28" t="str">
        <x:v>Специи и острые компоненты</x:v>
      </x:c>
      <x:c r="F266" s="28" t="str">
        <x:v>комплементарность ароматических семейств, вкусовой контраст и матричный эффект</x:v>
      </x:c>
      <x:c r="G26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Перец рокото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266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266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66" s="28" t="str">
        <x:v>напиток, соус, десерт или горячее блюдо после пробной дегустации</x:v>
      </x:c>
      <x:c r="K266" s="28" t="str">
        <x:v>Средняя</x:v>
      </x:c>
      <x:c r="L266" s="28" t="str">
        <x:v>The Art &amp; Science of Foodpairing.pdf</x:v>
      </x:c>
      <x:c r="M266" s="28" t="str">
        <x:v>The Art &amp; Science of Foodpairing.pdf: 260–261</x:v>
      </x:c>
    </x:row>
    <x:row r="267" ht="64" customHeight="1">
      <x:c r="A267" s="28" t="str">
        <x:v>STN-0324</x:v>
      </x:c>
      <x:c r="B267" s="28" t="str">
        <x:v>нектарин</x:v>
      </x:c>
      <x:c r="C267" s="28" t="str">
        <x:v>нектарин</x:v>
      </x:c>
      <x:c r="D267" s="28" t="str">
        <x:v>перец урфа</x:v>
      </x:c>
      <x:c r="E267" s="28" t="str">
        <x:v>Специи и острые компоненты</x:v>
      </x:c>
      <x:c r="F267" s="28" t="str">
        <x:v>комплементарность ароматических семейств, вкусовой контраст и матричный эффект</x:v>
      </x:c>
      <x:c r="G26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Перец урфа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67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67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67" s="28" t="str">
        <x:v>напиток, соус, десерт или горячее блюдо после пробной дегустации</x:v>
      </x:c>
      <x:c r="K267" s="28" t="str">
        <x:v>Средняя</x:v>
      </x:c>
      <x:c r="L267" s="28" t="str">
        <x:v>The Art &amp; Science of Foodpairing.pdf</x:v>
      </x:c>
      <x:c r="M267" s="28" t="str">
        <x:v>The Art &amp; Science of Foodpairing.pdf: 260–261</x:v>
      </x:c>
    </x:row>
    <x:row r="268" ht="64" customHeight="1">
      <x:c r="A268" s="28" t="str">
        <x:v>STN-0325</x:v>
      </x:c>
      <x:c r="B268" s="28" t="str">
        <x:v>нектарин</x:v>
      </x:c>
      <x:c r="C268" s="28" t="str">
        <x:v>нектарин</x:v>
      </x:c>
      <x:c r="D268" s="28" t="str">
        <x:v>приготовленный black salsify</x:v>
      </x:c>
      <x:c r="E268" s="28" t="str">
        <x:v>Прочее</x:v>
      </x:c>
      <x:c r="F268" s="28" t="str">
        <x:v>комплементарность ароматических семейств, вкусовой контраст и матричный эффект</x:v>
      </x:c>
      <x:c r="G26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Приготовленный black salsify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6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6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68" s="28" t="str">
        <x:v>напиток, соус, десерт или горячее блюдо после пробной дегустации</x:v>
      </x:c>
      <x:c r="K268" s="28" t="str">
        <x:v>Средняя</x:v>
      </x:c>
      <x:c r="L268" s="28" t="str">
        <x:v>The Art &amp; Science of Foodpairing.pdf</x:v>
      </x:c>
      <x:c r="M268" s="28" t="str">
        <x:v>The Art &amp; Science of Foodpairing.pdf: 260–261</x:v>
      </x:c>
    </x:row>
    <x:row r="269" ht="64" customHeight="1">
      <x:c r="A269" s="28" t="str">
        <x:v>STN-0326</x:v>
      </x:c>
      <x:c r="B269" s="28" t="str">
        <x:v>нектарин</x:v>
      </x:c>
      <x:c r="C269" s="28" t="str">
        <x:v>нектарин</x:v>
      </x:c>
      <x:c r="D269" s="28" t="str">
        <x:v>припущенный тюрбо</x:v>
      </x:c>
      <x:c r="E269" s="28" t="str">
        <x:v>Рыба и морепродукты</x:v>
      </x:c>
      <x:c r="F269" s="28" t="str">
        <x:v>комплементарность ароматических семейств, вкусовой контраст и матричный эффект</x:v>
      </x:c>
      <x:c r="G26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Припущенный тюрбо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6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69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69" s="28" t="str">
        <x:v>соус, глазировка, чатни, маринад, гарнир или основное блюдо</x:v>
      </x:c>
      <x:c r="K269" s="28" t="str">
        <x:v>Средняя</x:v>
      </x:c>
      <x:c r="L269" s="28" t="str">
        <x:v>The Art &amp; Science of Foodpairing.pdf</x:v>
      </x:c>
      <x:c r="M269" s="28" t="str">
        <x:v>The Art &amp; Science of Foodpairing.pdf: 260–261</x:v>
      </x:c>
    </x:row>
    <x:row r="270" ht="64" customHeight="1">
      <x:c r="A270" s="28" t="str">
        <x:v>STN-0327</x:v>
      </x:c>
      <x:c r="B270" s="28" t="str">
        <x:v>нектарин</x:v>
      </x:c>
      <x:c r="C270" s="28" t="str">
        <x:v>нектарин</x:v>
      </x:c>
      <x:c r="D270" s="28" t="str">
        <x:v>прошутто сан-даниэле</x:v>
      </x:c>
      <x:c r="E270" s="28" t="str">
        <x:v>Мясо и птица</x:v>
      </x:c>
      <x:c r="F270" s="28" t="str">
        <x:v>комплементарность ароматических семейств, вкусовой контраст и матричный эффект</x:v>
      </x:c>
      <x:c r="G27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Прошутто сан-даниэле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H270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I270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70" s="28" t="str">
        <x:v>соус, глазировка, чатни, маринад, гарнир или основное блюдо</x:v>
      </x:c>
      <x:c r="K270" s="28" t="str">
        <x:v>Средняя</x:v>
      </x:c>
      <x:c r="L270" s="28" t="str">
        <x:v>The Art &amp; Science of Foodpairing.pdf</x:v>
      </x:c>
      <x:c r="M270" s="28" t="str">
        <x:v>The Art &amp; Science of Foodpairing.pdf: 260–261</x:v>
      </x:c>
    </x:row>
    <x:row r="271" ht="64" customHeight="1">
      <x:c r="A271" s="28" t="str">
        <x:v>STN-0328</x:v>
      </x:c>
      <x:c r="B271" s="28" t="str">
        <x:v>нектарин</x:v>
      </x:c>
      <x:c r="C271" s="28" t="str">
        <x:v>нектарин</x:v>
      </x:c>
      <x:c r="D271" s="28" t="str">
        <x:v>радиккьо</x:v>
      </x:c>
      <x:c r="E271" s="28" t="str">
        <x:v>Овощи и корнеплоды</x:v>
      </x:c>
      <x:c r="F271" s="28" t="str">
        <x:v>прямое или классовое перекрытие характерных одорантов + вкусовой баланс</x:v>
      </x:c>
      <x:c r="G27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Радиккьо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7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7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1" s="28" t="str">
        <x:v>соус, глазировка, чатни, маринад, гарнир или основное блюдо</x:v>
      </x:c>
      <x:c r="K271" s="28" t="str">
        <x:v>Средняя</x:v>
      </x:c>
      <x:c r="L271" s="28" t="str">
        <x:v>The Art &amp; Science of Foodpairing.pdf</x:v>
      </x:c>
      <x:c r="M271" s="28" t="str">
        <x:v>The Art &amp; Science of Foodpairing.pdf: 260–261</x:v>
      </x:c>
    </x:row>
    <x:row r="272" ht="64" customHeight="1">
      <x:c r="A272" s="28" t="str">
        <x:v>STN-0329</x:v>
      </x:c>
      <x:c r="B272" s="28" t="str">
        <x:v>нектарин</x:v>
      </x:c>
      <x:c r="C272" s="28" t="str">
        <x:v>нектарин</x:v>
      </x:c>
      <x:c r="D272" s="28" t="str">
        <x:v>розмарин</x:v>
      </x:c>
      <x:c r="E272" s="28" t="str">
        <x:v>Травы и цветы</x:v>
      </x:c>
      <x:c r="F272" s="28" t="str">
        <x:v>комплементарность ароматических семейств, вкусовой контраст и матричный эффект</x:v>
      </x:c>
      <x:c r="G27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Розмарин относится к группе «Травы и цветы» и даёт профиль «хвойный, камфорный и древесный»; типичные соединения или классы: 1,8-цинеол, камфора, α-пинен.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7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7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2" s="28" t="str">
        <x:v>напиток, соус, десерт или горячее блюдо после пробной дегустации</x:v>
      </x:c>
      <x:c r="K272" s="28" t="str">
        <x:v>Гипотеза / практическая</x:v>
      </x:c>
      <x:c r="L272" s="28" t="str">
        <x:v>Таблица сочетания(1).pdf</x:v>
      </x:c>
      <x:c r="M272" s="28" t="str">
        <x:v>Таблица сочетания(1).pdf: 14</x:v>
      </x:c>
    </x:row>
    <x:row r="273" ht="64" customHeight="1">
      <x:c r="A273" s="28" t="str">
        <x:v>STN-0330</x:v>
      </x:c>
      <x:c r="B273" s="28" t="str">
        <x:v>нектарин</x:v>
      </x:c>
      <x:c r="C273" s="28" t="str">
        <x:v>нектарин</x:v>
      </x:c>
      <x:c r="D273" s="28" t="str">
        <x:v>салями милано</x:v>
      </x:c>
      <x:c r="E273" s="28" t="str">
        <x:v>Мясо и птица</x:v>
      </x:c>
      <x:c r="F273" s="28" t="str">
        <x:v>комплементарность ароматических семейств, вкусовой контраст и матричный эффект</x:v>
      </x:c>
      <x:c r="G27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Салями милано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H273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I273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73" s="28" t="str">
        <x:v>соус, глазировка, чатни, маринад, гарнир или основное блюдо</x:v>
      </x:c>
      <x:c r="K273" s="28" t="str">
        <x:v>Средняя</x:v>
      </x:c>
      <x:c r="L273" s="28" t="str">
        <x:v>The Art &amp; Science of Foodpairing.pdf</x:v>
      </x:c>
      <x:c r="M273" s="28" t="str">
        <x:v>The Art &amp; Science of Foodpairing.pdf: 260–261</x:v>
      </x:c>
    </x:row>
    <x:row r="274" ht="64" customHeight="1">
      <x:c r="A274" s="28" t="str">
        <x:v>STN-0331</x:v>
      </x:c>
      <x:c r="B274" s="28" t="str">
        <x:v>нектарин</x:v>
      </x:c>
      <x:c r="C274" s="28" t="str">
        <x:v>нектарин</x:v>
      </x:c>
      <x:c r="D274" s="28" t="str">
        <x:v>свиная корейка</x:v>
      </x:c>
      <x:c r="E274" s="28" t="str">
        <x:v>Прочее</x:v>
      </x:c>
      <x:c r="F274" s="28" t="str">
        <x:v>комплементарность ароматических семейств, вкусовой контраст и матричный эффект</x:v>
      </x:c>
      <x:c r="G27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баланс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матрица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7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7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4" s="28" t="str">
        <x:v>напиток, соус, десерт или горячее блюдо после пробной дегустации</x:v>
      </x:c>
      <x:c r="K274" s="28" t="str">
        <x:v>Средняя</x:v>
      </x:c>
      <x:c r="L274" s="28" t="str">
        <x:v>The Art &amp; Science of Foodpairing.pdf</x:v>
      </x:c>
      <x:c r="M274" s="28" t="str">
        <x:v>The Art &amp; Science of Foodpairing.pdf: 187 | The Art &amp; Science of Foodpairing.pdf: 189</x:v>
      </x:c>
    </x:row>
    <x:row r="275" ht="64" customHeight="1">
      <x:c r="A275" s="28" t="str">
        <x:v>STN-0332</x:v>
      </x:c>
      <x:c r="B275" s="28" t="str">
        <x:v>нектарин</x:v>
      </x:c>
      <x:c r="C275" s="28" t="str">
        <x:v>нектарин</x:v>
      </x:c>
      <x:c r="D275" s="28" t="str">
        <x:v>сельдерей</x:v>
      </x:c>
      <x:c r="E275" s="28" t="str">
        <x:v>Овощи и бобовые</x:v>
      </x:c>
      <x:c r="F275" s="28" t="str">
        <x:v>прямое или классовое перекрытие характерных одорантов + вкусовой баланс</x:v>
      </x:c>
      <x:c r="G27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Сельдерей относится к группе «Овощи и бобовые» и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варьирует от сладости до горечи, умами и крахмалистости.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водная, волокнистая или крахмальная.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H27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I27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5" s="28" t="str">
        <x:v>напиток, соус, десерт или горячее блюдо после пробной дегустации</x:v>
      </x:c>
      <x:c r="K275" s="28" t="str">
        <x:v>Средняя</x:v>
      </x:c>
      <x:c r="L275" s="28" t="str">
        <x:v>The Art &amp; Science of Foodpairing.pdf</x:v>
      </x:c>
      <x:c r="M275" s="28" t="str">
        <x:v>The Art &amp; Science of Foodpairing.pdf: 260–261</x:v>
      </x:c>
    </x:row>
    <x:row r="276" ht="64" customHeight="1">
      <x:c r="A276" s="28" t="str">
        <x:v>STN-0333</x:v>
      </x:c>
      <x:c r="B276" s="28" t="str">
        <x:v>нектарин</x:v>
      </x:c>
      <x:c r="C276" s="28" t="str">
        <x:v>нектарин</x:v>
      </x:c>
      <x:c r="D276" s="28" t="str">
        <x:v>семена кардамона</x:v>
      </x:c>
      <x:c r="E276" s="28" t="str">
        <x:v>Специи</x:v>
      </x:c>
      <x:c r="F276" s="28" t="str">
        <x:v>комплементарность ароматических семейств, вкусовой контраст и матричный эффект</x:v>
      </x:c>
      <x:c r="G27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Семена кардамона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пряный, иногда горький.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хорошо извлекаются спиртом и жиром.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7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7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6" s="28" t="str">
        <x:v>напиток, соус, десерт или горячее блюдо после пробной дегустации</x:v>
      </x:c>
      <x:c r="K276" s="28" t="str">
        <x:v>Средняя</x:v>
      </x:c>
      <x:c r="L276" s="28" t="str">
        <x:v>The Art &amp; Science of Foodpairing.pdf</x:v>
      </x:c>
      <x:c r="M276" s="28" t="str">
        <x:v>The Art &amp; Science of Foodpairing.pdf: 257</x:v>
      </x:c>
    </x:row>
    <x:row r="277" ht="64" customHeight="1">
      <x:c r="A277" s="28" t="str">
        <x:v>STN-0334</x:v>
      </x:c>
      <x:c r="B277" s="28" t="str">
        <x:v>нектарин</x:v>
      </x:c>
      <x:c r="C277" s="28" t="str">
        <x:v>нектарин</x:v>
      </x:c>
      <x:c r="D277" s="28" t="str">
        <x:v>скрэмбл</x:v>
      </x:c>
      <x:c r="E277" s="28" t="str">
        <x:v>Прочее</x:v>
      </x:c>
      <x:c r="F277" s="28" t="str">
        <x:v>комплементарность ароматических семейств, вкусовой контраст и матричный эффект</x:v>
      </x:c>
      <x:c r="G27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Скрэмбл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27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27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7" s="28" t="str">
        <x:v>напиток, соус, десерт или горячее блюдо после пробной дегустации</x:v>
      </x:c>
      <x:c r="K277" s="28" t="str">
        <x:v>Средняя</x:v>
      </x:c>
      <x:c r="L277" s="28" t="str">
        <x:v>The Art &amp; Science of Foodpairing.pdf</x:v>
      </x:c>
      <x:c r="M277" s="28" t="str">
        <x:v>The Art &amp; Science of Foodpairing.pdf: 260–261</x:v>
      </x:c>
    </x:row>
    <x:row r="278" ht="64" customHeight="1">
      <x:c r="A278" s="28" t="str">
        <x:v>STN-0335</x:v>
      </x:c>
      <x:c r="B278" s="28" t="str">
        <x:v>нектарин</x:v>
      </x:c>
      <x:c r="C278" s="28" t="str">
        <x:v>нектарин</x:v>
      </x:c>
      <x:c r="D278" s="28" t="str">
        <x:v>слива</x:v>
      </x:c>
      <x:c r="E278" s="28" t="str">
        <x:v>Косточковые фрукты</x:v>
      </x:c>
      <x:c r="F278" s="28" t="str">
        <x:v>прямое или классовое перекрытие характерных одорантов + вкусовой баланс</x:v>
      </x:c>
      <x:c r="G27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Слива относится к группе «Косточковые фрукты» и даёт профиль «винно-фруктовый, цветочный, зелёный, пряный, миндальный; от свежего до тёмно-джемового»; типичные соединения или классы: фруктовые эфиры, γ- и δ-лактоны, бензальдегид, линалоол, C6-альдегиды, дамасконы. В рабочих профилях пересекаются: бензальдегид, линалоол, c6-альдегиды, фруктовые эфиры. Общие ароматические направления: цветочный,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 и заметная яблочно-лимонная кислотность; кожица часто терпкая.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сочная пектиновая мякоть; кожица богата полифенолами; аромат хорошо работает в воде, сахаре 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H27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I27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8" s="28" t="str">
        <x:v>напиток, соус, десерт или горячее блюдо после пробной дегустации</x:v>
      </x:c>
      <x:c r="K278" s="28" t="str">
        <x:v>Гипотеза / практическая</x:v>
      </x:c>
      <x:c r="L278" s="28" t="str">
        <x:v>Таблица сочетания(1).pdf</x:v>
      </x:c>
      <x:c r="M278" s="28" t="str">
        <x:v>Таблица сочетания(1).pdf: 14 | Таблица сочетания(1).pdf: 17</x:v>
      </x:c>
    </x:row>
    <x:row r="279" ht="64" customHeight="1">
      <x:c r="A279" s="28" t="str">
        <x:v>STN-0337</x:v>
      </x:c>
      <x:c r="B279" s="28" t="str">
        <x:v>нектарин</x:v>
      </x:c>
      <x:c r="C279" s="28" t="str">
        <x:v>нектарин</x:v>
      </x:c>
      <x:c r="D279" s="28" t="str">
        <x:v>сушеная вешенка</x:v>
      </x:c>
      <x:c r="E279" s="28" t="str">
        <x:v>Прочее</x:v>
      </x:c>
      <x:c r="F279" s="28" t="str">
        <x:v>комплементарность ароматических семейств, вкусовой контраст и матричный эффект</x:v>
      </x:c>
      <x:c r="G27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Сушеная вешенка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27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27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9" s="28" t="str">
        <x:v>напиток, соус, десерт или горячее блюдо после пробной дегустации</x:v>
      </x:c>
      <x:c r="K279" s="28" t="str">
        <x:v>Средняя</x:v>
      </x:c>
      <x:c r="L279" s="28" t="str">
        <x:v>The Art &amp; Science of Foodpairing.pdf</x:v>
      </x:c>
      <x:c r="M279" s="28" t="str">
        <x:v>The Art &amp; Science of Foodpairing.pdf: 260–261</x:v>
      </x:c>
    </x:row>
    <x:row r="280" ht="64" customHeight="1">
      <x:c r="A280" s="28" t="str">
        <x:v>STN-0339</x:v>
      </x:c>
      <x:c r="B280" s="28" t="str">
        <x:v>нектарин</x:v>
      </x:c>
      <x:c r="C280" s="28" t="str">
        <x:v>нектарин</x:v>
      </x:c>
      <x:c r="D280" s="28" t="str">
        <x:v>сушеные белые грибы</x:v>
      </x:c>
      <x:c r="E280" s="28" t="str">
        <x:v>Грибы и трюфели</x:v>
      </x:c>
      <x:c r="F280" s="28" t="str">
        <x:v>комплементарность ароматических семейств, вкусовой контраст и матричный эффект</x:v>
      </x:c>
      <x:c r="G28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белые грибы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умами и лёгкая горечь.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вода и клетчатка; обжарка создаёт новые жареные молекулы.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8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8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80" s="28" t="str">
        <x:v>соус, глазировка, чатни, маринад, гарнир или основное блюдо</x:v>
      </x:c>
      <x:c r="K280" s="28" t="str">
        <x:v>Средняя</x:v>
      </x:c>
      <x:c r="L280" s="28" t="str">
        <x:v>The Art &amp; Science of Foodpairing.pdf</x:v>
      </x:c>
      <x:c r="M280" s="28" t="str">
        <x:v>The Art &amp; Science of Foodpairing.pdf: 260–261</x:v>
      </x:c>
    </x:row>
    <x:row r="281" ht="64" customHeight="1">
      <x:c r="A281" s="28" t="str">
        <x:v>STN-0340</x:v>
      </x:c>
      <x:c r="B281" s="28" t="str">
        <x:v>нектарин</x:v>
      </x:c>
      <x:c r="C281" s="28" t="str">
        <x:v>нектарин</x:v>
      </x:c>
      <x:c r="D281" s="28" t="str">
        <x:v>сушеные листья тмина</x:v>
      </x:c>
      <x:c r="E281" s="28" t="str">
        <x:v>Прочее</x:v>
      </x:c>
      <x:c r="F281" s="28" t="str">
        <x:v>комплементарность ароматических семейств, вкусовой контраст и матричный эффект</x:v>
      </x:c>
      <x:c r="G28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листья тмина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28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28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81" s="28" t="str">
        <x:v>напиток, соус, десерт или горячее блюдо после пробной дегустации</x:v>
      </x:c>
      <x:c r="K281" s="28" t="str">
        <x:v>Средняя</x:v>
      </x:c>
      <x:c r="L281" s="28" t="str">
        <x:v>The Art &amp; Science of Foodpairing.pdf</x:v>
      </x:c>
      <x:c r="M281" s="28" t="str">
        <x:v>The Art &amp; Science of Foodpairing.pdf: 260–261</x:v>
      </x:c>
    </x:row>
    <x:row r="282" ht="64" customHeight="1">
      <x:c r="A282" s="28" t="str">
        <x:v>STN-0341</x:v>
      </x:c>
      <x:c r="B282" s="28" t="str">
        <x:v>нектарин</x:v>
      </x:c>
      <x:c r="C282" s="28" t="str">
        <x:v>нектарин</x:v>
      </x:c>
      <x:c r="D282" s="28" t="str">
        <x:v>сушеные семена черного тмина</x:v>
      </x:c>
      <x:c r="E282" s="28" t="str">
        <x:v>Специи и острые компоненты</x:v>
      </x:c>
      <x:c r="F282" s="28" t="str">
        <x:v>комплементарность ароматических семейств, вкусовой контраст и матричный эффект</x:v>
      </x:c>
      <x:c r="G28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семена черного тмина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282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282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82" s="28" t="str">
        <x:v>напиток, соус, десерт или горячее блюдо после пробной дегустации</x:v>
      </x:c>
      <x:c r="K282" s="28" t="str">
        <x:v>Средняя</x:v>
      </x:c>
      <x:c r="L282" s="28" t="str">
        <x:v>The Art &amp; Science of Foodpairing.pdf</x:v>
      </x:c>
      <x:c r="M282" s="28" t="str">
        <x:v>The Art &amp; Science of Foodpairing.pdf: 260–261</x:v>
      </x:c>
    </x:row>
    <x:row r="283" ht="64" customHeight="1">
      <x:c r="A283" s="28" t="str">
        <x:v>STN-0342</x:v>
      </x:c>
      <x:c r="B283" s="28" t="str">
        <x:v>нектарин</x:v>
      </x:c>
      <x:c r="C283" s="28" t="str">
        <x:v>нектарин</x:v>
      </x:c>
      <x:c r="D283" s="28" t="str">
        <x:v>сушеные цветы сакуры</x:v>
      </x:c>
      <x:c r="E283" s="28" t="str">
        <x:v>Травы, листья и цветы</x:v>
      </x:c>
      <x:c r="F283" s="28" t="str">
        <x:v>прямое или классовое перекрытие характерных одорантов + вкусовой баланс</x:v>
      </x:c>
      <x:c r="G28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цветы сакуры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283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28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83" s="28" t="str">
        <x:v>напиток, соус, десерт или горячее блюдо после пробной дегустации</x:v>
      </x:c>
      <x:c r="K283" s="28" t="str">
        <x:v>Средняя</x:v>
      </x:c>
      <x:c r="L283" s="28" t="str">
        <x:v>The Art &amp; Science of Foodpairing.pdf</x:v>
      </x:c>
      <x:c r="M283" s="28" t="str">
        <x:v>The Art &amp; Science of Foodpairing.pdf: 260–261</x:v>
      </x:c>
    </x:row>
    <x:row r="284" ht="64" customHeight="1">
      <x:c r="A284" s="28" t="str">
        <x:v>STN-0343</x:v>
      </x:c>
      <x:c r="B284" s="28" t="str">
        <x:v>нектарин</x:v>
      </x:c>
      <x:c r="C284" s="28" t="str">
        <x:v>нектарин</x:v>
      </x:c>
      <x:c r="D284" s="28" t="str">
        <x:v>сыр манчего</x:v>
      </x:c>
      <x:c r="E284" s="28" t="str">
        <x:v>Сыры и молочные продукты</x:v>
      </x:c>
      <x:c r="F284" s="28" t="str">
        <x:v>комплементарность ароматических семейств, вкусовой контраст и матричный эффект</x:v>
      </x:c>
      <x:c r="G28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Сыр манчего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 Обработка: 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H284" s="28" t="str">
        <x:v>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I284" s="28" t="str">
        <x:v>не перегревать и не переслащивать; иначе исчезает свежая фруктовая детализация. Избыток кислоты может свернуть молочную основу; фрукт и сыр проверяют при рабочей температуре.</x:v>
      </x:c>
      <x:c r="J284" s="28" t="str">
        <x:v>тарт, крем, мороженое, выпечка, сырная подача или начинка</x:v>
      </x:c>
      <x:c r="K284" s="28" t="str">
        <x:v>Средняя</x:v>
      </x:c>
      <x:c r="L284" s="28" t="str">
        <x:v>The Art &amp; Science of Foodpairing.pdf</x:v>
      </x:c>
      <x:c r="M284" s="28" t="str">
        <x:v>The Art &amp; Science of Foodpairing.pdf: 260–261</x:v>
      </x:c>
    </x:row>
    <x:row r="285" ht="64" customHeight="1">
      <x:c r="A285" s="28" t="str">
        <x:v>STN-0344</x:v>
      </x:c>
      <x:c r="B285" s="28" t="str">
        <x:v>нектарин</x:v>
      </x:c>
      <x:c r="C285" s="28" t="str">
        <x:v>нектарин</x:v>
      </x:c>
      <x:c r="D285" s="28" t="str">
        <x:v>сычуаньский перец</x:v>
      </x:c>
      <x:c r="E285" s="28" t="str">
        <x:v>Специи и острые компоненты</x:v>
      </x:c>
      <x:c r="F285" s="28" t="str">
        <x:v>комплементарность ароматических семейств, вкусовой контраст и матричный эффект</x:v>
      </x:c>
      <x:c r="G28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Сычуаньский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285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285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85" s="28" t="str">
        <x:v>напиток, соус, десерт или горячее блюдо после пробной дегустации</x:v>
      </x:c>
      <x:c r="K285" s="28" t="str">
        <x:v>Средняя</x:v>
      </x:c>
      <x:c r="L285" s="28" t="str">
        <x:v>The Art &amp; Science of Foodpairing.pdf</x:v>
      </x:c>
      <x:c r="M285" s="28" t="str">
        <x:v>The Art &amp; Science of Foodpairing.pdf: 260–261</x:v>
      </x:c>
    </x:row>
    <x:row r="286" ht="64" customHeight="1">
      <x:c r="A286" s="28" t="str">
        <x:v>STN-0345</x:v>
      </x:c>
      <x:c r="B286" s="28" t="str">
        <x:v>нектарин</x:v>
      </x:c>
      <x:c r="C286" s="28" t="str">
        <x:v>нектарин</x:v>
      </x:c>
      <x:c r="D286" s="28" t="str">
        <x:v>таитянская ваниль</x:v>
      </x:c>
      <x:c r="E286" s="28" t="str">
        <x:v>Прочее</x:v>
      </x:c>
      <x:c r="F286" s="28" t="str">
        <x:v>комплементарность ароматических семейств, вкусовой контраст и матричный эффект</x:v>
      </x:c>
      <x:c r="G28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Таитянская ваниль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8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8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86" s="28" t="str">
        <x:v>напиток, соус, десерт или горячее блюдо после пробной дегустации</x:v>
      </x:c>
      <x:c r="K286" s="28" t="str">
        <x:v>Средняя</x:v>
      </x:c>
      <x:c r="L286" s="28" t="str">
        <x:v>The Art &amp; Science of Foodpairing.pdf</x:v>
      </x:c>
      <x:c r="M286" s="28" t="str">
        <x:v>The Art &amp; Science of Foodpairing.pdf: 260–261</x:v>
      </x:c>
    </x:row>
    <x:row r="287" ht="64" customHeight="1">
      <x:c r="A287" s="28" t="str">
        <x:v>STN-0346</x:v>
      </x:c>
      <x:c r="B287" s="28" t="str">
        <x:v>нектарин</x:v>
      </x:c>
      <x:c r="C287" s="28" t="str">
        <x:v>нектарин</x:v>
      </x:c>
      <x:c r="D287" s="28" t="str">
        <x:v>темный шоколад</x:v>
      </x:c>
      <x:c r="E287" s="28" t="str">
        <x:v>Чай, кофе и какао</x:v>
      </x:c>
      <x:c r="F287" s="28" t="str">
        <x:v>комплементарность ароматических семейств, вкусовой контраст и матричный эффект</x:v>
      </x:c>
      <x:c r="G28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Темный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горечь, терпкость и жареная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водные настои извлекают полифенолы; жир и сахар смягчают горечь.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28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28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87" s="28" t="str">
        <x:v>напиток, соус, десерт или горячее блюдо после пробной дегустации</x:v>
      </x:c>
      <x:c r="K287" s="28" t="str">
        <x:v>Высокая</x:v>
      </x:c>
      <x:c r="L287" s="28" t="str">
        <x:v>The Art &amp; Science of Foodpairing.pdf | Таблица сочетания(1).pdf</x:v>
      </x:c>
      <x:c r="M287" s="28" t="str">
        <x:v>Таблица сочетания(1).pdf: 14 | The Art &amp; Science of Foodpairing.pdf: 260–261</x:v>
      </x:c>
    </x:row>
    <x:row r="288" ht="64" customHeight="1">
      <x:c r="A288" s="28" t="str">
        <x:v>STN-0347</x:v>
      </x:c>
      <x:c r="B288" s="28" t="str">
        <x:v>нектарин</x:v>
      </x:c>
      <x:c r="C288" s="28" t="str">
        <x:v>нектарин</x:v>
      </x:c>
      <x:c r="D288" s="28" t="str">
        <x:v>тертый сырой корень сельдерея</x:v>
      </x:c>
      <x:c r="E288" s="28" t="str">
        <x:v>Сыры и молочные продукты</x:v>
      </x:c>
      <x:c r="F288" s="28" t="str">
        <x:v>комплементарность ароматических семейств, вкусовой контраст и матричный эффект</x:v>
      </x:c>
      <x:c r="G28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Тертый сырой корень сельдерея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 Обработка: 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H288" s="28" t="str">
        <x:v>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I288" s="28" t="str">
        <x:v>не перегревать и не переслащивать; иначе исчезает свежая фруктовая детализация. Избыток кислоты может свернуть молочную основу; фрукт и сыр проверяют при рабочей температуре.</x:v>
      </x:c>
      <x:c r="J288" s="28" t="str">
        <x:v>тарт, крем, мороженое, выпечка, сырная подача или начинка</x:v>
      </x:c>
      <x:c r="K288" s="28" t="str">
        <x:v>Средняя</x:v>
      </x:c>
      <x:c r="L288" s="28" t="str">
        <x:v>The Art &amp; Science of Foodpairing.pdf</x:v>
      </x:c>
      <x:c r="M288" s="28" t="str">
        <x:v>The Art &amp; Science of Foodpairing.pdf: 260–261</x:v>
      </x:c>
    </x:row>
    <x:row r="289" ht="64" customHeight="1">
      <x:c r="A289" s="28" t="str">
        <x:v>STN-0348</x:v>
      </x:c>
      <x:c r="B289" s="28" t="str">
        <x:v>нектарин</x:v>
      </x:c>
      <x:c r="C289" s="28" t="str">
        <x:v>нектарин</x:v>
      </x:c>
      <x:c r="D289" s="28" t="str">
        <x:v>томаты черри</x:v>
      </x:c>
      <x:c r="E289" s="28" t="str">
        <x:v>Овощи и корнеплоды</x:v>
      </x:c>
      <x:c r="F289" s="28" t="str">
        <x:v>прямое или классовое перекрытие характерных одорантов + вкусовой баланс</x:v>
      </x:c>
      <x:c r="G28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Томаты черри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8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8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89" s="28" t="str">
        <x:v>соус, глазировка, чатни, маринад, гарнир или основное блюдо</x:v>
      </x:c>
      <x:c r="K289" s="28" t="str">
        <x:v>Средняя</x:v>
      </x:c>
      <x:c r="L289" s="28" t="str">
        <x:v>The Art &amp; Science of Foodpairing.pdf</x:v>
      </x:c>
      <x:c r="M289" s="28" t="str">
        <x:v>The Art &amp; Science of Foodpairing.pdf: 260–261</x:v>
      </x:c>
    </x:row>
    <x:row r="290" ht="64" customHeight="1">
      <x:c r="A290" s="28" t="str">
        <x:v>STN-0349</x:v>
      </x:c>
      <x:c r="B290" s="28" t="str">
        <x:v>нектарин</x:v>
      </x:c>
      <x:c r="C290" s="28" t="str">
        <x:v>нектарин</x:v>
      </x:c>
      <x:c r="D290" s="28" t="str">
        <x:v>тушеная пикша</x:v>
      </x:c>
      <x:c r="E290" s="28" t="str">
        <x:v>Рыба и морепродукты</x:v>
      </x:c>
      <x:c r="F290" s="28" t="str">
        <x:v>комплементарность ароматических семейств, вкусовой контраст и матричный эффект</x:v>
      </x:c>
      <x:c r="G29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Тушеная пикша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9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90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90" s="28" t="str">
        <x:v>соус, глазировка, чатни, маринад, гарнир или основное блюдо</x:v>
      </x:c>
      <x:c r="K290" s="28" t="str">
        <x:v>Средняя</x:v>
      </x:c>
      <x:c r="L290" s="28" t="str">
        <x:v>The Art &amp; Science of Foodpairing.pdf</x:v>
      </x:c>
      <x:c r="M290" s="28" t="str">
        <x:v>The Art &amp; Science of Foodpairing.pdf: 260–261</x:v>
      </x:c>
    </x:row>
    <x:row r="291" ht="64" customHeight="1">
      <x:c r="A291" s="28" t="str">
        <x:v>STN-0350</x:v>
      </x:c>
      <x:c r="B291" s="28" t="str">
        <x:v>нектарин</x:v>
      </x:c>
      <x:c r="C291" s="28" t="str">
        <x:v>нектарин</x:v>
      </x:c>
      <x:c r="D291" s="28" t="str">
        <x:v>укроп</x:v>
      </x:c>
      <x:c r="E291" s="28" t="str">
        <x:v>Травы и цветы</x:v>
      </x:c>
      <x:c r="F291" s="28" t="str">
        <x:v>прямое или классовое перекрытие характерных одорантов + вкусовой баланс</x:v>
      </x:c>
      <x:c r="G29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9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9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91" s="28" t="str">
        <x:v>напиток, соус, десерт или горячее блюдо после пробной дегустации</x:v>
      </x:c>
      <x:c r="K291" s="28" t="str">
        <x:v>Средняя</x:v>
      </x:c>
      <x:c r="L291" s="28" t="str">
        <x:v>The Art &amp; Science of Foodpairing.pdf</x:v>
      </x:c>
      <x:c r="M291" s="28" t="str">
        <x:v>The Art &amp; Science of Foodpairing.pdf: 260–261</x:v>
      </x:c>
    </x:row>
    <x:row r="292" ht="64" customHeight="1">
      <x:c r="A292" s="28" t="str">
        <x:v>STN-0351</x:v>
      </x:c>
      <x:c r="B292" s="28" t="str">
        <x:v>нектарин</x:v>
      </x:c>
      <x:c r="C292" s="28" t="str">
        <x:v>нектарин</x:v>
      </x:c>
      <x:c r="D292" s="28" t="str">
        <x:v>устрица</x:v>
      </x:c>
      <x:c r="E292" s="28" t="str">
        <x:v>Рыба и морепродукты</x:v>
      </x:c>
      <x:c r="F292" s="28" t="str">
        <x:v>комплементарность ароматических семейств, вкусовой контраст и матричный эффект</x:v>
      </x:c>
      <x:c r="G29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Устрица относится к группе «Рыба и морепродукты» 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белок чувствителен к кислоте и протеазам; жирная рыба лучше удерживает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кислота освежает, но длительный контакт меняет текстуру; перегрев усиливает рыбные ноты.</x:v>
      </x:c>
      <x:c r="H29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кислота освежает, но длительный контакт меняет текстуру; перегрев усиливает рыбные ноты.</x:v>
      </x:c>
      <x:c r="I292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92" s="28" t="str">
        <x:v>соус, глазировка, чатни, маринад, гарнир или основное блюдо</x:v>
      </x:c>
      <x:c r="K292" s="28" t="str">
        <x:v>Средняя</x:v>
      </x:c>
      <x:c r="L292" s="28" t="str">
        <x:v>The Art &amp; Science of Foodpairing.pdf</x:v>
      </x:c>
      <x:c r="M292" s="28" t="str">
        <x:v>The Art &amp; Science of Foodpairing.pdf: 368 | The Art &amp; Science of Foodpairing.pdf: 371</x:v>
      </x:c>
    </x:row>
    <x:row r="293" ht="64" customHeight="1">
      <x:c r="A293" s="28" t="str">
        <x:v>STN-0352</x:v>
      </x:c>
      <x:c r="B293" s="28" t="str">
        <x:v>нектарин</x:v>
      </x:c>
      <x:c r="C293" s="28" t="str">
        <x:v>нектарин</x:v>
      </x:c>
      <x:c r="D293" s="28" t="str">
        <x:v>филе скумбрии</x:v>
      </x:c>
      <x:c r="E293" s="28" t="str">
        <x:v>Рыба и морепродукты</x:v>
      </x:c>
      <x:c r="F293" s="28" t="str">
        <x:v>комплементарность ароматических семейств, вкусовой контраст и матричный эффект</x:v>
      </x:c>
      <x:c r="G29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Филе скумбрии относится к группе «Рыба и морепродукты» и даёт профиль «морской, йодистый, зелёный, жирный»; типичные соединения или классы: альдегиды окисления липидов, бромфенолы, диметилсульфид, умами-соединения. По доступным материалам нельзя уверенно свести совместимость к одной общей молекуле. Общие ароматические направления: зелёный.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кислота может денатурировать поверхностные белки; жир рыбы удерживает терпены.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H29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I293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93" s="28" t="str">
        <x:v>соус, глазировка, чатни, маринад, гарнир или основное блюдо</x:v>
      </x:c>
      <x:c r="K293" s="28" t="str">
        <x:v>Средняя</x:v>
      </x:c>
      <x:c r="L293" s="28" t="str">
        <x:v>The Art &amp; Science of Foodpairing.pdf</x:v>
      </x:c>
      <x:c r="M293" s="28" t="str">
        <x:v>The Art &amp; Science of Foodpairing.pdf: 260–261</x:v>
      </x:c>
    </x:row>
    <x:row r="294" ht="64" customHeight="1">
      <x:c r="A294" s="28" t="str">
        <x:v>STN-0353</x:v>
      </x:c>
      <x:c r="B294" s="28" t="str">
        <x:v>нектарин</x:v>
      </x:c>
      <x:c r="C294" s="28" t="str">
        <x:v>нектарин</x:v>
      </x:c>
      <x:c r="D294" s="28" t="str">
        <x:v>филе трески</x:v>
      </x:c>
      <x:c r="E294" s="28" t="str">
        <x:v>Рыба и морепродукты</x:v>
      </x:c>
      <x:c r="F294" s="28" t="str">
        <x:v>комплементарность ароматических семейств, вкусовой контраст и матричный эффект</x:v>
      </x:c>
      <x:c r="G29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Филе трески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9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94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94" s="28" t="str">
        <x:v>соус, глазировка, чатни, маринад, гарнир или основное блюдо</x:v>
      </x:c>
      <x:c r="K294" s="28" t="str">
        <x:v>Средняя</x:v>
      </x:c>
      <x:c r="L294" s="28" t="str">
        <x:v>The Art &amp; Science of Foodpairing.pdf</x:v>
      </x:c>
      <x:c r="M294" s="28" t="str">
        <x:v>The Art &amp; Science of Foodpairing.pdf: 260–261</x:v>
      </x:c>
    </x:row>
    <x:row r="295" ht="64" customHeight="1">
      <x:c r="A295" s="28" t="str">
        <x:v>STN-0354</x:v>
      </x:c>
      <x:c r="B295" s="28" t="str">
        <x:v>нектарин</x:v>
      </x:c>
      <x:c r="C295" s="28" t="str">
        <x:v>нектарин</x:v>
      </x:c>
      <x:c r="D295" s="28" t="str">
        <x:v>финик</x:v>
      </x:c>
      <x:c r="E295" s="28" t="str">
        <x:v>Сухофрукты и тропические плоды</x:v>
      </x:c>
      <x:c r="F295" s="28" t="str">
        <x:v>комплементарность ароматических семейств, вкусовой контраст и матричный эффект</x:v>
      </x:c>
      <x:c r="G29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Финик относится к группе «Сухофрукты и тропические плоды» и даёт профиль «медовый, карамельный, сухофруктовый, ореховый и пряный»; типичные соединения или классы: фураны, альдегиды Стреккера, фенольные соединения и продукты карамелизации.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очень высокая сладость, низкая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плотная сахаристая и вязкая; хорошо связывает жир и специи.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H29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I29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95" s="28" t="str">
        <x:v>напиток, соус, десерт или горячее блюдо после пробной дегустации</x:v>
      </x:c>
      <x:c r="K295" s="28" t="str">
        <x:v>Гипотеза / практическая</x:v>
      </x:c>
      <x:c r="L295" s="28" t="str">
        <x:v>Таблица сочетания(1).pdf</x:v>
      </x:c>
      <x:c r="M295" s="28" t="str">
        <x:v>Таблица сочетания(1).pdf: Таблица сочетаний: 7 | Таблица сочетания(1).pdf: 7</x:v>
      </x:c>
    </x:row>
    <x:row r="296" ht="64" customHeight="1">
      <x:c r="A296" s="28" t="str">
        <x:v>STN-0355</x:v>
      </x:c>
      <x:c r="B296" s="28" t="str">
        <x:v>нектарин</x:v>
      </x:c>
      <x:c r="C296" s="28" t="str">
        <x:v>нектарин</x:v>
      </x:c>
      <x:c r="D296" s="28" t="str">
        <x:v>фисташка</x:v>
      </x:c>
      <x:c r="E296" s="28" t="str">
        <x:v>Орехи и семена</x:v>
      </x:c>
      <x:c r="F296" s="28" t="str">
        <x:v>прямое или классовое перекрытие характерных одорантов + вкусовой баланс</x:v>
      </x:c>
      <x:c r="G29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Фисташка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9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96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J296" s="28" t="str">
        <x:v>тарт, крем, мороженое, выпечка, сырная подача или начинка</x:v>
      </x:c>
      <x:c r="K296" s="28" t="str">
        <x:v>Высокая</x:v>
      </x:c>
      <x:c r="L296" s="28" t="str">
        <x:v>The Art &amp; Science of Foodpairing.pdf | Таблица сочетания(1).pdf</x:v>
      </x:c>
      <x:c r="M296" s="28" t="str">
        <x:v>Таблица сочетания(1).pdf: 14 | The Art &amp; Science of Foodpairing.pdf: 260–261</x:v>
      </x:c>
    </x:row>
    <x:row r="297" ht="64" customHeight="1">
      <x:c r="A297" s="28" t="str">
        <x:v>STN-0356</x:v>
      </x:c>
      <x:c r="B297" s="28" t="str">
        <x:v>нектарин</x:v>
      </x:c>
      <x:c r="C297" s="28" t="str">
        <x:v>нектарин</x:v>
      </x:c>
      <x:c r="D297" s="28" t="str">
        <x:v>фундук</x:v>
      </x:c>
      <x:c r="E297" s="28" t="str">
        <x:v>Орехи и семена</x:v>
      </x:c>
      <x:c r="F297" s="28" t="str">
        <x:v>комплементарность ароматических семейств, вкусовой контраст и матричный эффект</x:v>
      </x:c>
      <x:c r="G29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Фундук относится к группе «Орехи и семена» и даёт профиль «жареный ореховый и маслянистый»; типичные соединения или классы: филбертон, пиразины. По доступным материалам нельзя уверенно свести совместимость к одной общей молекуле.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9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97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J297" s="28" t="str">
        <x:v>тарт, крем, мороженое, выпечка, сырная подача или начинка</x:v>
      </x:c>
      <x:c r="K297" s="28" t="str">
        <x:v>Высокая</x:v>
      </x:c>
      <x:c r="L297" s="28" t="str">
        <x:v>The Art &amp; Science of Foodpairing.pdf | Таблица сочетания(1).pdf</x:v>
      </x:c>
      <x:c r="M297" s="28" t="str">
        <x:v>Таблица сочетания(1).pdf: 14 | The Art &amp; Science of Foodpairing.pdf: 333</x:v>
      </x:c>
    </x:row>
    <x:row r="298" ht="64" customHeight="1">
      <x:c r="A298" s="28" t="str">
        <x:v>STN-0357</x:v>
      </x:c>
      <x:c r="B298" s="28" t="str">
        <x:v>нектарин</x:v>
      </x:c>
      <x:c r="C298" s="28" t="str">
        <x:v>нектарин</x:v>
      </x:c>
      <x:c r="D298" s="28" t="str">
        <x:v>хвоя сосны</x:v>
      </x:c>
      <x:c r="E298" s="28" t="str">
        <x:v>Травы, листья и цветы</x:v>
      </x:c>
      <x:c r="F298" s="28" t="str">
        <x:v>прямое или классовое перекрытие характерных одорантов + вкусовой баланс</x:v>
      </x:c>
      <x:c r="G29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Хвоя сосны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298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29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98" s="28" t="str">
        <x:v>напиток, соус, десерт или горячее блюдо после пробной дегустации</x:v>
      </x:c>
      <x:c r="K298" s="28" t="str">
        <x:v>Средняя</x:v>
      </x:c>
      <x:c r="L298" s="28" t="str">
        <x:v>The Art &amp; Science of Foodpairing.pdf</x:v>
      </x:c>
      <x:c r="M298" s="28" t="str">
        <x:v>The Art &amp; Science of Foodpairing.pdf: 260–261</x:v>
      </x:c>
    </x:row>
    <x:row r="299" ht="64" customHeight="1">
      <x:c r="A299" s="28" t="str">
        <x:v>STN-0358</x:v>
      </x:c>
      <x:c r="B299" s="28" t="str">
        <x:v>нектарин</x:v>
      </x:c>
      <x:c r="C299" s="28" t="str">
        <x:v>нектарин</x:v>
      </x:c>
      <x:c r="D299" s="28" t="str">
        <x:v>хурма</x:v>
      </x:c>
      <x:c r="E299" s="28" t="str">
        <x:v>Субтропические фрукты</x:v>
      </x:c>
      <x:c r="F299" s="28" t="str">
        <x:v>прямое или классовое перекрытие характерных одорантов + вкусовой баланс</x:v>
      </x:c>
      <x:c r="G29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Хурма относится к группе «Субтропические фрукты» и даёт профиль «медовый, абрикосовый, цветочный, пряный и слегка тыквенный»; типичные соединения или классы: каротиноидные норизопреноиды, фруктовые эфиры, линалоол, C6-альдегиды. В рабочих профилях пересекаются: линалоол, c6-альдегиды, фруктовые эфиры.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сладость; у вяжущих сортов много растворимых танинов.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пектиновая, мягкая и вязкая; зрелость резко меняет терпкость.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хурма сильно вяжет; с большим количеством дубильных партнёров сочетание становится сухим.</x:v>
      </x:c>
      <x:c r="H29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хурма сильно вяжет; с большим количеством дубильных партнёров сочетание становится сухим.</x:v>
      </x:c>
      <x:c r="I29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99" s="28" t="str">
        <x:v>напиток, соус, десерт или горячее блюдо после пробной дегустации</x:v>
      </x:c>
      <x:c r="K299" s="28" t="str">
        <x:v>Гипотеза / практическая</x:v>
      </x:c>
      <x:c r="L299" s="28" t="str">
        <x:v>Таблица сочетания(1).pdf</x:v>
      </x:c>
      <x:c r="M299" s="28" t="str">
        <x:v>Таблица сочетания(1).pdf: Таблица сочетаний: 16 | Таблица сочетания(1).pdf: 16</x:v>
      </x:c>
    </x:row>
    <x:row r="300" ht="64" customHeight="1">
      <x:c r="A300" s="28" t="str">
        <x:v>STN-0359</x:v>
      </x:c>
      <x:c r="B300" s="28" t="str">
        <x:v>нектарин</x:v>
      </x:c>
      <x:c r="C300" s="28" t="str">
        <x:v>нектарин</x:v>
      </x:c>
      <x:c r="D300" s="28" t="str">
        <x:v>цветы бузины</x:v>
      </x:c>
      <x:c r="E300" s="28" t="str">
        <x:v>Травы и цветы</x:v>
      </x:c>
      <x:c r="F300" s="28" t="str">
        <x:v>прямое или классовое перекрытие характерных одорантов + вкусовой баланс</x:v>
      </x:c>
      <x:c r="G30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Цветы бузины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0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0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300" s="28" t="str">
        <x:v>напиток, соус, десерт или горячее блюдо после пробной дегустации</x:v>
      </x:c>
      <x:c r="K300" s="28" t="str">
        <x:v>Средняя</x:v>
      </x:c>
      <x:c r="L300" s="28" t="str">
        <x:v>The Art &amp; Science of Foodpairing.pdf</x:v>
      </x:c>
      <x:c r="M300" s="28" t="str">
        <x:v>The Art &amp; Science of Foodpairing.pdf: 260–261</x:v>
      </x:c>
    </x:row>
    <x:row r="301" ht="64" customHeight="1">
      <x:c r="A301" s="28" t="str">
        <x:v>STN-0360</x:v>
      </x:c>
      <x:c r="B301" s="28" t="str">
        <x:v>нектарин</x:v>
      </x:c>
      <x:c r="C301" s="28" t="str">
        <x:v>нектарин</x:v>
      </x:c>
      <x:c r="D301" s="28" t="str">
        <x:v>цикорий</x:v>
      </x:c>
      <x:c r="E301" s="28" t="str">
        <x:v>Овощи и корнеплоды</x:v>
      </x:c>
      <x:c r="F301" s="28" t="str">
        <x:v>прямое или классовое перекрытие характерных одорантов + вкусовой баланс</x:v>
      </x:c>
      <x:c r="G30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Цикорий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30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30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301" s="28" t="str">
        <x:v>соус, глазировка, чатни, маринад, гарнир или основное блюдо</x:v>
      </x:c>
      <x:c r="K301" s="28" t="str">
        <x:v>Средняя</x:v>
      </x:c>
      <x:c r="L301" s="28" t="str">
        <x:v>The Art &amp; Science of Foodpairing.pdf</x:v>
      </x:c>
      <x:c r="M301" s="28" t="str">
        <x:v>The Art &amp; Science of Foodpairing.pdf: 260–261</x:v>
      </x:c>
    </x:row>
    <x:row r="302" ht="64" customHeight="1">
      <x:c r="A302" s="28" t="str">
        <x:v>STN-0361</x:v>
      </x:c>
      <x:c r="B302" s="28" t="str">
        <x:v>нектарин</x:v>
      </x:c>
      <x:c r="C302" s="28" t="str">
        <x:v>нектарин</x:v>
      </x:c>
      <x:c r="D302" s="28" t="str">
        <x:v>черешня</x:v>
      </x:c>
      <x:c r="E302" s="28" t="str">
        <x:v>Ягоды и производные</x:v>
      </x:c>
      <x:c r="F302" s="28" t="str">
        <x:v>прямое или классовое перекрытие характерных одорантов + вкусовой баланс</x:v>
      </x:c>
      <x:c r="G30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Черешня относится к группе «Ягоды и производные» и даёт профиль «миндальный, сладко-фруктовый, цветочный»; типичные соединения или классы: бензальдегид, бета-дамасценон, эфиры. В рабочих профилях пересекаются: бензальдегид, эфиры. Общие ароматические направления: цветочный,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сладкий, умеренно кислый.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нежнее кислой вишни; легко становится приторной.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H30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I30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302" s="28" t="str">
        <x:v>напиток, соус, десерт или горячее блюдо после пробной дегустации</x:v>
      </x:c>
      <x:c r="K302" s="28" t="str">
        <x:v>Средняя</x:v>
      </x:c>
      <x:c r="L302" s="28" t="str">
        <x:v>The Art &amp; Science of Foodpairing.pdf</x:v>
      </x:c>
      <x:c r="M302" s="28" t="str">
        <x:v>The Art &amp; Science of Foodpairing.pdf: 260–261</x:v>
      </x:c>
    </x:row>
    <x:row r="303" ht="64" customHeight="1">
      <x:c r="A303" s="28" t="str">
        <x:v>STN-0362</x:v>
      </x:c>
      <x:c r="B303" s="28" t="str">
        <x:v>нектарин</x:v>
      </x:c>
      <x:c r="C303" s="28" t="str">
        <x:v>нектарин</x:v>
      </x:c>
      <x:c r="D303" s="28" t="str">
        <x:v>чернослив</x:v>
      </x:c>
      <x:c r="E303" s="28" t="str">
        <x:v>Сушёные косточковые фрукты</x:v>
      </x:c>
      <x:c r="F303" s="28" t="str">
        <x:v>прямое или классовое перекрытие характерных одорантов + вкусовой баланс</x:v>
      </x:c>
      <x:c r="G30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Чернослив относится к группе «Сушёные косточковые фрукты» и даёт профиль «тёмно-фруктовый, карамельный, винный, слегка дымный и миндальный»; типичные соединения или классы: фурфурол, 5-метилфурфурол, мальтол, лактоны, бензальдегид, продукты термического распада сахаров. В рабочих профилях пересекаются: бензальдегид. Общие ароматические направления: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маловодная, богатая сахарами, пектином и сорбитолом; хорошо удерживает специи и алкоголь.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H30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I30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303" s="28" t="str">
        <x:v>напиток, соус, десерт или горячее блюдо после пробной дегустации</x:v>
      </x:c>
      <x:c r="K303" s="28" t="str">
        <x:v>Средняя</x:v>
      </x:c>
      <x:c r="L303" s="28" t="str">
        <x:v>The Art &amp; Science of Foodpairing.pdf</x:v>
      </x:c>
      <x:c r="M303" s="28" t="str">
        <x:v>The Art &amp; Science of Foodpairing.pdf: 260–261</x:v>
      </x:c>
    </x:row>
    <x:row r="304" ht="64" customHeight="1">
      <x:c r="A304" s="28" t="str">
        <x:v>STN-0363</x:v>
      </x:c>
      <x:c r="B304" s="28" t="str">
        <x:v>нектарин</x:v>
      </x:c>
      <x:c r="C304" s="28" t="str">
        <x:v>нектарин</x:v>
      </x:c>
      <x:c r="D304" s="28" t="str">
        <x:v>шнитт-лук</x:v>
      </x:c>
      <x:c r="E304" s="28" t="str">
        <x:v>Травы, листья и цветы</x:v>
      </x:c>
      <x:c r="F304" s="28" t="str">
        <x:v>прямое или классовое перекрытие характерных одорантов + вкусовой баланс</x:v>
      </x:c>
      <x:c r="G30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Шнитт-лук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304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30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304" s="28" t="str">
        <x:v>напиток, соус, десерт или горячее блюдо после пробной дегустации</x:v>
      </x:c>
      <x:c r="K304" s="28" t="str">
        <x:v>Средняя</x:v>
      </x:c>
      <x:c r="L304" s="28" t="str">
        <x:v>The Art &amp; Science of Foodpairing.pdf</x:v>
      </x:c>
      <x:c r="M304" s="28" t="str">
        <x:v>The Art &amp; Science of Foodpairing.pdf: 260–261</x:v>
      </x:c>
    </x:row>
    <x:row r="305" ht="64" customHeight="1">
      <x:c r="A305" s="28" t="str">
        <x:v>STN-0364</x:v>
      </x:c>
      <x:c r="B305" s="28" t="str">
        <x:v>нектарин</x:v>
      </x:c>
      <x:c r="C305" s="28" t="str">
        <x:v>нектарин</x:v>
      </x:c>
      <x:c r="D305" s="28" t="str">
        <x:v>эстрагон</x:v>
      </x:c>
      <x:c r="E305" s="28" t="str">
        <x:v>Травы и цветы</x:v>
      </x:c>
      <x:c r="F305" s="28" t="str">
        <x:v>прямое или классовое перекрытие характерных одорантов + вкусовой баланс</x:v>
      </x:c>
      <x:c r="G30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Эстрагон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горьковатый, свежий.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летучие масла чувствительны к нагреву.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0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0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305" s="28" t="str">
        <x:v>напиток, соус, десерт или горячее блюдо после пробной дегустации</x:v>
      </x:c>
      <x:c r="K305" s="28" t="str">
        <x:v>Средняя</x:v>
      </x:c>
      <x:c r="L305" s="28" t="str">
        <x:v>The Art &amp; Science of Foodpairing.pdf</x:v>
      </x:c>
      <x:c r="M305" s="28" t="str">
        <x:v>The Art &amp; Science of Foodpairing.pdf: 260–261</x:v>
      </x:c>
    </x:row>
    <x:row r="306" ht="64" customHeight="1">
      <x:c r="A306" s="28" t="str">
        <x:v>STN-0365</x:v>
      </x:c>
      <x:c r="B306" s="28" t="str">
        <x:v>слива</x:v>
      </x:c>
      <x:c r="C306" s="28" t="str">
        <x:v>слива</x:v>
      </x:c>
      <x:c r="D306" s="28" t="str">
        <x:v>авокадо</x:v>
      </x:c>
      <x:c r="E306" s="28" t="str">
        <x:v>Тропические фрукты и жирные матрицы</x:v>
      </x:c>
      <x:c r="F306" s="28" t="str">
        <x:v>комплементарность ароматических семейств, вкусовой контраст и матричный эффект</x:v>
      </x:c>
      <x:c r="G30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Общие ароматические направления: зелёный. Базовый фрукт даёт: сладость и заметная яблочно-лимонная кислотность; кожица часто терпкая. Партнёр добавляет: мягкий, жирный, почти несладкий; лёгкая растительная горечь.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высокожировая эмульсия; хорошо растворяет гидрофобные ароматические молекулы.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30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306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06" s="28" t="str">
        <x:v>напиток, соус, десерт или горячее блюдо после пробной дегустации</x:v>
      </x:c>
      <x:c r="K306" s="28" t="str">
        <x:v>Гипотеза / практическая</x:v>
      </x:c>
      <x:c r="L306" s="28" t="str">
        <x:v>Таблица сочетания(1).pdf</x:v>
      </x:c>
      <x:c r="M306" s="28" t="str">
        <x:v>Таблица сочетания(1).pdf: Таблица сочетаний: 2 | Таблица сочетания(1).pdf: 2</x:v>
      </x:c>
    </x:row>
    <x:row r="307" ht="64" customHeight="1">
      <x:c r="A307" s="28" t="str">
        <x:v>STN-0366</x:v>
      </x:c>
      <x:c r="B307" s="28" t="str">
        <x:v>слива</x:v>
      </x:c>
      <x:c r="C307" s="28" t="str">
        <x:v>слива</x:v>
      </x:c>
      <x:c r="D307" s="28" t="str">
        <x:v>анис</x:v>
      </x:c>
      <x:c r="E307" s="28" t="str">
        <x:v>Специи и острые компоненты</x:v>
      </x:c>
      <x:c r="F307" s="28" t="str">
        <x:v>комплементарность ароматических семейств, вкусовой контраст и матричный эффект</x:v>
      </x:c>
      <x:c r="G30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Анис относится к группе «Специи и острые компоненты» и даёт профиль «сладкий лакричный и пряный»; типичные соединения или классы: анетол.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07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07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307" s="28" t="str">
        <x:v>напиток, соус, десерт или горячее блюдо после пробной дегустации</x:v>
      </x:c>
      <x:c r="K307" s="28" t="str">
        <x:v>Гипотеза / практическая</x:v>
      </x:c>
      <x:c r="L307" s="28" t="str">
        <x:v>Таблица сочетания(1).pdf</x:v>
      </x:c>
      <x:c r="M307" s="28" t="str">
        <x:v>Таблица сочетания(1).pdf: 17</x:v>
      </x:c>
    </x:row>
    <x:row r="308" ht="64" customHeight="1">
      <x:c r="A308" s="28" t="str">
        <x:v>STN-0368</x:v>
      </x:c>
      <x:c r="B308" s="28" t="str">
        <x:v>слива</x:v>
      </x:c>
      <x:c r="C308" s="28" t="str">
        <x:v>слива</x:v>
      </x:c>
      <x:c r="D308" s="28" t="str">
        <x:v>бадьян</x:v>
      </x:c>
      <x:c r="E308" s="28" t="str">
        <x:v>Специи и острые компоненты</x:v>
      </x:c>
      <x:c r="F308" s="28" t="str">
        <x:v>комплементарность ароматических семейств, вкусовой контраст и матричный эффект</x:v>
      </x:c>
      <x:c r="G30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Бадьян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08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08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308" s="28" t="str">
        <x:v>напиток, соус, десерт или горячее блюдо после пробной дегустации</x:v>
      </x:c>
      <x:c r="K308" s="28" t="str">
        <x:v>Гипотеза / практическая</x:v>
      </x:c>
      <x:c r="L308" s="28" t="str">
        <x:v>Таблица сочетания(1).pdf</x:v>
      </x:c>
      <x:c r="M308" s="28" t="str">
        <x:v>Таблица сочетания(1).pdf: 20</x:v>
      </x:c>
    </x:row>
    <x:row r="309" ht="64" customHeight="1">
      <x:c r="A309" s="28" t="str">
        <x:v>STN-0369</x:v>
      </x:c>
      <x:c r="B309" s="28" t="str">
        <x:v>слива</x:v>
      </x:c>
      <x:c r="C309" s="28" t="str">
        <x:v>слива</x:v>
      </x:c>
      <x:c r="D309" s="28" t="str">
        <x:v>базилик</x:v>
      </x:c>
      <x:c r="E309" s="28" t="str">
        <x:v>Травы и цветы</x:v>
      </x:c>
      <x:c r="F309" s="28" t="str">
        <x:v>прямое или классовое перекрытие характерных одорантов + вкусовой баланс</x:v>
      </x:c>
      <x:c r="G30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В рабочих профилях пересекаются: линалоол. Общие ароматические направления: цветочный, зелёный, пряный. 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09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09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09" s="28" t="str">
        <x:v>напиток, соус, десерт или горячее блюдо после пробной дегустации</x:v>
      </x:c>
      <x:c r="K309" s="28" t="str">
        <x:v>Гипотеза / практическая</x:v>
      </x:c>
      <x:c r="L309" s="28" t="str">
        <x:v>Таблица сочетания(1).pdf</x:v>
      </x:c>
      <x:c r="M309" s="28" t="str">
        <x:v>Таблица сочетания(1).pdf: 17</x:v>
      </x:c>
    </x:row>
    <x:row r="310" ht="64" customHeight="1">
      <x:c r="A310" s="28" t="str">
        <x:v>STN-0370</x:v>
      </x:c>
      <x:c r="B310" s="28" t="str">
        <x:v>слива</x:v>
      </x:c>
      <x:c r="C310" s="28" t="str">
        <x:v>слива</x:v>
      </x:c>
      <x:c r="D310" s="28" t="str">
        <x:v>ваниль</x:v>
      </x:c>
      <x:c r="E310" s="28" t="str">
        <x:v>Специи и острые компоненты</x:v>
      </x:c>
      <x:c r="F310" s="28" t="str">
        <x:v>прямое или классовое перекрытие характерных одорантов + вкусовой баланс</x:v>
      </x:c>
      <x:c r="G31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Ваниль относится к группе «Специи и острые компоненты» и даёт профиль «сладкий, сливочный и древесный»; типичные соединения или классы: ванилин, п-гидроксибензальдегид. В рабочих профилях пересекаются: бензальдегид.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10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10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310" s="28" t="str">
        <x:v>напиток, соус, десерт или горячее блюдо после пробной дегустации</x:v>
      </x:c>
      <x:c r="K310" s="28" t="str">
        <x:v>Гипотеза / практическая</x:v>
      </x:c>
      <x:c r="L310" s="28" t="str">
        <x:v>Таблица сочетания(1).pdf</x:v>
      </x:c>
      <x:c r="M310" s="28" t="str">
        <x:v>Таблица сочетания(1).pdf: 17</x:v>
      </x:c>
    </x:row>
    <x:row r="311" ht="64" customHeight="1">
      <x:c r="A311" s="28" t="str">
        <x:v>STN-0371</x:v>
      </x:c>
      <x:c r="B311" s="28" t="str">
        <x:v>слива</x:v>
      </x:c>
      <x:c r="C311" s="28" t="str">
        <x:v>слива</x:v>
      </x:c>
      <x:c r="D311" s="28" t="str">
        <x:v>вишня</x:v>
      </x:c>
      <x:c r="E311" s="28" t="str">
        <x:v>Косточковые фрукты</x:v>
      </x:c>
      <x:c r="F311" s="28" t="str">
        <x:v>прямое или классовое перекрытие характерных одорантов + вкусовой баланс</x:v>
      </x:c>
      <x:c r="G31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линалоол, эфиры. Общие ароматические направления: цветочный, фруктовый, миндальный. Базовый фрукт даёт: сладость и заметная яблочно-лимонная кислотность; кожица часто терпкая. Партнёр добавляет: сладость и умеренная кислотность.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пектиновая; кожица и косточка могут давать терпкость и миндальные ноты.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311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311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11" s="28" t="str">
        <x:v>напиток, соус, десерт или горячее блюдо после пробной дегустации</x:v>
      </x:c>
      <x:c r="K311" s="28" t="str">
        <x:v>Гипотеза / практическая</x:v>
      </x:c>
      <x:c r="L311" s="28" t="str">
        <x:v>Таблица сочетания(1).pdf</x:v>
      </x:c>
      <x:c r="M311" s="28" t="str">
        <x:v>Таблица сочетания(1).pdf: Таблица сочетаний: 4, 17 | Таблица сочетания(1).pdf: 4 | Таблица сочетания(1).pdf: 17</x:v>
      </x:c>
    </x:row>
    <x:row r="312" ht="64" customHeight="1">
      <x:c r="A312" s="28" t="str">
        <x:v>STN-0373</x:v>
      </x:c>
      <x:c r="B312" s="28" t="str">
        <x:v>слива</x:v>
      </x:c>
      <x:c r="C312" s="28" t="str">
        <x:v>слива</x:v>
      </x:c>
      <x:c r="D312" s="28" t="str">
        <x:v>грецкий орех</x:v>
      </x:c>
      <x:c r="E312" s="28" t="str">
        <x:v>Орехи и семена</x:v>
      </x:c>
      <x:c r="F312" s="28" t="str">
        <x:v>прямое или классовое перекрытие характерных одорантов + вкусовой баланс</x:v>
      </x:c>
      <x:c r="G31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Грецкий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1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12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J312" s="28" t="str">
        <x:v>тарт, крем, мороженое, выпечка, сырная подача или начинка</x:v>
      </x:c>
      <x:c r="K312" s="28" t="str">
        <x:v>Гипотеза / практическая</x:v>
      </x:c>
      <x:c r="L312" s="28" t="str">
        <x:v>Таблица сочетания(1).pdf</x:v>
      </x:c>
      <x:c r="M312" s="28" t="str">
        <x:v>Таблица сочетания(1).pdf: 17</x:v>
      </x:c>
    </x:row>
    <x:row r="313" ht="64" customHeight="1">
      <x:c r="A313" s="28" t="str">
        <x:v>STN-0374</x:v>
      </x:c>
      <x:c r="B313" s="28" t="str">
        <x:v>слива</x:v>
      </x:c>
      <x:c r="C313" s="28" t="str">
        <x:v>слива</x:v>
      </x:c>
      <x:c r="D313" s="28" t="str">
        <x:v>имбирь</x:v>
      </x:c>
      <x:c r="E313" s="28" t="str">
        <x:v>Специи и острые компоненты</x:v>
      </x:c>
      <x:c r="F313" s="28" t="str">
        <x:v>комплементарность ароматических семейств, вкусовой контраст и матричный эффект</x:v>
      </x:c>
      <x:c r="G31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13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13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313" s="28" t="str">
        <x:v>напиток, соус, десерт или горячее блюдо после пробной дегустации</x:v>
      </x:c>
      <x:c r="K313" s="28" t="str">
        <x:v>Гипотеза / практическая</x:v>
      </x:c>
      <x:c r="L313" s="28" t="str">
        <x:v>Таблица сочетания(1).pdf</x:v>
      </x:c>
      <x:c r="M313" s="28" t="str">
        <x:v>Таблица сочетания(1).pdf: 8 | Таблица сочетания(1).pdf: 17</x:v>
      </x:c>
    </x:row>
    <x:row r="314" ht="64" customHeight="1">
      <x:c r="A314" s="28" t="str">
        <x:v>STN-0375</x:v>
      </x:c>
      <x:c r="B314" s="28" t="str">
        <x:v>слива</x:v>
      </x:c>
      <x:c r="C314" s="28" t="str">
        <x:v>слива</x:v>
      </x:c>
      <x:c r="D314" s="28" t="str">
        <x:v>инжир</x:v>
      </x:c>
      <x:c r="E314" s="28" t="str">
        <x:v>Субтропические фрукты</x:v>
      </x:c>
      <x:c r="F314" s="28" t="str">
        <x:v>прямое или классовое перекрытие характерных одорантов + вкусовой баланс</x:v>
      </x:c>
      <x:c r="G31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бензальдегид, линалоол. Общие ароматические направления: цветочный, зелёный. Базовый фрукт даёт: сладость и заметная яблочно-лимонная кислотность; кожица часто терпкая. Партнёр добавляет: высокая сладость, низкая кислотность; семена дают хруст.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пектиновая и сахаристая; сушёный инжир концентрирует сахар, фенолы и карамельные ноты.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314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314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14" s="28" t="str">
        <x:v>напиток, соус, десерт или горячее блюдо после пробной дегустации</x:v>
      </x:c>
      <x:c r="K314" s="28" t="str">
        <x:v>Гипотеза / практическая</x:v>
      </x:c>
      <x:c r="L314" s="28" t="str">
        <x:v>Таблица сочетания(1).pdf</x:v>
      </x:c>
      <x:c r="M314" s="28" t="str">
        <x:v>Таблица сочетания(1).pdf: Таблица сочетаний: 17 | Таблица сочетания(1).pdf: 17</x:v>
      </x:c>
    </x:row>
    <x:row r="315" ht="64" customHeight="1">
      <x:c r="A315" s="28" t="str">
        <x:v>STN-0376</x:v>
      </x:c>
      <x:c r="B315" s="28" t="str">
        <x:v>слива</x:v>
      </x:c>
      <x:c r="C315" s="28" t="str">
        <x:v>слива</x:v>
      </x:c>
      <x:c r="D315" s="28" t="str">
        <x:v>испанский чоризо</x:v>
      </x:c>
      <x:c r="E315" s="28" t="str">
        <x:v>Мясо и птица</x:v>
      </x:c>
      <x:c r="F315" s="28" t="str">
        <x:v>комплементарность ароматических семейств, вкусовой контраст и матричный эффект</x:v>
      </x:c>
      <x:c r="G31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Испанский чоризо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Общие ароматические направления: пряный.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богата полифенолами; аромат хорошо работает в воде, сахаре и этаноле. Партнёр: жир удерживает фруктовые лактоны; белок смягчает кислотность. Обработка: нагрев усиливает джем, сухофрукты, специи и карамель; ферментация создаёт винные и эфирные ноты. Обжарка создаёт пиразины и фураны; фруктовый компонент лучше добавлять как глазировку или соус ближе к завершению.</x:v>
      </x:c>
      <x:c r="H315" s="28" t="str">
        <x:v>нагрев усиливает джем, сухофрукты, специи и карамель; ферментация создаёт винные и эфирные ноты. Обжарка создаёт пиразины и фураны; фруктовый компонент лучше добавлять как глазировку или соус ближе к завершению.</x:v>
      </x:c>
      <x:c r="I315" s="28" t="str">
        <x:v>избыток кожицы даёт грубую терпкость; косточки требуют осторожности. Избыток сахара делает соус липким и скрывает умами; кислоту и соль корректируют после уваривания.</x:v>
      </x:c>
      <x:c r="J315" s="28" t="str">
        <x:v>соус, глазировка, чатни, маринад, гарнир или основное блюдо</x:v>
      </x:c>
      <x:c r="K315" s="28" t="str">
        <x:v>Средняя</x:v>
      </x:c>
      <x:c r="L315" s="28" t="str">
        <x:v>The Art &amp; Science of Foodpairing.pdf</x:v>
      </x:c>
      <x:c r="M315" s="28" t="str">
        <x:v>The Art &amp; Science of Foodpairing.pdf: 288</x:v>
      </x:c>
    </x:row>
    <x:row r="316" ht="64" customHeight="1">
      <x:c r="A316" s="28" t="str">
        <x:v>STN-0377</x:v>
      </x:c>
      <x:c r="B316" s="28" t="str">
        <x:v>слива</x:v>
      </x:c>
      <x:c r="C316" s="28" t="str">
        <x:v>слива</x:v>
      </x:c>
      <x:c r="D316" s="28" t="str">
        <x:v>кардамон</x:v>
      </x:c>
      <x:c r="E316" s="28" t="str">
        <x:v>Специи и острые компоненты</x:v>
      </x:c>
      <x:c r="F316" s="28" t="str">
        <x:v>прямое или классовое перекрытие характерных одорантов + вкусовой баланс</x:v>
      </x:c>
      <x:c r="G31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Кардамон относится к группе «Специи и острые компоненты» и даёт профиль «цитрусовый, камфорный и цветочный»; типичные соединения или классы: 1,8-цинеол, α-терпинилацетат, линалоол. В рабочих профилях пересекаются: линалоол.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16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16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316" s="28" t="str">
        <x:v>напиток, соус, десерт или горячее блюдо после пробной дегустации</x:v>
      </x:c>
      <x:c r="K316" s="28" t="str">
        <x:v>Гипотеза / практическая</x:v>
      </x:c>
      <x:c r="L316" s="28" t="str">
        <x:v>Таблица сочетания(1).pdf</x:v>
      </x:c>
      <x:c r="M316" s="28" t="str">
        <x:v>Таблица сочетания(1).pdf: 17</x:v>
      </x:c>
    </x:row>
    <x:row r="317" ht="64" customHeight="1">
      <x:c r="A317" s="28" t="str">
        <x:v>STN-0378</x:v>
      </x:c>
      <x:c r="B317" s="28" t="str">
        <x:v>слива</x:v>
      </x:c>
      <x:c r="C317" s="28" t="str">
        <x:v>слива</x:v>
      </x:c>
      <x:c r="D317" s="28" t="str">
        <x:v>каштан</x:v>
      </x:c>
      <x:c r="E317" s="28" t="str">
        <x:v>Прочее</x:v>
      </x:c>
      <x:c r="F317" s="28" t="str">
        <x:v>комплементарность ароматических семейств, вкусовой контраст и матричный эффект</x:v>
      </x:c>
      <x:c r="G31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Каштан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317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317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17" s="28" t="str">
        <x:v>напиток, соус, десерт или горячее блюдо после пробной дегустации</x:v>
      </x:c>
      <x:c r="K317" s="28" t="str">
        <x:v>Гипотеза / практическая</x:v>
      </x:c>
      <x:c r="L317" s="28" t="str">
        <x:v>Таблица сочетания(1).pdf</x:v>
      </x:c>
      <x:c r="M317" s="28" t="str">
        <x:v>Таблица сочетания(1).pdf: 17</x:v>
      </x:c>
    </x:row>
    <x:row r="318" ht="64" customHeight="1">
      <x:c r="A318" s="28" t="str">
        <x:v>STN-0379</x:v>
      </x:c>
      <x:c r="B318" s="28" t="str">
        <x:v>слива</x:v>
      </x:c>
      <x:c r="C318" s="28" t="str">
        <x:v>слива</x:v>
      </x:c>
      <x:c r="D318" s="28" t="str">
        <x:v>кедровый орех</x:v>
      </x:c>
      <x:c r="E318" s="28" t="str">
        <x:v>Орехи и семена</x:v>
      </x:c>
      <x:c r="F318" s="28" t="str">
        <x:v>прямое или классовое перекрытие характерных одорантов + вкусовой баланс</x:v>
      </x:c>
      <x:c r="G31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Кедровый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18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18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J318" s="28" t="str">
        <x:v>тарт, крем, мороженое, выпечка, сырная подача или начинка</x:v>
      </x:c>
      <x:c r="K318" s="28" t="str">
        <x:v>Гипотеза / практическая</x:v>
      </x:c>
      <x:c r="L318" s="28" t="str">
        <x:v>Таблица сочетания(1).pdf</x:v>
      </x:c>
      <x:c r="M318" s="28" t="str">
        <x:v>Таблица сочетания(1).pdf: 16</x:v>
      </x:c>
    </x:row>
    <x:row r="319" ht="64" customHeight="1">
      <x:c r="A319" s="28" t="str">
        <x:v>STN-0382</x:v>
      </x:c>
      <x:c r="B319" s="28" t="str">
        <x:v>слива</x:v>
      </x:c>
      <x:c r="C319" s="28" t="str">
        <x:v>слива</x:v>
      </x:c>
      <x:c r="D319" s="28" t="str">
        <x:v>козий сыр</x:v>
      </x:c>
      <x:c r="E319" s="28" t="str">
        <x:v>Сыры и молочные продукты</x:v>
      </x:c>
      <x:c r="F319" s="28" t="str">
        <x:v>комплементарность ароматических семейств, вкусовой контраст и матричный эффект</x:v>
      </x:c>
      <x:c r="G31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Козий сыр относится к группе «Сыры и молочные продукты» и даёт профиль «молочный, травянистый и пикантный»; типичные соединения или классы: капроновая и каприловая кислоты, метилкетоны.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богата полифенолами; аромат хорошо работает в воде, сахаре и этаноле. Жир и белок партнёра удерживают гидрофобные лактоны, но высокая фруктовая кислота может нарушить молочную эмульсию. Обработка: нагрев усиливает джем, сухофрукты, специи и карамель; ферментация создаёт винные и эфирные ноты.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H319" s="28" t="str">
        <x:v>нагрев усиливает джем, сухофрукты, специи и карамель; ферментация создаёт винные и эфирные ноты.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I319" s="28" t="str">
        <x:v>избыток кожицы даёт грубую терпкость; косточки требуют осторожности. Избыток кислоты может свернуть молочную основу; фрукт и сыр проверяют при рабочей температуре.</x:v>
      </x:c>
      <x:c r="J319" s="28" t="str">
        <x:v>тарт, крем, мороженое, выпечка, сырная подача или начинка</x:v>
      </x:c>
      <x:c r="K319" s="28" t="str">
        <x:v>Средняя</x:v>
      </x:c>
      <x:c r="L319" s="28" t="str">
        <x:v>The Art &amp; Science of Foodpairing.pdf</x:v>
      </x:c>
      <x:c r="M319" s="28" t="str">
        <x:v>The Art &amp; Science of Foodpairing.pdf: 201</x:v>
      </x:c>
    </x:row>
    <x:row r="320" ht="64" customHeight="1">
      <x:c r="A320" s="28" t="str">
        <x:v>STN-0383</x:v>
      </x:c>
      <x:c r="B320" s="28" t="str">
        <x:v>слива</x:v>
      </x:c>
      <x:c r="C320" s="28" t="str">
        <x:v>слива</x:v>
      </x:c>
      <x:c r="D320" s="28" t="str">
        <x:v>корица</x:v>
      </x:c>
      <x:c r="E320" s="28" t="str">
        <x:v>Специи и острые компоненты</x:v>
      </x:c>
      <x:c r="F320" s="28" t="str">
        <x:v>комплементарность ароматических семейств, вкусовой контраст и матричный эффект</x:v>
      </x:c>
      <x:c r="G32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20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20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320" s="28" t="str">
        <x:v>напиток, соус, десерт или горячее блюдо после пробной дегустации</x:v>
      </x:c>
      <x:c r="K320" s="28" t="str">
        <x:v>Гипотеза / практическая</x:v>
      </x:c>
      <x:c r="L320" s="28" t="str">
        <x:v>Таблица сочетания(1).pdf</x:v>
      </x:c>
      <x:c r="M320" s="28" t="str">
        <x:v>Таблица сочетания(1).pdf: 17</x:v>
      </x:c>
    </x:row>
    <x:row r="321" ht="64" customHeight="1">
      <x:c r="A321" s="28" t="str">
        <x:v>STN-0386</x:v>
      </x:c>
      <x:c r="B321" s="28" t="str">
        <x:v>слива</x:v>
      </x:c>
      <x:c r="C321" s="28" t="str">
        <x:v>слива</x:v>
      </x:c>
      <x:c r="D321" s="28" t="str">
        <x:v>листья кориандра</x:v>
      </x:c>
      <x:c r="E321" s="28" t="str">
        <x:v>Травы/пряности</x:v>
      </x:c>
      <x:c r="F321" s="28" t="str">
        <x:v>комплементарность ароматических семейств, вкусовой контраст и матричный эффект</x:v>
      </x:c>
      <x:c r="G32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Листья кориандра относится к группе «Травы/пряности» и даёт профиль «цитрусовый, зелёный, цветочный»; типичные соединения или классы: линалол, деканаль, додеканаль.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сладость и заметная яблочно-лимонная кислотность; кожица часто терпкая. Партнёр добавляет: травяной, слегка горький.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листья чувствительны к нагреву; семена устойчивее и слаще.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H321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I321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21" s="28" t="str">
        <x:v>напиток, соус, десерт или горячее блюдо после пробной дегустации</x:v>
      </x:c>
      <x:c r="K321" s="28" t="str">
        <x:v>Средняя</x:v>
      </x:c>
      <x:c r="L321" s="28" t="str">
        <x:v>The Art &amp; Science of Foodpairing.pdf</x:v>
      </x:c>
      <x:c r="M321" s="28" t="str">
        <x:v>The Art &amp; Science of Foodpairing.pdf: 98 | The Art &amp; Science of Foodpairing.pdf: 99</x:v>
      </x:c>
    </x:row>
    <x:row r="322" ht="64" customHeight="1">
      <x:c r="A322" s="28" t="str">
        <x:v>STN-0387</x:v>
      </x:c>
      <x:c r="B322" s="28" t="str">
        <x:v>слива</x:v>
      </x:c>
      <x:c r="C322" s="28" t="str">
        <x:v>слива</x:v>
      </x:c>
      <x:c r="D322" s="28" t="str">
        <x:v>макадамия</x:v>
      </x:c>
      <x:c r="E322" s="28" t="str">
        <x:v>Орехи и семена</x:v>
      </x:c>
      <x:c r="F322" s="28" t="str">
        <x:v>прямое или классовое перекрытие характерных одорантов + вкусовой баланс</x:v>
      </x:c>
      <x:c r="G32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Макадамия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2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22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J322" s="28" t="str">
        <x:v>тарт, крем, мороженое, выпечка, сырная подача или начинка</x:v>
      </x:c>
      <x:c r="K322" s="28" t="str">
        <x:v>Гипотеза / практическая</x:v>
      </x:c>
      <x:c r="L322" s="28" t="str">
        <x:v>Таблица сочетания(1).pdf</x:v>
      </x:c>
      <x:c r="M322" s="28" t="str">
        <x:v>Таблица сочетания(1).pdf: 12</x:v>
      </x:c>
    </x:row>
    <x:row r="323" ht="64" customHeight="1">
      <x:c r="A323" s="28" t="str">
        <x:v>STN-0389</x:v>
      </x:c>
      <x:c r="B323" s="28" t="str">
        <x:v>слива</x:v>
      </x:c>
      <x:c r="C323" s="28" t="str">
        <x:v>слива</x:v>
      </x:c>
      <x:c r="D323" s="28" t="str">
        <x:v>мед</x:v>
      </x:c>
      <x:c r="E323" s="28" t="str">
        <x:v>Сахара, мёд и кондитерские основы</x:v>
      </x:c>
      <x:c r="F323" s="28" t="str">
        <x:v>комплементарность ароматических семейств, вкусовой контраст и матричный эффект</x:v>
      </x:c>
      <x:c r="G32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сладость и заметная яблочно-лимонная кислотность; кожица часто терпкая. Партнёр добавляет: высокая сладость.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вязкая сахарная; снижает летучесть и смягчает кислоту.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323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323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23" s="28" t="str">
        <x:v>напиток, соус, десерт или горячее блюдо после пробной дегустации</x:v>
      </x:c>
      <x:c r="K323" s="28" t="str">
        <x:v>Гипотеза / практическая</x:v>
      </x:c>
      <x:c r="L323" s="28" t="str">
        <x:v>Таблица сочетания(1).pdf</x:v>
      </x:c>
      <x:c r="M323" s="28" t="str">
        <x:v>Таблица сочетания(1).pdf: 17</x:v>
      </x:c>
    </x:row>
    <x:row r="324" ht="64" customHeight="1">
      <x:c r="A324" s="28" t="str">
        <x:v>STN-0390</x:v>
      </x:c>
      <x:c r="B324" s="28" t="str">
        <x:v>слива</x:v>
      </x:c>
      <x:c r="C324" s="28" t="str">
        <x:v>слива</x:v>
      </x:c>
      <x:c r="D324" s="28" t="str">
        <x:v>миндаль</x:v>
      </x:c>
      <x:c r="E324" s="28" t="str">
        <x:v>Орехи и семена</x:v>
      </x:c>
      <x:c r="F324" s="28" t="str">
        <x:v>прямое или классовое перекрытие характерных одорантов + вкусовой баланс</x:v>
      </x:c>
      <x:c r="G32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Миндаль относится к группе «Орехи и семена» и даёт профиль «марципановый и ореховый»; типичные соединения или классы: бензальдегид, пиразины после обжарки.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24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24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J324" s="28" t="str">
        <x:v>тарт, крем, мороженое, выпечка, сырная подача или начинка</x:v>
      </x:c>
      <x:c r="K324" s="28" t="str">
        <x:v>Гипотеза / практическая</x:v>
      </x:c>
      <x:c r="L324" s="28" t="str">
        <x:v>Таблица сочетания(1).pdf</x:v>
      </x:c>
      <x:c r="M324" s="28" t="str">
        <x:v>Таблица сочетания(1).pdf: 1 | Таблица сочетания(1).pdf: 17</x:v>
      </x:c>
    </x:row>
    <x:row r="325" ht="64" customHeight="1">
      <x:c r="A325" s="28" t="str">
        <x:v>STN-0391</x:v>
      </x:c>
      <x:c r="B325" s="28" t="str">
        <x:v>слива</x:v>
      </x:c>
      <x:c r="C325" s="28" t="str">
        <x:v>слива</x:v>
      </x:c>
      <x:c r="D325" s="28" t="str">
        <x:v>мускатный орех</x:v>
      </x:c>
      <x:c r="E325" s="28" t="str">
        <x:v>Орехи и семена</x:v>
      </x:c>
      <x:c r="F325" s="28" t="str">
        <x:v>прямое или классовое перекрытие характерных одорантов + вкусовой баланс</x:v>
      </x:c>
      <x:c r="G32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Мускатный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25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25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J325" s="28" t="str">
        <x:v>тарт, крем, мороженое, выпечка, сырная подача или начинка</x:v>
      </x:c>
      <x:c r="K325" s="28" t="str">
        <x:v>Гипотеза / практическая</x:v>
      </x:c>
      <x:c r="L325" s="28" t="str">
        <x:v>Таблица сочетания(1).pdf</x:v>
      </x:c>
      <x:c r="M325" s="28" t="str">
        <x:v>Таблица сочетания(1).pdf: 17</x:v>
      </x:c>
    </x:row>
    <x:row r="326" ht="64" customHeight="1">
      <x:c r="A326" s="28" t="str">
        <x:v>STN-0392</x:v>
      </x:c>
      <x:c r="B326" s="28" t="str">
        <x:v>слива</x:v>
      </x:c>
      <x:c r="C326" s="28" t="str">
        <x:v>слива</x:v>
      </x:c>
      <x:c r="D326" s="28" t="str">
        <x:v>мята</x:v>
      </x:c>
      <x:c r="E326" s="28" t="str">
        <x:v>Травы и цветы</x:v>
      </x:c>
      <x:c r="F326" s="28" t="str">
        <x:v>комплементарность ароматических семейств, вкусовой контраст и матричный эффект</x:v>
      </x:c>
      <x:c r="G32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2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26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26" s="28" t="str">
        <x:v>напиток, соус, десерт или горячее блюдо после пробной дегустации</x:v>
      </x:c>
      <x:c r="K326" s="28" t="str">
        <x:v>Гипотеза / практическая</x:v>
      </x:c>
      <x:c r="L326" s="28" t="str">
        <x:v>Таблица сочетания(1).pdf</x:v>
      </x:c>
      <x:c r="M326" s="28" t="str">
        <x:v>Таблица сочетания(1).pdf: 13 | Таблица сочетания(1).pdf: 17</x:v>
      </x:c>
    </x:row>
    <x:row r="327" ht="64" customHeight="1">
      <x:c r="A327" s="28" t="str">
        <x:v>STN-0393</x:v>
      </x:c>
      <x:c r="B327" s="28" t="str">
        <x:v>слива</x:v>
      </x:c>
      <x:c r="C327" s="28" t="str">
        <x:v>слива</x:v>
      </x:c>
      <x:c r="D327" s="28" t="str">
        <x:v>отварная или запеченная свекла</x:v>
      </x:c>
      <x:c r="E327" s="28" t="str">
        <x:v>Овощи и корнеплоды</x:v>
      </x:c>
      <x:c r="F327" s="28" t="str">
        <x:v>прямое или классовое перекрытие характерных одорантов + вкусовой баланс</x:v>
      </x:c>
      <x:c r="G32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Отварная или запеченная свекла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сладость и заметная яблочно-лимонная кислотность; кожица часто терпкая.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водная и клетчаточная матрица; обжарка усиливает сладость и Майяр.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H327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I327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27" s="28" t="str">
        <x:v>соус, глазировка, чатни, маринад, гарнир или основное блюдо</x:v>
      </x:c>
      <x:c r="K327" s="28" t="str">
        <x:v>Средняя</x:v>
      </x:c>
      <x:c r="L327" s="28" t="str">
        <x:v>The Art &amp; Science of Foodpairing.pdf</x:v>
      </x:c>
      <x:c r="M327" s="28" t="str">
        <x:v>The Art &amp; Science of Foodpairing.pdf: 222</x:v>
      </x:c>
    </x:row>
    <x:row r="328" ht="64" customHeight="1">
      <x:c r="A328" s="28" t="str">
        <x:v>STN-0394</x:v>
      </x:c>
      <x:c r="B328" s="28" t="str">
        <x:v>слива</x:v>
      </x:c>
      <x:c r="C328" s="28" t="str">
        <x:v>слива</x:v>
      </x:c>
      <x:c r="D328" s="28" t="str">
        <x:v>отварной корень сельдерея</x:v>
      </x:c>
      <x:c r="E328" s="28" t="str">
        <x:v>Овощи и корнеплоды</x:v>
      </x:c>
      <x:c r="F328" s="28" t="str">
        <x:v>прямое или классовое перекрытие характерных одорантов + вкусовой баланс</x:v>
      </x:c>
      <x:c r="G32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Отварной корень сельдерея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сладость и заметная яблочно-лимонная кислотность; кожица часто терпкая.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водная и клетчаточная матрица; обжарка усиливает сладость и Майяр.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H328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I328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28" s="28" t="str">
        <x:v>соус, глазировка, чатни, маринад, гарнир или основное блюдо</x:v>
      </x:c>
      <x:c r="K328" s="28" t="str">
        <x:v>Средняя</x:v>
      </x:c>
      <x:c r="L328" s="28" t="str">
        <x:v>The Art &amp; Science of Foodpairing.pdf</x:v>
      </x:c>
      <x:c r="M328" s="28" t="str">
        <x:v>The Art &amp; Science of Foodpairing.pdf: 53</x:v>
      </x:c>
    </x:row>
    <x:row r="329" ht="64" customHeight="1">
      <x:c r="A329" s="28" t="str">
        <x:v>STN-0395</x:v>
      </x:c>
      <x:c r="B329" s="28" t="str">
        <x:v>слива</x:v>
      </x:c>
      <x:c r="C329" s="28" t="str">
        <x:v>слива</x:v>
      </x:c>
      <x:c r="D329" s="28" t="str">
        <x:v>отварной лангустин</x:v>
      </x:c>
      <x:c r="E329" s="28" t="str">
        <x:v>Рыба и морепродукты</x:v>
      </x:c>
      <x:c r="F329" s="28" t="str">
        <x:v>комплементарность ароматических семейств, вкусовой контраст и матричный эффект</x:v>
      </x:c>
      <x:c r="G32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Отварной лангустин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богата полифенолами; аромат хорошо работает в воде, сахаре и этаноле. Партнёр: водно-белковая матрица; жирная рыба лучше удерживает лактоны.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H329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I329" s="28" t="str">
        <x:v>избыток кожицы даёт грубую терпкость; косточки требуют осторожности. Сильная сладость и длительный контакт с кислотой могут замаскировать морской вкус и изменить белковую текстуру.</x:v>
      </x:c>
      <x:c r="J329" s="28" t="str">
        <x:v>соус, глазировка, чатни, маринад, гарнир или основное блюдо</x:v>
      </x:c>
      <x:c r="K329" s="28" t="str">
        <x:v>Средняя</x:v>
      </x:c>
      <x:c r="L329" s="28" t="str">
        <x:v>The Art &amp; Science of Foodpairing.pdf</x:v>
      </x:c>
      <x:c r="M329" s="28" t="str">
        <x:v>The Art &amp; Science of Foodpairing.pdf: 152</x:v>
      </x:c>
    </x:row>
    <x:row r="330" ht="64" customHeight="1">
      <x:c r="A330" s="28" t="str">
        <x:v>STN-0396</x:v>
      </x:c>
      <x:c r="B330" s="28" t="str">
        <x:v>слива</x:v>
      </x:c>
      <x:c r="C330" s="28" t="str">
        <x:v>слива</x:v>
      </x:c>
      <x:c r="D330" s="28" t="str">
        <x:v>пармиджано-реджано</x:v>
      </x:c>
      <x:c r="E330" s="28" t="str">
        <x:v>Рыба и морепродукты</x:v>
      </x:c>
      <x:c r="F330" s="28" t="str">
        <x:v>комплементарность ароматических семейств, вкусовой контраст и матричный эффект</x:v>
      </x:c>
      <x:c r="G33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Пармиджано-реджано относится к группе «Рыба и морепродукты» и даёт профиль «жирный, морской, умами»; типичные соединения или классы: альдегиды, амины,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богата полифенолами; аромат хорошо работает в воде, сахаре и этаноле. Партнёр: белковая/жировая матрица; кислота снижает рыбные ноты.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30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30" s="28" t="str">
        <x:v>избыток кожицы даёт грубую терпкость; косточки требуют осторожности. Сильная сладость и длительный контакт с кислотой могут замаскировать морской вкус и изменить белковую текстуру.</x:v>
      </x:c>
      <x:c r="J330" s="28" t="str">
        <x:v>соус, глазировка, чатни, маринад, гарнир или основное блюдо</x:v>
      </x:c>
      <x:c r="K330" s="28" t="str">
        <x:v>Средняя</x:v>
      </x:c>
      <x:c r="L330" s="28" t="str">
        <x:v>The Art &amp; Science of Foodpairing.pdf</x:v>
      </x:c>
      <x:c r="M330" s="28" t="str">
        <x:v>The Art &amp; Science of Foodpairing.pdf: 283</x:v>
      </x:c>
    </x:row>
    <x:row r="331" ht="64" customHeight="1">
      <x:c r="A331" s="28" t="str">
        <x:v>STN-0397</x:v>
      </x:c>
      <x:c r="B331" s="28" t="str">
        <x:v>слива</x:v>
      </x:c>
      <x:c r="C331" s="28" t="str">
        <x:v>слива</x:v>
      </x:c>
      <x:c r="D331" s="28" t="str">
        <x:v>ревень</x:v>
      </x:c>
      <x:c r="E331" s="28" t="str">
        <x:v>Прочее</x:v>
      </x:c>
      <x:c r="F331" s="28" t="str">
        <x:v>комплементарность ароматических семейств, вкусовой контраст и матричный эффект</x:v>
      </x:c>
      <x:c r="G33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Ревень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331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331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31" s="28" t="str">
        <x:v>напиток, соус, десерт или горячее блюдо после пробной дегустации</x:v>
      </x:c>
      <x:c r="K331" s="28" t="str">
        <x:v>Гипотеза / практическая</x:v>
      </x:c>
      <x:c r="L331" s="28" t="str">
        <x:v>Таблица сочетания(1).pdf</x:v>
      </x:c>
      <x:c r="M331" s="28" t="str">
        <x:v>Таблица сочетания(1).pdf: 17</x:v>
      </x:c>
    </x:row>
    <x:row r="332" ht="64" customHeight="1">
      <x:c r="A332" s="28" t="str">
        <x:v>STN-0398</x:v>
      </x:c>
      <x:c r="B332" s="28" t="str">
        <x:v>слива</x:v>
      </x:c>
      <x:c r="C332" s="28" t="str">
        <x:v>слива</x:v>
      </x:c>
      <x:c r="D332" s="28" t="str">
        <x:v>рубленый чеснок</x:v>
      </x:c>
      <x:c r="E332" s="28" t="str">
        <x:v>Прочее</x:v>
      </x:c>
      <x:c r="F332" s="28" t="str">
        <x:v>комплементарность ароматических семейств, вкусовой контраст и матричный эффект</x:v>
      </x:c>
      <x:c r="G33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Рубленый чеснок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баланс зависит от продукта.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матрица зависит от формы продукта.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H33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I332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32" s="28" t="str">
        <x:v>напиток, соус, десерт или горячее блюдо после пробной дегустации</x:v>
      </x:c>
      <x:c r="K332" s="28" t="str">
        <x:v>Средняя</x:v>
      </x:c>
      <x:c r="L332" s="28" t="str">
        <x:v>The Art &amp; Science of Foodpairing.pdf</x:v>
      </x:c>
      <x:c r="M332" s="28" t="str">
        <x:v>The Art &amp; Science of Foodpairing.pdf: 112</x:v>
      </x:c>
    </x:row>
    <x:row r="333" ht="64" customHeight="1">
      <x:c r="A333" s="28" t="str">
        <x:v>STN-0399</x:v>
      </x:c>
      <x:c r="B333" s="28" t="str">
        <x:v>слива</x:v>
      </x:c>
      <x:c r="C333" s="28" t="str">
        <x:v>слива</x:v>
      </x:c>
      <x:c r="D333" s="28" t="str">
        <x:v>семена кардамона</x:v>
      </x:c>
      <x:c r="E333" s="28" t="str">
        <x:v>Специи</x:v>
      </x:c>
      <x:c r="F333" s="28" t="str">
        <x:v>комплементарность ароматических семейств, вкусовой контраст и матричный эффект</x:v>
      </x:c>
      <x:c r="G33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Семена кардамона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Общие ароматические направления: пряный. Базовый фрукт даёт: сладость и заметная яблочно-лимонная кислотность; кожица часто терпкая. Партнёр добавляет: пряный, иногда горький.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хорошо извлекаются спиртом и жиром.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33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33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33" s="28" t="str">
        <x:v>напиток, соус, десерт или горячее блюдо после пробной дегустации</x:v>
      </x:c>
      <x:c r="K333" s="28" t="str">
        <x:v>Средняя</x:v>
      </x:c>
      <x:c r="L333" s="28" t="str">
        <x:v>The Art &amp; Science of Foodpairing.pdf</x:v>
      </x:c>
      <x:c r="M333" s="28" t="str">
        <x:v>The Art &amp; Science of Foodpairing.pdf: 256</x:v>
      </x:c>
    </x:row>
    <x:row r="334" ht="64" customHeight="1">
      <x:c r="A334" s="28" t="str">
        <x:v>STN-0400</x:v>
      </x:c>
      <x:c r="B334" s="28" t="str">
        <x:v>слива</x:v>
      </x:c>
      <x:c r="C334" s="28" t="str">
        <x:v>слива</x:v>
      </x:c>
      <x:c r="D334" s="28" t="str">
        <x:v>традиционный бальзамический уксус</x:v>
      </x:c>
      <x:c r="E334" s="28" t="str">
        <x:v>Ферментированные продукты, соусы и уксусы</x:v>
      </x:c>
      <x:c r="F334" s="28" t="str">
        <x:v>прямое или классовое перекрытие характерных одорантов + вкусовой баланс</x:v>
      </x:c>
      <x:c r="G33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Традиционный бальзамический уксус относится к группе «Ферментированные продукты, соусы и уксусы» и даёт профиль «кислый, умами, ферментированный, солёный»; типичные соединения или классы: уксусная кислота, эфиры, аминокислотные и ферментационные соединения. В рабочих профилях пересекаются: эфиры. Кислота, соль и умами усиливают контраст с фруктовой сладостью; сочетание работает в малой дозировке как приправа. Матрица пары: сочная пектиновая мякоть; кожица богата полифенолами; аромат хорошо работает в воде, сахаре и этаноле. Партнёр: водная и солевая матрица; часть ароматов удерживается белком и сахаром.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H334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I334" s="28" t="str">
        <x:v>избыток кожицы даёт грубую терпкость; косточки требуют осторожности. Соль и кислота быстро становятся доминирующими; используйте как акцент.</x:v>
      </x:c>
      <x:c r="J334" s="28" t="str">
        <x:v>соус, глазировка, чатни, маринад, гарнир или основное блюдо</x:v>
      </x:c>
      <x:c r="K334" s="28" t="str">
        <x:v>Средняя</x:v>
      </x:c>
      <x:c r="L334" s="28" t="str">
        <x:v>The Art &amp; Science of Foodpairing.pdf</x:v>
      </x:c>
      <x:c r="M334" s="28" t="str">
        <x:v>The Art &amp; Science of Foodpairing.pdf: 316</x:v>
      </x:c>
    </x:row>
    <x:row r="335" ht="64" customHeight="1">
      <x:c r="A335" s="28" t="str">
        <x:v>STN-0401</x:v>
      </x:c>
      <x:c r="B335" s="28" t="str">
        <x:v>слива</x:v>
      </x:c>
      <x:c r="C335" s="28" t="str">
        <x:v>слива</x:v>
      </x:c>
      <x:c r="D335" s="28" t="str">
        <x:v>укроп</x:v>
      </x:c>
      <x:c r="E335" s="28" t="str">
        <x:v>Травы и цветы</x:v>
      </x:c>
      <x:c r="F335" s="28" t="str">
        <x:v>прямое или классовое перекрытие характерных одорантов + вкусовой баланс</x:v>
      </x:c>
      <x:c r="G33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35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35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35" s="28" t="str">
        <x:v>напиток, соус, десерт или горячее блюдо после пробной дегустации</x:v>
      </x:c>
      <x:c r="K335" s="28" t="str">
        <x:v>Гипотеза / практическая</x:v>
      </x:c>
      <x:c r="L335" s="28" t="str">
        <x:v>Таблица сочетания(1).pdf</x:v>
      </x:c>
      <x:c r="M335" s="28" t="str">
        <x:v>Таблица сочетания(1).pdf: 17</x:v>
      </x:c>
    </x:row>
    <x:row r="336" ht="64" customHeight="1">
      <x:c r="A336" s="28" t="str">
        <x:v>STN-0402</x:v>
      </x:c>
      <x:c r="B336" s="28" t="str">
        <x:v>слива</x:v>
      </x:c>
      <x:c r="C336" s="28" t="str">
        <x:v>слива</x:v>
      </x:c>
      <x:c r="D336" s="28" t="str">
        <x:v>фисташка</x:v>
      </x:c>
      <x:c r="E336" s="28" t="str">
        <x:v>Орехи и семена</x:v>
      </x:c>
      <x:c r="F336" s="28" t="str">
        <x:v>прямое или классовое перекрытие характерных одорантов + вкусовой баланс</x:v>
      </x:c>
      <x:c r="G33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Фисташка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3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36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J336" s="28" t="str">
        <x:v>тарт, крем, мороженое, выпечка, сырная подача или начинка</x:v>
      </x:c>
      <x:c r="K336" s="28" t="str">
        <x:v>Гипотеза / практическая</x:v>
      </x:c>
      <x:c r="L336" s="28" t="str">
        <x:v>Таблица сочетания(1).pdf</x:v>
      </x:c>
      <x:c r="M336" s="28" t="str">
        <x:v>Таблица сочетания(1).pdf: 17</x:v>
      </x:c>
    </x:row>
    <x:row r="337" ht="64" customHeight="1">
      <x:c r="A337" s="28" t="str">
        <x:v>STN-0403</x:v>
      </x:c>
      <x:c r="B337" s="28" t="str">
        <x:v>слива</x:v>
      </x:c>
      <x:c r="C337" s="28" t="str">
        <x:v>слива</x:v>
      </x:c>
      <x:c r="D337" s="28" t="str">
        <x:v>фундук</x:v>
      </x:c>
      <x:c r="E337" s="28" t="str">
        <x:v>Орехи и семена</x:v>
      </x:c>
      <x:c r="F337" s="28" t="str">
        <x:v>комплементарность ароматических семейств, вкусовой контраст и матричный эффект</x:v>
      </x:c>
      <x:c r="G33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Фундук относится к группе «Орехи и семена» и даёт профиль «жареный ореховый и маслянистый»; типичные соединения или классы: филбертон, пиразины. По доступным материалам нельзя уверенно свести совместимость к одной общей молекуле.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37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37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J337" s="28" t="str">
        <x:v>тарт, крем, мороженое, выпечка, сырная подача или начинка</x:v>
      </x:c>
      <x:c r="K337" s="28" t="str">
        <x:v>Гипотеза / практическая</x:v>
      </x:c>
      <x:c r="L337" s="28" t="str">
        <x:v>Таблица сочетания(1).pdf</x:v>
      </x:c>
      <x:c r="M337" s="28" t="str">
        <x:v>Таблица сочетания(1).pdf: 17</x:v>
      </x:c>
    </x:row>
    <x:row r="338" ht="64" customHeight="1">
      <x:c r="A338" s="28" t="str">
        <x:v>STN-0404</x:v>
      </x:c>
      <x:c r="B338" s="28" t="str">
        <x:v>слива</x:v>
      </x:c>
      <x:c r="C338" s="28" t="str">
        <x:v>слива</x:v>
      </x:c>
      <x:c r="D338" s="28" t="str">
        <x:v>черный перец</x:v>
      </x:c>
      <x:c r="E338" s="28" t="str">
        <x:v>Специи и острые компоненты</x:v>
      </x:c>
      <x:c r="F338" s="28" t="str">
        <x:v>комплементарность ароматических семейств, вкусовой контраст и матричный эффект</x:v>
      </x:c>
      <x:c r="G33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Черный перец относится к группе «Специи и острые компоненты» и даёт профиль «древесный, цитрусовый и пряный»; типичные соединения или классы: пиперин, лимонен, сабинен.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38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38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338" s="28" t="str">
        <x:v>напиток, соус, десерт или горячее блюдо после пробной дегустации</x:v>
      </x:c>
      <x:c r="K338" s="28" t="str">
        <x:v>Гипотеза / практическая</x:v>
      </x:c>
      <x:c r="L338" s="28" t="str">
        <x:v>Таблица сочетания(1).pdf</x:v>
      </x:c>
      <x:c r="M338" s="28" t="str">
        <x:v>Таблица сочетания(1).pdf: 17</x:v>
      </x:c>
    </x:row>
    <x:row r="339" ht="64" customHeight="1">
      <x:c r="A339" s="28" t="str">
        <x:v>STN-0406</x:v>
      </x:c>
      <x:c r="B339" s="28" t="str">
        <x:v>слива</x:v>
      </x:c>
      <x:c r="C339" s="28" t="str">
        <x:v>слива</x:v>
      </x:c>
      <x:c r="D339" s="28" t="str">
        <x:v>шоколад</x:v>
      </x:c>
      <x:c r="E339" s="28" t="str">
        <x:v>Чай, кофе и какао</x:v>
      </x:c>
      <x:c r="F339" s="28" t="str">
        <x:v>комплементарность ароматических семейств, вкусовой контраст и матричный эффект</x:v>
      </x:c>
      <x:c r="G33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яблочно-лимонная кислотность; кожица часто терпкая. Партнёр добавляет: горечь, терпкость и жареная сладость.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водные настои извлекают полифенолы; жир и сахар смягчают горечь.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339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339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39" s="28" t="str">
        <x:v>напиток, соус, десерт или горячее блюдо после пробной дегустации</x:v>
      </x:c>
      <x:c r="K339" s="28" t="str">
        <x:v>Гипотеза / практическая</x:v>
      </x:c>
      <x:c r="L339" s="28" t="str">
        <x:v>Таблица сочетания(1).pdf</x:v>
      </x:c>
      <x:c r="M339" s="28" t="str">
        <x:v>Таблица сочетания(1).pdf: 17</x:v>
      </x:c>
    </x:row>
    <x:row r="340" ht="64" customHeight="1">
      <x:c r="A340" s="28" t="str">
        <x:v>STN-0407</x:v>
      </x:c>
      <x:c r="B340" s="28" t="str">
        <x:v>слива</x:v>
      </x:c>
      <x:c r="C340" s="28" t="str">
        <x:v>слива</x:v>
      </x:c>
      <x:c r="D340" s="28" t="str">
        <x:v>ягоды можжевельника</x:v>
      </x:c>
      <x:c r="E340" s="28" t="str">
        <x:v>Прочее</x:v>
      </x:c>
      <x:c r="F340" s="28" t="str">
        <x:v>комплементарность ароматических семейств, вкусовой контраст и матричный эффект</x:v>
      </x:c>
      <x:c r="G34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Ягоды можжевельника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340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340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40" s="28" t="str">
        <x:v>напиток, соус, десерт или горячее блюдо после пробной дегустации</x:v>
      </x:c>
      <x:c r="K340" s="28" t="str">
        <x:v>Гипотеза / практическая</x:v>
      </x:c>
      <x:c r="L340" s="28" t="str">
        <x:v>Таблица сочетания(1).pdf</x:v>
      </x:c>
      <x:c r="M340" s="28" t="str">
        <x:v>Таблица сочетания(1).pdf: 10</x:v>
      </x:c>
    </x:row>
    <x:row r="341" ht="64" customHeight="1">
      <x:c r="A341" s="28" t="str">
        <x:v>STN-0408</x:v>
      </x:c>
      <x:c r="B341" s="28" t="str">
        <x:v>чернослив</x:v>
      </x:c>
      <x:c r="C341" s="28" t="str">
        <x:v>чернослив</x:v>
      </x:c>
      <x:c r="D341" s="28" t="str">
        <x:v>авокадо</x:v>
      </x:c>
      <x:c r="E341" s="28" t="str">
        <x:v>Тропические фрукты и жирные матрицы</x:v>
      </x:c>
      <x:c r="F341" s="28" t="str">
        <x:v>комплементарность ароматических семейств, вкусовой контраст и матричный эффект</x:v>
      </x:c>
      <x:c r="G34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мягкий, жирный, почти несладкий; лёгкая растительная горечь.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высокожировая эмульсия; хорошо растворяет гидрофобные ароматические молекулы.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341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341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41" s="28" t="str">
        <x:v>напиток, соус, десерт или горячее блюдо после пробной дегустации</x:v>
      </x:c>
      <x:c r="K341" s="28" t="str">
        <x:v>Средняя</x:v>
      </x:c>
      <x:c r="L341" s="28" t="str">
        <x:v>The Art &amp; Science of Foodpairing.pdf</x:v>
      </x:c>
      <x:c r="M341" s="28" t="str">
        <x:v>The Art &amp; Science of Foodpairing.pdf: 354</x:v>
      </x:c>
    </x:row>
    <x:row r="342" ht="64" customHeight="1">
      <x:c r="A342" s="28" t="str">
        <x:v>STN-0409</x:v>
      </x:c>
      <x:c r="B342" s="28" t="str">
        <x:v>чернослив</x:v>
      </x:c>
      <x:c r="C342" s="28" t="str">
        <x:v>чернослив</x:v>
      </x:c>
      <x:c r="D342" s="28" t="str">
        <x:v>ананас</x:v>
      </x:c>
      <x:c r="E342" s="28" t="str">
        <x:v>Тропические фрукты</x:v>
      </x:c>
      <x:c r="F342" s="28" t="str">
        <x:v>комплементарность ароматических семейств, вкусовой контраст и матричный эффект</x:v>
      </x:c>
      <x:c r="G34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Ананас относится к группе «Тропические фрукты» и даёт профиль «яркий фруктовый, конфетный, цитрусовый, зелёный и слегка сернистый»; типичные соединения или классы: метилгексаноат, этилгексаноат, этилбутират, метил-3-(метилтио)пропионат и другие сернистые следы.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выраженная сладость и кислотность; лёгкая терпкость сердцевины.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водная и кислая; содержит протеазу бромелайн, разрушающую белки.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H342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I342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42" s="28" t="str">
        <x:v>напиток, соус, десерт или горячее блюдо после пробной дегустации</x:v>
      </x:c>
      <x:c r="K342" s="28" t="str">
        <x:v>Средняя</x:v>
      </x:c>
      <x:c r="L342" s="28" t="str">
        <x:v>The Art &amp; Science of Foodpairing.pdf</x:v>
      </x:c>
      <x:c r="M342" s="28" t="str">
        <x:v>The Art &amp; Science of Foodpairing.pdf: 242</x:v>
      </x:c>
    </x:row>
    <x:row r="343" ht="64" customHeight="1">
      <x:c r="A343" s="28" t="str">
        <x:v>STN-0410</x:v>
      </x:c>
      <x:c r="B343" s="28" t="str">
        <x:v>чернослив</x:v>
      </x:c>
      <x:c r="C343" s="28" t="str">
        <x:v>чернослив</x:v>
      </x:c>
      <x:c r="D343" s="28" t="str">
        <x:v>анис</x:v>
      </x:c>
      <x:c r="E343" s="28" t="str">
        <x:v>Специи и острые компоненты</x:v>
      </x:c>
      <x:c r="F343" s="28" t="str">
        <x:v>комплементарность ароматических семейств, вкусовой контраст и матричный эффект</x:v>
      </x:c>
      <x:c r="G34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Анис относится к группе «Специи и острые компоненты» и даёт профиль «сладкий лакричный и пряный»; типичные соединения или классы: анетол.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43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43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343" s="28" t="str">
        <x:v>напиток, соус, десерт или горячее блюдо после пробной дегустации</x:v>
      </x:c>
      <x:c r="K343" s="28" t="str">
        <x:v>Гипотеза / практическая</x:v>
      </x:c>
      <x:c r="L343" s="28" t="str">
        <x:v>Таблица сочетания(1).pdf</x:v>
      </x:c>
      <x:c r="M343" s="28" t="str">
        <x:v>Таблица сочетания(1).pdf: 18</x:v>
      </x:c>
    </x:row>
    <x:row r="344" ht="64" customHeight="1">
      <x:c r="A344" s="28" t="str">
        <x:v>STN-0412</x:v>
      </x:c>
      <x:c r="B344" s="28" t="str">
        <x:v>чернослив</x:v>
      </x:c>
      <x:c r="C344" s="28" t="str">
        <x:v>чернослив</x:v>
      </x:c>
      <x:c r="D344" s="28" t="str">
        <x:v>артишок</x:v>
      </x:c>
      <x:c r="E344" s="28" t="str">
        <x:v>Овощи и грибы</x:v>
      </x:c>
      <x:c r="F344" s="28" t="str">
        <x:v>комплементарность ароматических семейств, вкусовой контраст и матричный эффект</x:v>
      </x:c>
      <x:c r="G34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Артишок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растительный, иногда умами.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высокая доля воды; нагрев меняет зелёный профиль.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4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44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44" s="28" t="str">
        <x:v>напиток, соус, десерт или горячее блюдо после пробной дегустации</x:v>
      </x:c>
      <x:c r="K344" s="28" t="str">
        <x:v>Средняя</x:v>
      </x:c>
      <x:c r="L344" s="28" t="str">
        <x:v>The Art &amp; Science of Foodpairing.pdf</x:v>
      </x:c>
      <x:c r="M344" s="28" t="str">
        <x:v>The Art &amp; Science of Foodpairing.pdf: 328</x:v>
      </x:c>
    </x:row>
    <x:row r="345" ht="64" customHeight="1">
      <x:c r="A345" s="28" t="str">
        <x:v>STN-0413</x:v>
      </x:c>
      <x:c r="B345" s="28" t="str">
        <x:v>чернослив</x:v>
      </x:c>
      <x:c r="C345" s="28" t="str">
        <x:v>чернослив</x:v>
      </x:c>
      <x:c r="D345" s="28" t="str">
        <x:v>базилик</x:v>
      </x:c>
      <x:c r="E345" s="28" t="str">
        <x:v>Травы и цветы</x:v>
      </x:c>
      <x:c r="F345" s="28" t="str">
        <x:v>комплементарность ароматических семейств, вкусовой контраст и матричный эффект</x:v>
      </x:c>
      <x:c r="G345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45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45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45" s="28" t="str">
        <x:v>напиток, соус, десерт или горячее блюдо после пробной дегустации</x:v>
      </x:c>
      <x:c r="K345" s="28" t="str">
        <x:v>Средняя</x:v>
      </x:c>
      <x:c r="L345" s="28" t="str">
        <x:v>The Art &amp; Science of Foodpairing.pdf</x:v>
      </x:c>
      <x:c r="M345" s="28" t="str">
        <x:v>The Art &amp; Science of Foodpairing.pdf: 75</x:v>
      </x:c>
    </x:row>
    <x:row r="346" ht="64" customHeight="1">
      <x:c r="A346" s="28" t="str">
        <x:v>STN-0414</x:v>
      </x:c>
      <x:c r="B346" s="28" t="str">
        <x:v>чернослив</x:v>
      </x:c>
      <x:c r="C346" s="28" t="str">
        <x:v>чернослив</x:v>
      </x:c>
      <x:c r="D346" s="28" t="str">
        <x:v>бри</x:v>
      </x:c>
      <x:c r="E346" s="28" t="str">
        <x:v>Прочее</x:v>
      </x:c>
      <x:c r="F346" s="28" t="str">
        <x:v>комплементарность ароматических семейств, вкусовой контраст и матричный эффект</x:v>
      </x:c>
      <x:c r="G346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Бри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важны вода, жир, белок, сахар и температура.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346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346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46" s="28" t="str">
        <x:v>напиток, соус, десерт или горячее блюдо после пробной дегустации</x:v>
      </x:c>
      <x:c r="K346" s="28" t="str">
        <x:v>Средняя</x:v>
      </x:c>
      <x:c r="L346" s="28" t="str">
        <x:v>The Art &amp; Science of Foodpairing.pdf</x:v>
      </x:c>
      <x:c r="M346" s="28" t="str">
        <x:v>The Art &amp; Science of Foodpairing.pdf: 336</x:v>
      </x:c>
    </x:row>
    <x:row r="347" ht="64" customHeight="1">
      <x:c r="A347" s="28" t="str">
        <x:v>STN-0415</x:v>
      </x:c>
      <x:c r="B347" s="28" t="str">
        <x:v>чернослив</x:v>
      </x:c>
      <x:c r="C347" s="28" t="str">
        <x:v>чернослив</x:v>
      </x:c>
      <x:c r="D347" s="28" t="str">
        <x:v>гвоздика</x:v>
      </x:c>
      <x:c r="E347" s="28" t="str">
        <x:v>Специи и острые компоненты</x:v>
      </x:c>
      <x:c r="F347" s="28" t="str">
        <x:v>комплементарность ароматических семейств, вкусовой контраст и матричный эффект</x:v>
      </x:c>
      <x:c r="G347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Гвоздика относится к группе «Специи и острые компоненты» и даёт профиль «тёплый, фенольный и пряный»; типичные соединения или классы: эвгенол, эвгенилацетат.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47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47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347" s="28" t="str">
        <x:v>напиток, соус, десерт или горячее блюдо после пробной дегустации</x:v>
      </x:c>
      <x:c r="K347" s="28" t="str">
        <x:v>Гипотеза / практическая</x:v>
      </x:c>
      <x:c r="L347" s="28" t="str">
        <x:v>Таблица сочетания(1).pdf</x:v>
      </x:c>
      <x:c r="M347" s="28" t="str">
        <x:v>Таблица сочетания(1).pdf: 5 | Таблица сочетания(1).pdf: 18</x:v>
      </x:c>
    </x:row>
    <x:row r="348" ht="64" customHeight="1">
      <x:c r="A348" s="28" t="str">
        <x:v>STN-0416</x:v>
      </x:c>
      <x:c r="B348" s="28" t="str">
        <x:v>чернослив</x:v>
      </x:c>
      <x:c r="C348" s="28" t="str">
        <x:v>чернослив</x:v>
      </x:c>
      <x:c r="D348" s="28" t="str">
        <x:v>грецкий орех</x:v>
      </x:c>
      <x:c r="E348" s="28" t="str">
        <x:v>Орехи и семена</x:v>
      </x:c>
      <x:c r="F348" s="28" t="str">
        <x:v>прямое или классовое перекрытие характерных одорантов + вкусовой баланс</x:v>
      </x:c>
      <x:c r="G348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Грецкий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48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48" s="28" t="str">
        <x:v>легко сделать вкус тяжёлым и приторным; нужна кислота, соль, горечь или умами. Сильная обжарка и прогорклый жир перекрывают цветочный профиль.</x:v>
      </x:c>
      <x:c r="J348" s="28" t="str">
        <x:v>тарт, крем, мороженое, выпечка, сырная подача или начинка</x:v>
      </x:c>
      <x:c r="K348" s="28" t="str">
        <x:v>Гипотеза / практическая</x:v>
      </x:c>
      <x:c r="L348" s="28" t="str">
        <x:v>Таблица сочетания(1).pdf</x:v>
      </x:c>
      <x:c r="M348" s="28" t="str">
        <x:v>Таблица сочетания(1).pdf: 18</x:v>
      </x:c>
    </x:row>
    <x:row r="349" ht="64" customHeight="1">
      <x:c r="A349" s="28" t="str">
        <x:v>STN-0417</x:v>
      </x:c>
      <x:c r="B349" s="28" t="str">
        <x:v>чернослив</x:v>
      </x:c>
      <x:c r="C349" s="28" t="str">
        <x:v>чернослив</x:v>
      </x:c>
      <x:c r="D349" s="28" t="str">
        <x:v>груша</x:v>
      </x:c>
      <x:c r="E349" s="28" t="str">
        <x:v>Семечковые фрукты</x:v>
      </x:c>
      <x:c r="F349" s="28" t="str">
        <x:v>комплементарность ароматических семейств, вкусовой контраст и матричный эффект</x:v>
      </x:c>
      <x:c r="G34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Груша относится к группе «Семечковые фрукты» и даёт профиль «сочный фруктовый, цветочный, медовый, зелёный; у зрелых сортов — винный и пряный»; типичные соединения или классы: этил (E,Z)-2,4-декадиеноат («грушевый эфир»), гексилацетат, бутилацетат, гексаналь, линалоол. По доступным материалам нельзя уверенно свести совместимость к одной общей молекуле. Общие ароматические направления: фруктовый, винный. Базовый фрукт даёт: высокая сладость, мягкая кислотность и плотная сухофруктовая насыщенность. Партнёр добавляет: мягкая сладость, умеренная кислотность, иногда лёгкая зернистость и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водная, богатая пектином и каменистыми клетками; летучие эфиры чувствительны к перегреву.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H349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I349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49" s="28" t="str">
        <x:v>напиток, соус, десерт или горячее блюдо после пробной дегустации</x:v>
      </x:c>
      <x:c r="K349" s="28" t="str">
        <x:v>Гипотеза / практическая</x:v>
      </x:c>
      <x:c r="L349" s="28" t="str">
        <x:v>Таблица сочетания(1).pdf</x:v>
      </x:c>
      <x:c r="M349" s="28" t="str">
        <x:v>Таблица сочетания(1).pdf: Таблица сочетаний: 18 | Таблица сочетания(1).pdf: 18</x:v>
      </x:c>
    </x:row>
    <x:row r="350" ht="64" customHeight="1">
      <x:c r="A350" s="28" t="str">
        <x:v>STN-0418</x:v>
      </x:c>
      <x:c r="B350" s="28" t="str">
        <x:v>чернослив</x:v>
      </x:c>
      <x:c r="C350" s="28" t="str">
        <x:v>чернослив</x:v>
      </x:c>
      <x:c r="D350" s="28" t="str">
        <x:v>доенджан</x:v>
      </x:c>
      <x:c r="E350" s="28" t="str">
        <x:v>Ферментированные продукты, соусы и уксусы</x:v>
      </x:c>
      <x:c r="F350" s="28" t="str">
        <x:v>комплементарность ароматических семейств, вкусовой контраст и матричный эффект</x:v>
      </x:c>
      <x:c r="G35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Доенджан относится к группе «Ферментированные продукты, соусы и уксусы» и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По доступным материалам нельзя уверенно свести совместимость к одной общей молекуле. Кислота, соль и умами усиливают контраст с фруктовой сладостью; сочетание работает в малой дозировке как приправа. Матрица пары: маловодная, богатая сахарами, пектином и сорбитолом; хорошо удерживает специи и алкоголь. Партнёр: часто водная и солёная; концентраты требуют малых доз.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H350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I350" s="28" t="str">
        <x:v>легко сделать вкус тяжёлым и приторным; нужна кислота, соль, горечь или умами. Соль и кислота быстро становятся доминирующими; используйте как акцент.</x:v>
      </x:c>
      <x:c r="J350" s="28" t="str">
        <x:v>соус, глазировка, чатни, маринад, гарнир или основное блюдо</x:v>
      </x:c>
      <x:c r="K350" s="28" t="str">
        <x:v>Средняя</x:v>
      </x:c>
      <x:c r="L350" s="28" t="str">
        <x:v>The Art &amp; Science of Foodpairing.pdf</x:v>
      </x:c>
      <x:c r="M350" s="28" t="str">
        <x:v>The Art &amp; Science of Foodpairing.pdf: 247</x:v>
      </x:c>
    </x:row>
    <x:row r="351" ht="64" customHeight="1">
      <x:c r="A351" s="28" t="str">
        <x:v>STN-0420</x:v>
      </x:c>
      <x:c r="B351" s="28" t="str">
        <x:v>чернослив</x:v>
      </x:c>
      <x:c r="C351" s="28" t="str">
        <x:v>чернослив</x:v>
      </x:c>
      <x:c r="D351" s="28" t="str">
        <x:v>имбирь</x:v>
      </x:c>
      <x:c r="E351" s="28" t="str">
        <x:v>Специи и острые компоненты</x:v>
      </x:c>
      <x:c r="F351" s="28" t="str">
        <x:v>комплементарность ароматических семейств, вкусовой контраст и матричный эффект</x:v>
      </x:c>
      <x:c r="G35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51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51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351" s="28" t="str">
        <x:v>напиток, соус, десерт или горячее блюдо после пробной дегустации</x:v>
      </x:c>
      <x:c r="K351" s="28" t="str">
        <x:v>Гипотеза / практическая</x:v>
      </x:c>
      <x:c r="L351" s="28" t="str">
        <x:v>Таблица сочетания(1).pdf</x:v>
      </x:c>
      <x:c r="M351" s="28" t="str">
        <x:v>Таблица сочетания(1).pdf: 18</x:v>
      </x:c>
    </x:row>
    <x:row r="352" ht="64" customHeight="1">
      <x:c r="A352" s="28" t="str">
        <x:v>STN-0421</x:v>
      </x:c>
      <x:c r="B352" s="28" t="str">
        <x:v>чернослив</x:v>
      </x:c>
      <x:c r="C352" s="28" t="str">
        <x:v>чернослив</x:v>
      </x:c>
      <x:c r="D352" s="28" t="str">
        <x:v>инжир</x:v>
      </x:c>
      <x:c r="E352" s="28" t="str">
        <x:v>Субтропические фрукты</x:v>
      </x:c>
      <x:c r="F352" s="28" t="str">
        <x:v>прямое или классовое перекрытие характерных одорантов + вкусовой баланс</x:v>
      </x:c>
      <x:c r="G35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бензальдегид. Базовый фрукт даёт: высокая сладость, мягкая кислотность и плотная сухофруктовая насыщенность. Партнёр добавляет: высокая сладость, низкая кислотность; семена дают хруст.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пектиновая и сахаристая; сушёный инжир концентрирует сахар, фенолы и карамельные ноты.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352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352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2" s="28" t="str">
        <x:v>напиток, соус, десерт или горячее блюдо после пробной дегустации</x:v>
      </x:c>
      <x:c r="K352" s="28" t="str">
        <x:v>Гипотеза / практическая</x:v>
      </x:c>
      <x:c r="L352" s="28" t="str">
        <x:v>Таблица сочетания(1).pdf</x:v>
      </x:c>
      <x:c r="M352" s="28" t="str">
        <x:v>Таблица сочетания(1).pdf: Таблица сочетаний: 18, 8 | Таблица сочетания(1).pdf: 8 | Таблица сочетания(1).pdf: 18</x:v>
      </x:c>
    </x:row>
    <x:row r="353" ht="64" customHeight="1">
      <x:c r="A353" s="28" t="str">
        <x:v>STN-0422</x:v>
      </x:c>
      <x:c r="B353" s="28" t="str">
        <x:v>чернослив</x:v>
      </x:c>
      <x:c r="C353" s="28" t="str">
        <x:v>чернослив</x:v>
      </x:c>
      <x:c r="D353" s="28" t="str">
        <x:v>карамель</x:v>
      </x:c>
      <x:c r="E353" s="28" t="str">
        <x:v>Сахара, мёд и кондитерские основы</x:v>
      </x:c>
      <x:c r="F353" s="28" t="str">
        <x:v>прямое или классовое перекрытие характерных одорантов + вкусовой баланс</x:v>
      </x:c>
      <x:c r="G35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В рабочих профилях пересекаются: фурфурол, мальтол. 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353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353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3" s="28" t="str">
        <x:v>напиток, соус, десерт или горячее блюдо после пробной дегустации</x:v>
      </x:c>
      <x:c r="K353" s="28" t="str">
        <x:v>Гипотеза / практическая</x:v>
      </x:c>
      <x:c r="L353" s="28" t="str">
        <x:v>Таблица сочетания(1).pdf</x:v>
      </x:c>
      <x:c r="M353" s="28" t="str">
        <x:v>Таблица сочетания(1).pdf: 18</x:v>
      </x:c>
    </x:row>
    <x:row r="354" ht="64" customHeight="1">
      <x:c r="A354" s="28" t="str">
        <x:v>STN-0423</x:v>
      </x:c>
      <x:c r="B354" s="28" t="str">
        <x:v>чернослив</x:v>
      </x:c>
      <x:c r="C354" s="28" t="str">
        <x:v>чернослив</x:v>
      </x:c>
      <x:c r="D354" s="28" t="str">
        <x:v>картофель фри</x:v>
      </x:c>
      <x:c r="E354" s="28" t="str">
        <x:v>Злаки и выпечка</x:v>
      </x:c>
      <x:c r="F354" s="28" t="str">
        <x:v>прямое или классовое перекрытие характерных одорантов + вкусовой баланс</x:v>
      </x:c>
      <x:c r="G35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Картофель фри относится к группе «Злаки и выпечка» и даёт профиль «жареный, зерновой, солодовый»; типичные соединения или классы: мальтол, пиразины, фураны. В рабочих профилях пересекаются: мальтол. Базовый фрукт даёт: высокая сладость, мягкая кислотность и плотная сухофруктовая насыщенность. Партнёр добавляет: крахмалистый, сладковатый.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крахмал и сухая пористая матрица.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5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54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4" s="28" t="str">
        <x:v>тарт, крем, мороженое, выпечка, сырная подача или начинка</x:v>
      </x:c>
      <x:c r="K354" s="28" t="str">
        <x:v>Средняя</x:v>
      </x:c>
      <x:c r="L354" s="28" t="str">
        <x:v>The Art &amp; Science of Foodpairing.pdf</x:v>
      </x:c>
      <x:c r="M354" s="28" t="str">
        <x:v>The Art &amp; Science of Foodpairing.pdf: 196</x:v>
      </x:c>
    </x:row>
    <x:row r="355" ht="64" customHeight="1">
      <x:c r="A355" s="28" t="str">
        <x:v>STN-0424</x:v>
      </x:c>
      <x:c r="B355" s="28" t="str">
        <x:v>чернослив</x:v>
      </x:c>
      <x:c r="C355" s="28" t="str">
        <x:v>чернослив</x:v>
      </x:c>
      <x:c r="D355" s="28" t="str">
        <x:v>каштан</x:v>
      </x:c>
      <x:c r="E355" s="28" t="str">
        <x:v>Прочее</x:v>
      </x:c>
      <x:c r="F355" s="28" t="str">
        <x:v>комплементарность ароматических семейств, вкусовой контраст и матричный эффект</x:v>
      </x:c>
      <x:c r="G355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Каштан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важны вода, жир, белок, сахар и температура.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355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355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5" s="28" t="str">
        <x:v>напиток, соус, десерт или горячее блюдо после пробной дегустации</x:v>
      </x:c>
      <x:c r="K355" s="28" t="str">
        <x:v>Гипотеза / практическая</x:v>
      </x:c>
      <x:c r="L355" s="28" t="str">
        <x:v>Таблица сочетания(1).pdf</x:v>
      </x:c>
      <x:c r="M355" s="28" t="str">
        <x:v>Таблица сочетания(1).pdf: 4 | Таблица сочетания(1).pdf: 18</x:v>
      </x:c>
    </x:row>
    <x:row r="356" ht="64" customHeight="1">
      <x:c r="A356" s="28" t="str">
        <x:v>STN-0425</x:v>
      </x:c>
      <x:c r="B356" s="28" t="str">
        <x:v>чернослив</x:v>
      </x:c>
      <x:c r="C356" s="28" t="str">
        <x:v>чернослив</x:v>
      </x:c>
      <x:c r="D356" s="28" t="str">
        <x:v>кленовый сироп</x:v>
      </x:c>
      <x:c r="E356" s="28" t="str">
        <x:v>Сахара, мёд и кондитерские основы</x:v>
      </x:c>
      <x:c r="F356" s="28" t="str">
        <x:v>прямое или классовое перекрытие характерных одорантов + вкусовой баланс</x:v>
      </x:c>
      <x:c r="G356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В рабочих профилях пересекаются: фурфурол, мальтол. Общие ароматические направления: карамельный. 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356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356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6" s="28" t="str">
        <x:v>напиток, соус, десерт или горячее блюдо после пробной дегустации</x:v>
      </x:c>
      <x:c r="K356" s="28" t="str">
        <x:v>Гипотеза / практическая</x:v>
      </x:c>
      <x:c r="L356" s="28" t="str">
        <x:v>Таблица сочетания(1).pdf</x:v>
      </x:c>
      <x:c r="M356" s="28" t="str">
        <x:v>Таблица сочетания(1).pdf: 18</x:v>
      </x:c>
    </x:row>
    <x:row r="357" ht="64" customHeight="1">
      <x:c r="A357" s="28" t="str">
        <x:v>STN-0426</x:v>
      </x:c>
      <x:c r="B357" s="28" t="str">
        <x:v>чернослив</x:v>
      </x:c>
      <x:c r="C357" s="28" t="str">
        <x:v>чернослив</x:v>
      </x:c>
      <x:c r="D357" s="28" t="str">
        <x:v>кокос</x:v>
      </x:c>
      <x:c r="E357" s="28" t="str">
        <x:v>Тропические фрукты и жирные матрицы</x:v>
      </x:c>
      <x:c r="F357" s="28" t="str">
        <x:v>комплементарность ароматических семейств, вкусовой контраст и матричный эффект</x:v>
      </x:c>
      <x:c r="G357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богатая жиром эмульсия; хорошо растворяет гидрофобные терпены, специи и ароматические масла.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357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357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7" s="28" t="str">
        <x:v>напиток, соус, десерт или горячее блюдо после пробной дегустации</x:v>
      </x:c>
      <x:c r="K357" s="28" t="str">
        <x:v>Средняя</x:v>
      </x:c>
      <x:c r="L357" s="28" t="str">
        <x:v>The Art &amp; Science of Foodpairing.pdf</x:v>
      </x:c>
      <x:c r="M357" s="28" t="str">
        <x:v>The Art &amp; Science of Foodpairing.pdf: 135</x:v>
      </x:c>
    </x:row>
    <x:row r="358" ht="64" customHeight="1">
      <x:c r="A358" s="28" t="str">
        <x:v>STN-0427</x:v>
      </x:c>
      <x:c r="B358" s="28" t="str">
        <x:v>чернослив</x:v>
      </x:c>
      <x:c r="C358" s="28" t="str">
        <x:v>чернослив</x:v>
      </x:c>
      <x:c r="D358" s="28" t="str">
        <x:v>корица</x:v>
      </x:c>
      <x:c r="E358" s="28" t="str">
        <x:v>Специи и острые компоненты</x:v>
      </x:c>
      <x:c r="F358" s="28" t="str">
        <x:v>комплементарность ароматических семейств, вкусовой контраст и матричный эффект</x:v>
      </x:c>
      <x:c r="G358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58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58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358" s="28" t="str">
        <x:v>напиток, соус, десерт или горячее блюдо после пробной дегустации</x:v>
      </x:c>
      <x:c r="K358" s="28" t="str">
        <x:v>Гипотеза / практическая</x:v>
      </x:c>
      <x:c r="L358" s="28" t="str">
        <x:v>Таблица сочетания(1).pdf</x:v>
      </x:c>
      <x:c r="M358" s="28" t="str">
        <x:v>Таблица сочетания(1).pdf: 18</x:v>
      </x:c>
    </x:row>
    <x:row r="359" ht="64" customHeight="1">
      <x:c r="A359" s="28" t="str">
        <x:v>STN-0429</x:v>
      </x:c>
      <x:c r="B359" s="28" t="str">
        <x:v>чернослив</x:v>
      </x:c>
      <x:c r="C359" s="28" t="str">
        <x:v>чернослив</x:v>
      </x:c>
      <x:c r="D359" s="28" t="str">
        <x:v>мед</x:v>
      </x:c>
      <x:c r="E359" s="28" t="str">
        <x:v>Сахара, мёд и кондитерские основы</x:v>
      </x:c>
      <x:c r="F359" s="28" t="str">
        <x:v>комплементарность ароматических семейств, вкусовой контраст и матричный эффект</x:v>
      </x:c>
      <x:c r="G35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карамельный. 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359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359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9" s="28" t="str">
        <x:v>напиток, соус, десерт или горячее блюдо после пробной дегустации</x:v>
      </x:c>
      <x:c r="K359" s="28" t="str">
        <x:v>Гипотеза / практическая</x:v>
      </x:c>
      <x:c r="L359" s="28" t="str">
        <x:v>Таблица сочетания(1).pdf</x:v>
      </x:c>
      <x:c r="M359" s="28" t="str">
        <x:v>Таблица сочетания(1).pdf: 18</x:v>
      </x:c>
    </x:row>
    <x:row r="360" ht="64" customHeight="1">
      <x:c r="A360" s="28" t="str">
        <x:v>STN-0430</x:v>
      </x:c>
      <x:c r="B360" s="28" t="str">
        <x:v>чернослив</x:v>
      </x:c>
      <x:c r="C360" s="28" t="str">
        <x:v>чернослив</x:v>
      </x:c>
      <x:c r="D360" s="28" t="str">
        <x:v>миндаль</x:v>
      </x:c>
      <x:c r="E360" s="28" t="str">
        <x:v>Орехи и семена</x:v>
      </x:c>
      <x:c r="F360" s="28" t="str">
        <x:v>прямое или классовое перекрытие характерных одорантов + вкусовой баланс</x:v>
      </x:c>
      <x:c r="G36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Миндаль относится к группе «Орехи и семена» и даёт профиль «марципановый и ореховый»; типичные соединения или классы: бензальдегид, пиразины после обжарки.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60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60" s="28" t="str">
        <x:v>легко сделать вкус тяжёлым и приторным; нужна кислота, соль, горечь или умами. Сильная обжарка и прогорклый жир перекрывают цветочный профиль.</x:v>
      </x:c>
      <x:c r="J360" s="28" t="str">
        <x:v>тарт, крем, мороженое, выпечка, сырная подача или начинка</x:v>
      </x:c>
      <x:c r="K360" s="28" t="str">
        <x:v>Гипотеза / практическая</x:v>
      </x:c>
      <x:c r="L360" s="28" t="str">
        <x:v>Таблица сочетания(1).pdf</x:v>
      </x:c>
      <x:c r="M360" s="28" t="str">
        <x:v>Таблица сочетания(1).pdf: 18</x:v>
      </x:c>
    </x:row>
    <x:row r="361" ht="64" customHeight="1">
      <x:c r="A361" s="28" t="str">
        <x:v>STN-0431</x:v>
      </x:c>
      <x:c r="B361" s="28" t="str">
        <x:v>чернослив</x:v>
      </x:c>
      <x:c r="C361" s="28" t="str">
        <x:v>чернослив</x:v>
      </x:c>
      <x:c r="D361" s="28" t="str">
        <x:v>мята</x:v>
      </x:c>
      <x:c r="E361" s="28" t="str">
        <x:v>Травы и цветы</x:v>
      </x:c>
      <x:c r="F361" s="28" t="str">
        <x:v>комплементарность ароматических семейств, вкусовой контраст и матричный эффект</x:v>
      </x:c>
      <x:c r="G36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61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61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61" s="28" t="str">
        <x:v>напиток, соус, десерт или горячее блюдо после пробной дегустации</x:v>
      </x:c>
      <x:c r="K361" s="28" t="str">
        <x:v>Гипотеза / практическая</x:v>
      </x:c>
      <x:c r="L361" s="28" t="str">
        <x:v>Таблица сочетания(1).pdf</x:v>
      </x:c>
      <x:c r="M361" s="28" t="str">
        <x:v>Таблица сочетания(1).pdf: 18</x:v>
      </x:c>
    </x:row>
    <x:row r="362" ht="64" customHeight="1">
      <x:c r="A362" s="28" t="str">
        <x:v>STN-0432</x:v>
      </x:c>
      <x:c r="B362" s="28" t="str">
        <x:v>чернослив</x:v>
      </x:c>
      <x:c r="C362" s="28" t="str">
        <x:v>чернослив</x:v>
      </x:c>
      <x:c r="D362" s="28" t="str">
        <x:v>пекан</x:v>
      </x:c>
      <x:c r="E362" s="28" t="str">
        <x:v>Орехи и семена</x:v>
      </x:c>
      <x:c r="F362" s="28" t="str">
        <x:v>прямое или классовое перекрытие характерных одорантов + вкусовой баланс</x:v>
      </x:c>
      <x:c r="G36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Пекан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62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62" s="28" t="str">
        <x:v>легко сделать вкус тяжёлым и приторным; нужна кислота, соль, горечь или умами. Сильная обжарка и прогорклый жир перекрывают цветочный профиль.</x:v>
      </x:c>
      <x:c r="J362" s="28" t="str">
        <x:v>тарт, крем, мороженое, выпечка, сырная подача или начинка</x:v>
      </x:c>
      <x:c r="K362" s="28" t="str">
        <x:v>Гипотеза / практическая</x:v>
      </x:c>
      <x:c r="L362" s="28" t="str">
        <x:v>Таблица сочетания(1).pdf</x:v>
      </x:c>
      <x:c r="M362" s="28" t="str">
        <x:v>Таблица сочетания(1).pdf: 18</x:v>
      </x:c>
    </x:row>
    <x:row r="363" ht="64" customHeight="1">
      <x:c r="A363" s="28" t="str">
        <x:v>STN-0433</x:v>
      </x:c>
      <x:c r="B363" s="28" t="str">
        <x:v>чернослив</x:v>
      </x:c>
      <x:c r="C363" s="28" t="str">
        <x:v>чернослив</x:v>
      </x:c>
      <x:c r="D363" s="28" t="str">
        <x:v>розмарин</x:v>
      </x:c>
      <x:c r="E363" s="28" t="str">
        <x:v>Травы и цветы</x:v>
      </x:c>
      <x:c r="F363" s="28" t="str">
        <x:v>комплементарность ароматических семейств, вкусовой контраст и матричный эффект</x:v>
      </x:c>
      <x:c r="G36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Розмарин относится к группе «Травы и цветы» и даёт профиль «хвойный, камфорный и древесный»; типичные соединения или классы: 1,8-цинеол, камфора, α-пинен.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63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63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63" s="28" t="str">
        <x:v>напиток, соус, десерт или горячее блюдо после пробной дегустации</x:v>
      </x:c>
      <x:c r="K363" s="28" t="str">
        <x:v>Гипотеза / практическая</x:v>
      </x:c>
      <x:c r="L363" s="28" t="str">
        <x:v>Таблица сочетания(1).pdf</x:v>
      </x:c>
      <x:c r="M363" s="28" t="str">
        <x:v>Таблица сочетания(1).pdf: 18</x:v>
      </x:c>
    </x:row>
    <x:row r="364" ht="64" customHeight="1">
      <x:c r="A364" s="28" t="str">
        <x:v>STN-0434</x:v>
      </x:c>
      <x:c r="B364" s="28" t="str">
        <x:v>чернослив</x:v>
      </x:c>
      <x:c r="C364" s="28" t="str">
        <x:v>чернослив</x:v>
      </x:c>
      <x:c r="D364" s="28" t="str">
        <x:v>свиная корейка</x:v>
      </x:c>
      <x:c r="E364" s="28" t="str">
        <x:v>Прочее</x:v>
      </x:c>
      <x:c r="F364" s="28" t="str">
        <x:v>комплементарность ароматических семейств, вкусовой контраст и матричный эффект</x:v>
      </x:c>
      <x:c r="G36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баланс зависит от продукта.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матрица зависит от формы продукта.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H36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I364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64" s="28" t="str">
        <x:v>напиток, соус, десерт или горячее блюдо после пробной дегустации</x:v>
      </x:c>
      <x:c r="K364" s="28" t="str">
        <x:v>Средняя</x:v>
      </x:c>
      <x:c r="L364" s="28" t="str">
        <x:v>The Art &amp; Science of Foodpairing.pdf</x:v>
      </x:c>
      <x:c r="M364" s="28" t="str">
        <x:v>The Art &amp; Science of Foodpairing.pdf: 186</x:v>
      </x:c>
    </x:row>
    <x:row r="365" ht="64" customHeight="1">
      <x:c r="A365" s="28" t="str">
        <x:v>STN-0436</x:v>
      </x:c>
      <x:c r="B365" s="28" t="str">
        <x:v>чернослив</x:v>
      </x:c>
      <x:c r="C365" s="28" t="str">
        <x:v>чернослив</x:v>
      </x:c>
      <x:c r="D365" s="28" t="str">
        <x:v>темный шоколад</x:v>
      </x:c>
      <x:c r="E365" s="28" t="str">
        <x:v>Чай, кофе и какао</x:v>
      </x:c>
      <x:c r="F365" s="28" t="str">
        <x:v>комплементарность ароматических семейств, вкусовой контраст и матричный эффект</x:v>
      </x:c>
      <x:c r="G365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Темный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горечь, терпкость и жареная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водные настои извлекают полифенолы; жир и сахар смягчают горечь.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365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365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65" s="28" t="str">
        <x:v>напиток, соус, десерт или горячее блюдо после пробной дегустации</x:v>
      </x:c>
      <x:c r="K365" s="28" t="str">
        <x:v>Гипотеза / практическая</x:v>
      </x:c>
      <x:c r="L365" s="28" t="str">
        <x:v>Таблица сочетания(1).pdf</x:v>
      </x:c>
      <x:c r="M365" s="28" t="str">
        <x:v>Таблица сочетания(1).pdf: 18</x:v>
      </x:c>
    </x:row>
    <x:row r="366" ht="64" customHeight="1">
      <x:c r="A366" s="28" t="str">
        <x:v>STN-0437</x:v>
      </x:c>
      <x:c r="B366" s="28" t="str">
        <x:v>чернослив</x:v>
      </x:c>
      <x:c r="C366" s="28" t="str">
        <x:v>чернослив</x:v>
      </x:c>
      <x:c r="D366" s="28" t="str">
        <x:v>финик</x:v>
      </x:c>
      <x:c r="E366" s="28" t="str">
        <x:v>Сухофрукты и тропические плоды</x:v>
      </x:c>
      <x:c r="F366" s="28" t="str">
        <x:v>комплементарность ароматических семейств, вкусовой контраст и матричный эффект</x:v>
      </x:c>
      <x:c r="G366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Финик относится к группе «Сухофрукты и тропические плоды» и даёт профиль «медовый, карамельный, сухофруктовый, ореховый и пряный»; типичные соединения или классы: фураны, альдегиды Стреккера, фенольные соединения и продукты карамелизации. По доступным материалам нельзя уверенно свести совместимость к одной общей молекуле. Общие ароматические направления: фруктовый, карамельный. Базовый фрукт даёт: высокая сладость, мягкая кислотность и плотная сухофруктовая насыщенность. Партнёр добавляет: очень высокая сладость, низкая кислотность.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плотная сахаристая и вязкая; хорошо связывает жир и специи.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H366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I366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66" s="28" t="str">
        <x:v>напиток, соус, десерт или горячее блюдо после пробной дегустации</x:v>
      </x:c>
      <x:c r="K366" s="28" t="str">
        <x:v>Гипотеза / практическая</x:v>
      </x:c>
      <x:c r="L366" s="28" t="str">
        <x:v>Таблица сочетания(1).pdf</x:v>
      </x:c>
      <x:c r="M366" s="28" t="str">
        <x:v>Таблица сочетания(1).pdf: Таблица сочетаний: 18, 7 | Таблица сочетания(1).pdf: 7 | Таблица сочетания(1).pdf: 18</x:v>
      </x:c>
    </x:row>
    <x:row r="367" ht="64" customHeight="1">
      <x:c r="A367" s="28" t="str">
        <x:v>STN-0438</x:v>
      </x:c>
      <x:c r="B367" s="28" t="str">
        <x:v>чернослив</x:v>
      </x:c>
      <x:c r="C367" s="28" t="str">
        <x:v>чернослив</x:v>
      </x:c>
      <x:c r="D367" s="28" t="str">
        <x:v>фисташка</x:v>
      </x:c>
      <x:c r="E367" s="28" t="str">
        <x:v>Орехи и семена</x:v>
      </x:c>
      <x:c r="F367" s="28" t="str">
        <x:v>прямое или классовое перекрытие характерных одорантов + вкусовой баланс</x:v>
      </x:c>
      <x:c r="G367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Фисташка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67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67" s="28" t="str">
        <x:v>легко сделать вкус тяжёлым и приторным; нужна кислота, соль, горечь или умами. Сильная обжарка и прогорклый жир перекрывают цветочный профиль.</x:v>
      </x:c>
      <x:c r="J367" s="28" t="str">
        <x:v>тарт, крем, мороженое, выпечка, сырная подача или начинка</x:v>
      </x:c>
      <x:c r="K367" s="28" t="str">
        <x:v>Гипотеза / практическая</x:v>
      </x:c>
      <x:c r="L367" s="28" t="str">
        <x:v>Таблица сочетания(1).pdf</x:v>
      </x:c>
      <x:c r="M367" s="28" t="str">
        <x:v>Таблица сочетания(1).pdf: 18</x:v>
      </x:c>
    </x:row>
    <x:row r="368" ht="64" customHeight="1">
      <x:c r="A368" s="28" t="str">
        <x:v>STN-0439</x:v>
      </x:c>
      <x:c r="B368" s="28" t="str">
        <x:v>чернослив</x:v>
      </x:c>
      <x:c r="C368" s="28" t="str">
        <x:v>чернослив</x:v>
      </x:c>
      <x:c r="D368" s="28" t="str">
        <x:v>фундук</x:v>
      </x:c>
      <x:c r="E368" s="28" t="str">
        <x:v>Орехи и семена</x:v>
      </x:c>
      <x:c r="F368" s="28" t="str">
        <x:v>комплементарность ароматических семейств, вкусовой контраст и матричный эффект</x:v>
      </x:c>
      <x:c r="G368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Фундук относится к группе «Орехи и семена» и даёт профиль «жареный ореховый и маслянистый»; типичные соединения или классы: филбертон, пиразины. По доступным материалам нельзя уверенно свести совместимость к одной общей молекуле. Жирность и жареная горечь ореха округляют кислотность фрукта; миндально-косточковый оттенок создаёт особенно связный профиль. Матрица пары: 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68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68" s="28" t="str">
        <x:v>легко сделать вкус тяжёлым и приторным; нужна кислота, соль, горечь или умами. Сильная обжарка и прогорклый жир перекрывают цветочный профиль.</x:v>
      </x:c>
      <x:c r="J368" s="28" t="str">
        <x:v>тарт, крем, мороженое, выпечка, сырная подача или начинка</x:v>
      </x:c>
      <x:c r="K368" s="28" t="str">
        <x:v>Гипотеза / практическая</x:v>
      </x:c>
      <x:c r="L368" s="28" t="str">
        <x:v>Таблица сочетания(1).pdf</x:v>
      </x:c>
      <x:c r="M368" s="28" t="str">
        <x:v>Таблица сочетания(1).pdf: 18</x:v>
      </x:c>
    </x:row>
    <x:row r="369" ht="64" customHeight="1">
      <x:c r="A369" s="28" t="str">
        <x:v>STN-0441</x:v>
      </x:c>
      <x:c r="B369" s="28" t="str">
        <x:v>чернослив</x:v>
      </x:c>
      <x:c r="C369" s="28" t="str">
        <x:v>чернослив</x:v>
      </x:c>
      <x:c r="D369" s="28" t="str">
        <x:v>черный трюфель</x:v>
      </x:c>
      <x:c r="E369" s="28" t="str">
        <x:v>Грибы и трюфели</x:v>
      </x:c>
      <x:c r="F369" s="28" t="str">
        <x:v>комплементарность ароматических семейств, вкусовой контраст и матричный эффект</x:v>
      </x:c>
      <x:c r="G36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Черный трюфель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умами и лёгкая горечь.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вода и клетчатка; обжарка создаёт новые жареные молекулы.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H369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I369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69" s="28" t="str">
        <x:v>соус, глазировка, чатни, маринад, гарнир или основное блюдо</x:v>
      </x:c>
      <x:c r="K369" s="28" t="str">
        <x:v>Средняя</x:v>
      </x:c>
      <x:c r="L369" s="28" t="str">
        <x:v>The Art &amp; Science of Foodpairing.pdf</x:v>
      </x:c>
      <x:c r="M369" s="28" t="str">
        <x:v>The Art &amp; Science of Foodpairing.pdf: 193</x:v>
      </x:c>
    </x:row>
    <x:row r="370" ht="64" customHeight="1">
      <x:c r="A370" s="28" t="str">
        <x:v>STN-0442</x:v>
      </x:c>
      <x:c r="B370" s="28" t="str">
        <x:v>чернослив</x:v>
      </x:c>
      <x:c r="C370" s="28" t="str">
        <x:v>чернослив</x:v>
      </x:c>
      <x:c r="D370" s="28" t="str">
        <x:v>шоколад</x:v>
      </x:c>
      <x:c r="E370" s="28" t="str">
        <x:v>Чай, кофе и какао</x:v>
      </x:c>
      <x:c r="F370" s="28" t="str">
        <x:v>комплементарность ароматических семейств, вкусовой контраст и матричный эффект</x:v>
      </x:c>
      <x:c r="G37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горечь, терпкость и жареная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водные настои извлекают полифенолы; жир и сахар смягчают горечь.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370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370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70" s="28" t="str">
        <x:v>напиток, соус, десерт или горячее блюдо после пробной дегустации</x:v>
      </x:c>
      <x:c r="K370" s="28" t="str">
        <x:v>Средняя</x:v>
      </x:c>
      <x:c r="L370" s="28" t="str">
        <x:v>The Art &amp; Science of Foodpairing.pdf</x:v>
      </x:c>
      <x:c r="M370" s="28" t="str">
        <x:v>The Art &amp; Science of Foodpairing.pdf: 62</x:v>
      </x:c>
    </x:row>
    <x:row r="371" ht="64" customHeight="1">
      <x:c r="A371" s="28" t="str">
        <x:v>STN-0443</x:v>
      </x:c>
      <x:c r="B371" s="28" t="str">
        <x:v>чернослив</x:v>
      </x:c>
      <x:c r="C371" s="28" t="str">
        <x:v>чернослив</x:v>
      </x:c>
      <x:c r="D371" s="28" t="str">
        <x:v>яблоко</x:v>
      </x:c>
      <x:c r="E371" s="28" t="str">
        <x:v>Семечковые фрукты</x:v>
      </x:c>
      <x:c r="F371" s="28" t="str">
        <x:v>комплементарность ароматических семейств, вкусовой контраст и матричный эффект</x:v>
      </x:c>
      <x:c r="G37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Яблоко относится к группе «Семечковые фрукты» и даёт профиль «свежий фруктовый, зелёный, цветочный, пряный; профиль сильно зависит от сорта и зрелости»; типичные соединения или классы: гексилацетат, бутил ацетат, этил-2-метилбутират, гексаналь, транс-2-гексеналь, β-дамасценон.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сладость и яблочная кислота; иногда лёгкая терпкость кожицы.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водная, с пектином; низкое содержание жира; ароматические эфиры быстро теряются после разрезания.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H371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I371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71" s="28" t="str">
        <x:v>напиток, соус, десерт или горячее блюдо после пробной дегустации</x:v>
      </x:c>
      <x:c r="K371" s="28" t="str">
        <x:v>Гипотеза / практическая</x:v>
      </x:c>
      <x:c r="L371" s="28" t="str">
        <x:v>Таблица сочетания(1).pdf</x:v>
      </x:c>
      <x:c r="M371" s="28" t="str">
        <x:v>Таблица сочетания(1).pdf: Таблица сочетаний: 18 | Таблица сочетания(1).pdf: 18</x:v>
      </x:c>
    </x:row>
    <x:row r="372" ht="64" customHeight="1">
      <x:c r="A372" s="28" t="str">
        <x:v>STN-0444</x:v>
      </x:c>
      <x:c r="B372" s="28" t="str">
        <x:v>уме</x:v>
      </x:c>
      <x:c r="C372" s="28" t="str">
        <x:v>уме</x:v>
      </x:c>
      <x:c r="D372" s="28" t="str">
        <x:v>авокадо</x:v>
      </x:c>
      <x:c r="E372" s="28" t="str">
        <x:v>Тропические фрукты и жирные матрицы</x:v>
      </x:c>
      <x:c r="F372" s="28" t="str">
        <x:v>комплементарность ароматических семейств, вкусовой контраст и матричный эффект</x:v>
      </x:c>
      <x:c r="G372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Общие ароматические направления: зелёный. Базовый фрукт даёт: высокая кислотность; у умэбоси — соль и выраженная ферментированная умами-нота. Партнёр добавляет: мягкий, жирный, почти несладкий; лёгкая растительная горечь. Баланс корректируется сахаром, кислотой, солью и горечью. Матрица пары: водная и кислотная; в умэбоси — концентрированная соль и полифенолы. Партнёр: высокожировая эмульсия; хорошо растворяет гидрофобные ароматические молекулы.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372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372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72" s="28" t="str">
        <x:v>напиток, соус, десерт или горячее блюдо после пробной дегустации</x:v>
      </x:c>
      <x:c r="K372" s="28" t="str">
        <x:v>Средняя</x:v>
      </x:c>
      <x:c r="L372" s="28" t="str">
        <x:v>The Art &amp; Science of Foodpairing.pdf</x:v>
      </x:c>
      <x:c r="M372" s="28" t="str">
        <x:v>The Art &amp; Science of Foodpairing.pdf: 354</x:v>
      </x:c>
    </x:row>
    <x:row r="373" ht="64" customHeight="1">
      <x:c r="A373" s="28" t="str">
        <x:v>STN-0447</x:v>
      </x:c>
      <x:c r="B373" s="28" t="str">
        <x:v>уме</x:v>
      </x:c>
      <x:c r="C373" s="28" t="str">
        <x:v>уме</x:v>
      </x:c>
      <x:c r="D373" s="28" t="str">
        <x:v>запеченный морской язык</x:v>
      </x:c>
      <x:c r="E373" s="28" t="str">
        <x:v>Рыба и морепродукты</x:v>
      </x:c>
      <x:c r="F373" s="28" t="str">
        <x:v>комплементарность ароматических семейств, вкусовой контраст и матричный эффект</x:v>
      </x:c>
      <x:c r="G373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Запеченный морской язык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водная и кислотная; в умэбоси — концентрированная соль и полифенолы. Партнёр: водно-белковая матрица; жирная рыба лучше удерживает лактоны.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H373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I373" s="28" t="str">
        <x:v>легко пересолить или сделать кислоту агрессивной; дозировать как приправу. Сильная сладость и длительный контакт с кислотой могут замаскировать морской вкус и изменить белковую текстуру.</x:v>
      </x:c>
      <x:c r="J373" s="28" t="str">
        <x:v>соус, глазировка, чатни, маринад, гарнир или основное блюдо</x:v>
      </x:c>
      <x:c r="K373" s="28" t="str">
        <x:v>Средняя</x:v>
      </x:c>
      <x:c r="L373" s="28" t="str">
        <x:v>The Art &amp; Science of Foodpairing.pdf</x:v>
      </x:c>
      <x:c r="M373" s="28" t="str">
        <x:v>The Art &amp; Science of Foodpairing.pdf: 104</x:v>
      </x:c>
    </x:row>
    <x:row r="374" ht="64" customHeight="1">
      <x:c r="A374" s="28" t="str">
        <x:v>STN-0449</x:v>
      </x:c>
      <x:c r="B374" s="28" t="str">
        <x:v>уме</x:v>
      </x:c>
      <x:c r="C374" s="28" t="str">
        <x:v>уме</x:v>
      </x:c>
      <x:c r="D374" s="28" t="str">
        <x:v>кокос</x:v>
      </x:c>
      <x:c r="E374" s="28" t="str">
        <x:v>Тропические фрукты и жирные матрицы</x:v>
      </x:c>
      <x:c r="F374" s="28" t="str">
        <x:v>комплементарность ароматических семейств, вкусовой контраст и матричный эффект</x:v>
      </x:c>
      <x:c r="G374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По доступным материалам нельзя уверенно свести совместимость к одной общей молекуле. Базовый фрукт даёт: высокая кислотность; у умэбоси — соль и выраженная ферментированная умами-нота.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водная и кислотная; в умэбоси — концентрированная соль и полифенолы. Партнёр: богатая жиром эмульсия; хорошо растворяет гидрофобные терпены, специи и ароматические масла.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374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374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74" s="28" t="str">
        <x:v>напиток, соус, десерт или горячее блюдо после пробной дегустации</x:v>
      </x:c>
      <x:c r="K374" s="28" t="str">
        <x:v>Средняя</x:v>
      </x:c>
      <x:c r="L374" s="28" t="str">
        <x:v>The Art &amp; Science of Foodpairing.pdf</x:v>
      </x:c>
      <x:c r="M374" s="28" t="str">
        <x:v>The Art &amp; Science of Foodpairing.pdf: 134 | The Art &amp; Science of Foodpairing.pdf: 135</x:v>
      </x:c>
    </x:row>
    <x:row r="375" ht="64" customHeight="1">
      <x:c r="A375" s="28" t="str">
        <x:v>STN-0451</x:v>
      </x:c>
      <x:c r="B375" s="28" t="str">
        <x:v>уме</x:v>
      </x:c>
      <x:c r="C375" s="28" t="str">
        <x:v>уме</x:v>
      </x:c>
      <x:c r="D375" s="28" t="str">
        <x:v>оливковое масло</x:v>
      </x:c>
      <x:c r="E375" s="28" t="str">
        <x:v>Молочные продукты и сыры</x:v>
      </x:c>
      <x:c r="F375" s="28" t="str">
        <x:v>комплементарность ароматических семейств, вкусовой контраст и матричный эффект</x:v>
      </x:c>
      <x:c r="G375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высокая кислотность; у умэбоси — соль и выраженная ферментированная умами-нота. Партнёр добавляет: жирный, кислый/солёный. Баланс корректируется сахаром, кислотой, солью и горечью. Матрица пары: водная и кислотная; в умэбоси — концентрированная соль и полифенолы. Партнёр: жировая и белковая матрица смягчает кислотность.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75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75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75" s="28" t="str">
        <x:v>напиток, соус, десерт или горячее блюдо после пробной дегустации</x:v>
      </x:c>
      <x:c r="K375" s="28" t="str">
        <x:v>Средняя</x:v>
      </x:c>
      <x:c r="L375" s="28" t="str">
        <x:v>The Art &amp; Science of Foodpairing.pdf</x:v>
      </x:c>
      <x:c r="M375" s="28" t="str">
        <x:v>The Art &amp; Science of Foodpairing.pdf: 173</x:v>
      </x:c>
    </x:row>
    <x:row r="376" ht="64" customHeight="1">
      <x:c r="A376" s="28" t="str">
        <x:v>STN-0452</x:v>
      </x:c>
      <x:c r="B376" s="28" t="str">
        <x:v>уме</x:v>
      </x:c>
      <x:c r="C376" s="28" t="str">
        <x:v>уме</x:v>
      </x:c>
      <x:c r="D376" s="28" t="str">
        <x:v>отварная морковь</x:v>
      </x:c>
      <x:c r="E376" s="28" t="str">
        <x:v>Овощи</x:v>
      </x:c>
      <x:c r="F376" s="28" t="str">
        <x:v>прямое или классовое перекрытие характерных одорантов + вкусовой баланс</x:v>
      </x:c>
      <x:c r="G376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Отварная морковь относится к группе «Овощи» и даёт профиль «зелёный, землистый, растительный, иногда сернистый»; типичные соединения или классы: C6-альдегиды, метоксипиразины, геосмин (землистые), сернистые соединения. В рабочих профилях пересекаются: c6-альдегиды. Общие ароматические направления: зелёный. Базовый фрукт даёт: высокая кислотность; у умэбоси — соль и выраженная ферментированная умами-нота. Партнёр добавляет: сладковатый, горьковатый, умами. Баланс корректируется сахаром, кислотой, солью и горечью. Матрица пары: водная и кислотная; в умэбоси — концентрированная соль и полифенолы. Партнёр: водная/крахмальная матрица; масло помогает распределить цедру.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H376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I376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76" s="28" t="str">
        <x:v>напиток, соус, десерт или горячее блюдо после пробной дегустации</x:v>
      </x:c>
      <x:c r="K376" s="28" t="str">
        <x:v>Средняя</x:v>
      </x:c>
      <x:c r="L376" s="28" t="str">
        <x:v>The Art &amp; Science of Foodpairing.pdf</x:v>
      </x:c>
      <x:c r="M376" s="28" t="str">
        <x:v>The Art &amp; Science of Foodpairing.pdf: 232</x:v>
      </x:c>
    </x:row>
    <x:row r="377" ht="64" customHeight="1">
      <x:c r="A377" s="28" t="str">
        <x:v>STN-0454</x:v>
      </x:c>
      <x:c r="B377" s="28" t="str">
        <x:v>уме</x:v>
      </x:c>
      <x:c r="C377" s="28" t="str">
        <x:v>уме</x:v>
      </x:c>
      <x:c r="D377" s="28" t="str">
        <x:v>традиционный бальзамический уксус</x:v>
      </x:c>
      <x:c r="E377" s="28" t="str">
        <x:v>Ферментированные продукты, соусы и уксусы</x:v>
      </x:c>
      <x:c r="F377" s="28" t="str">
        <x:v>прямое или классовое перекрытие характерных одорантов + вкусовой баланс</x:v>
      </x:c>
      <x:c r="G377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Традиционный бальзамический уксус относится к группе «Ферментированные продукты, соусы и уксусы» и даёт профиль «кислый, умами, ферментированный, солёный»; типичные соединения или классы: уксусная кислота, эфиры, аминокислотные и ферментационные соединения. В рабочих профилях пересекаются: эфиры. Общие ароматические направления: кислый. Кислота, соль и умами усиливают контраст с фруктовой сладостью; сочетание работает в малой дозировке как приправа. Матрица пары: водная и кислотная; в умэбоси — концентрированная соль и полифенолы. Партнёр: водная и солевая матрица; часть ароматов удерживается белком и сахаром.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H377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I377" s="28" t="str">
        <x:v>легко пересолить или сделать кислоту агрессивной; дозировать как приправу. Соль и кислота быстро становятся доминирующими; используйте как акцент.</x:v>
      </x:c>
      <x:c r="J377" s="28" t="str">
        <x:v>соус, глазировка, чатни, маринад, гарнир или основное блюдо</x:v>
      </x:c>
      <x:c r="K377" s="28" t="str">
        <x:v>Средняя</x:v>
      </x:c>
      <x:c r="L377" s="28" t="str">
        <x:v>The Art &amp; Science of Foodpairing.pdf</x:v>
      </x:c>
      <x:c r="M377" s="28" t="str">
        <x:v>The Art &amp; Science of Foodpairing.pdf: 316</x:v>
      </x:c>
    </x:row>
    <x:row r="378" ht="64" customHeight="1">
      <x:c r="A378" s="28" t="str">
        <x:v>STN-0455</x:v>
      </x:c>
      <x:c r="B378" s="28" t="str">
        <x:v>уме</x:v>
      </x:c>
      <x:c r="C378" s="28" t="str">
        <x:v>уме</x:v>
      </x:c>
      <x:c r="D378" s="28" t="str">
        <x:v>фундук</x:v>
      </x:c>
      <x:c r="E378" s="28" t="str">
        <x:v>Орехи и семена</x:v>
      </x:c>
      <x:c r="F378" s="28" t="str">
        <x:v>комплементарность ароматических семейств, вкусовой контраст и матричный эффект</x:v>
      </x:c>
      <x:c r="G378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Фундук относится к группе «Орехи и семена» и даёт профиль «жареный ореховый и маслянистый»; типичные соединения или классы: филбертон, пиразины. По доступным материалам нельзя уверенно свести совместимость к одной общей молекуле. Жирность и жареная горечь ореха округляют кислотность фрукта; миндально-косточковый оттенок создаёт особенно связный профиль. Матрица пары: водная и кислотная; в умэбоси — концентрированная соль и полифенолы. Ореховый жир удерживает лактоны и смягчает кислотность; обжарка добавляет пиразины.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78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78" s="28" t="str">
        <x:v>легко пересолить или сделать кислоту агрессивной; дозировать как приправу. Сильная обжарка и прогорклый жир перекрывают цветочный профиль.</x:v>
      </x:c>
      <x:c r="J378" s="28" t="str">
        <x:v>тарт, крем, мороженое, выпечка, сырная подача или начинка</x:v>
      </x:c>
      <x:c r="K378" s="28" t="str">
        <x:v>Средняя</x:v>
      </x:c>
      <x:c r="L378" s="28" t="str">
        <x:v>The Art &amp; Science of Foodpairing.pdf</x:v>
      </x:c>
      <x:c r="M378" s="28" t="str">
        <x:v>The Art &amp; Science of Foodpairing.pdf: 333</x:v>
      </x:c>
    </x:row>
    <x:row r="379" ht="64" customHeight="1">
      <x:c r="A379" s="28" t="str">
        <x:v>STN-0456</x:v>
      </x:c>
      <x:c r="B379" s="28" t="str">
        <x:v>уме</x:v>
      </x:c>
      <x:c r="C379" s="28" t="str">
        <x:v>уме</x:v>
      </x:c>
      <x:c r="D379" s="28" t="str">
        <x:v>цветы жасмина</x:v>
      </x:c>
      <x:c r="E379" s="28" t="str">
        <x:v>Травы и цветы</x:v>
      </x:c>
      <x:c r="F379" s="28" t="str">
        <x:v>прямое или классовое перекрытие характерных одорантов + вкусовой баланс</x:v>
      </x:c>
      <x:c r="G379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Цветы жасмина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цветочный, зелёный. Базовый фрукт даёт: высокая кислотность; у умэбоси — соль и выраженная ферментированная умами-нота. Партнёр добавляет: горьковатый, свежий. Баланс корректируется сахаром, кислотой, солью и горечью. Матрица пары: водная и кислотная; в умэбоси — концентрированная соль и полифенолы. Партнёр: летучие масла чувствительны к нагреву.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79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79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79" s="28" t="str">
        <x:v>напиток, соус, десерт или горячее блюдо после пробной дегустации</x:v>
      </x:c>
      <x:c r="K379" s="28" t="str">
        <x:v>Средняя</x:v>
      </x:c>
      <x:c r="L379" s="28" t="str">
        <x:v>The Art &amp; Science of Foodpairing.pdf</x:v>
      </x:c>
      <x:c r="M379" s="28" t="str">
        <x:v>The Art &amp; Science of Foodpairing.pdf: 211</x:v>
      </x:c>
    </x:row>
    <x:row r="380" ht="64" customHeight="1">
      <x:c r="A380" s="28" t="str">
        <x:v>STN-0457</x:v>
      </x:c>
      <x:c r="B380" s="28" t="str">
        <x:v>уме</x:v>
      </x:c>
      <x:c r="C380" s="28" t="str">
        <x:v>уме</x:v>
      </x:c>
      <x:c r="D380" s="28" t="str">
        <x:v>японский соевый соус</x:v>
      </x:c>
      <x:c r="E380" s="28" t="str">
        <x:v>Ферментированные продукты, соусы и уксусы</x:v>
      </x:c>
      <x:c r="F380" s="28" t="str">
        <x:v>прямое или классовое перекрытие характерных одорантов + вкусовой баланс</x:v>
      </x:c>
      <x:c r="G380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Японский соевый соус относится к группе «Ферментированные продукты, соусы и уксусы» и даёт профиль «кислый, умами, ферментированный, солёный»; типичные соединения или классы: уксусная кислота, эфиры, аминокислотные и ферментационные соединения. В рабочих профилях пересекаются: эфиры. Общие ароматические направления: кислый. Кислота, соль и умами усиливают контраст с фруктовой сладостью; сочетание работает в малой дозировке как приправа. Матрица пары: водная и кислотная; в умэбоси — концентрированная соль и полифенолы. Партнёр: водная и солевая матрица; часть ароматов удерживается белком и сахаром.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H380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I380" s="28" t="str">
        <x:v>легко пересолить или сделать кислоту агрессивной; дозировать как приправу. Соль и кислота быстро становятся доминирующими; используйте как акцент.</x:v>
      </x:c>
      <x:c r="J380" s="28" t="str">
        <x:v>соус, глазировка, чатни, маринад, гарнир или основное блюдо</x:v>
      </x:c>
      <x:c r="K380" s="28" t="str">
        <x:v>Средняя</x:v>
      </x:c>
      <x:c r="L380" s="28" t="str">
        <x:v>The Art &amp; Science of Foodpairing.pdf</x:v>
      </x:c>
      <x:c r="M380" s="28" t="str">
        <x:v>The Art &amp; Science of Foodpairing.pdf: 301</x:v>
      </x:c>
    </x:row>
    <x:row r="381" ht="64" customHeight="1">
      <x:c r="A381" s="28" t="str">
        <x:v>STN-0458</x:v>
      </x:c>
      <x:c r="B381" s="28" t="str">
        <x:v>плюмкот</x:v>
      </x:c>
      <x:c r="C381" s="28" t="str">
        <x:v>плюмкот</x:v>
      </x:c>
      <x:c r="D381" s="28" t="str">
        <x:v>белый перец</x:v>
      </x:c>
      <x:c r="E381" s="28" t="str">
        <x:v>Специи и острые компоненты</x:v>
      </x:c>
      <x:c r="F381" s="28" t="str">
        <x:v>комплементарность ароматических семейств, вкусовой контраст и матричный эффект</x:v>
      </x:c>
      <x:c r="G381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Белый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пектиновая; сочетает поведение сливы и абрикоса. Партнёр: гидрофобные молекулы хорошо переходят в жир и этанол. Обработка: нагрев усиливает джемовые ноты; холодная обработка лучше сохраняет цветочность. Краткая инфузия сохраняет детализацию; длительный нагрев и настаивание повышают горечь и остроту.</x:v>
      </x:c>
      <x:c r="H381" s="28" t="str">
        <x:v>нагрев усиливает джемовые ноты; холодная обработка лучше сохраняет цветочность. Краткая инфузия сохраняет детализацию; длительный нагрев и настаивание повышают горечь и остроту.</x:v>
      </x:c>
      <x:c r="I381" s="28" t="str">
        <x:v>сортовая вариативность очень высокая; рецептуру нужно настраивать по партии. Специя легко доминирует; начинайте с низкой дозировки и учитывайте рост остроты после выдержки.</x:v>
      </x:c>
      <x:c r="J381" s="28" t="str">
        <x:v>напиток, соус, десерт или горячее блюдо после пробной дегустации</x:v>
      </x:c>
      <x:c r="K381" s="28" t="str">
        <x:v>Средняя</x:v>
      </x:c>
      <x:c r="L381" s="28" t="str">
        <x:v>The Art &amp; Science of Foodpairing.pdf</x:v>
      </x:c>
      <x:c r="M381" s="28" t="str">
        <x:v>The Art &amp; Science of Foodpairing.pdf: 274</x:v>
      </x:c>
    </x:row>
    <x:row r="382" ht="64" customHeight="1">
      <x:c r="A382" s="28" t="str">
        <x:v>STN-0459</x:v>
      </x:c>
      <x:c r="B382" s="28" t="str">
        <x:v>плюмкот</x:v>
      </x:c>
      <x:c r="C382" s="28" t="str">
        <x:v>плюмкот</x:v>
      </x:c>
      <x:c r="D382" s="28" t="str">
        <x:v>киви</x:v>
      </x:c>
      <x:c r="E382" s="28" t="str">
        <x:v>Тропические и субтропические фрукты</x:v>
      </x:c>
      <x:c r="F382" s="28" t="str">
        <x:v>прямое или классовое перекрытие характерных одорантов + вкусовой баланс</x:v>
      </x:c>
      <x:c r="G382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Киви относится к группе «Тропические и субтропические фрукты» и даёт профиль «зелёный, травянистый, цитрусовый, фруктовый и слегка морской»; типичные соединения или классы: гексаналь, (E)-2-гексеналь, этилбутират, метилбутират, линалоол; фермент актинидин. В рабочих профилях пересекаются: линалоол. Базовый фрукт даёт: сладость с выраженной фруктовой кислотностью; баланс зависит от сорта. Партнёр добавляет: высокая кислотность, сладость и выраженная свежесть. Баланс корректируется сахаром, кислотой, солью и горечью. Матрица пары: сочная пектиновая; сочетает поведение сливы и абрикоса. Партнёр: водная; содержит протеазу актинидин и кристаллы оксалата кальция.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H382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I382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82" s="28" t="str">
        <x:v>напиток, соус, десерт или горячее блюдо после пробной дегустации</x:v>
      </x:c>
      <x:c r="K382" s="28" t="str">
        <x:v>Средняя</x:v>
      </x:c>
      <x:c r="L382" s="28" t="str">
        <x:v>The Art &amp; Science of Foodpairing.pdf</x:v>
      </x:c>
      <x:c r="M382" s="28" t="str">
        <x:v>The Art &amp; Science of Foodpairing.pdf: 42</x:v>
      </x:c>
    </x:row>
    <x:row r="383" ht="64" customHeight="1">
      <x:c r="A383" s="28" t="str">
        <x:v>STN-0460</x:v>
      </x:c>
      <x:c r="B383" s="28" t="str">
        <x:v>плюмкот</x:v>
      </x:c>
      <x:c r="C383" s="28" t="str">
        <x:v>плюмкот</x:v>
      </x:c>
      <x:c r="D383" s="28" t="str">
        <x:v>красный сладкий перец</x:v>
      </x:c>
      <x:c r="E383" s="28" t="str">
        <x:v>Специи</x:v>
      </x:c>
      <x:c r="F383" s="28" t="str">
        <x:v>комплементарность ароматических семейств, вкусовой контраст и матричный эффект</x:v>
      </x:c>
      <x:c r="G383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Красный сладкий перец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пряный, иногда горький. Баланс корректируется сахаром, кислотой, солью и горечью. Матрица пары: сочная пектиновая; сочетает поведение сливы и абрикоса. Партнёр: эфирные масла хорошо извлекаются спиртом и жиром.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83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83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83" s="28" t="str">
        <x:v>напиток, соус, десерт или горячее блюдо после пробной дегустации</x:v>
      </x:c>
      <x:c r="K383" s="28" t="str">
        <x:v>Средняя</x:v>
      </x:c>
      <x:c r="L383" s="28" t="str">
        <x:v>The Art &amp; Science of Foodpairing.pdf</x:v>
      </x:c>
      <x:c r="M383" s="28" t="str">
        <x:v>The Art &amp; Science of Foodpairing.pdf: 109</x:v>
      </x:c>
    </x:row>
    <x:row r="384" ht="64" customHeight="1">
      <x:c r="A384" s="28" t="str">
        <x:v>STN-0461</x:v>
      </x:c>
      <x:c r="B384" s="28" t="str">
        <x:v>плюмкот</x:v>
      </x:c>
      <x:c r="C384" s="28" t="str">
        <x:v>плюмкот</x:v>
      </x:c>
      <x:c r="D384" s="28" t="str">
        <x:v>пармиджано-реджано</x:v>
      </x:c>
      <x:c r="E384" s="28" t="str">
        <x:v>Рыба и морепродукты</x:v>
      </x:c>
      <x:c r="F384" s="28" t="str">
        <x:v>комплементарность ароматических семейств, вкусовой контраст и матричный эффект</x:v>
      </x:c>
      <x:c r="G384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Пармиджано-реджано относится к группе «Рыба и морепродукты» и даёт профиль «жирный, морской, умами»; типичные соединения или классы: альдегиды, амины,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пектиновая; сочетает поведение сливы и абрикоса. Партнёр: белковая/жировая матрица; кислота снижает рыбные ноты.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84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84" s="28" t="str">
        <x:v>сортовая вариативность очень высокая; рецептуру нужно настраивать по партии. Сильная сладость и длительный контакт с кислотой могут замаскировать морской вкус и изменить белковую текстуру.</x:v>
      </x:c>
      <x:c r="J384" s="28" t="str">
        <x:v>соус, глазировка, чатни, маринад, гарнир или основное блюдо</x:v>
      </x:c>
      <x:c r="K384" s="28" t="str">
        <x:v>Средняя</x:v>
      </x:c>
      <x:c r="L384" s="28" t="str">
        <x:v>The Art &amp; Science of Foodpairing.pdf</x:v>
      </x:c>
      <x:c r="M384" s="28" t="str">
        <x:v>The Art &amp; Science of Foodpairing.pdf: 283</x:v>
      </x:c>
    </x:row>
    <x:row r="385" ht="64" customHeight="1">
      <x:c r="A385" s="28" t="str">
        <x:v>STN-0462</x:v>
      </x:c>
      <x:c r="B385" s="28" t="str">
        <x:v>плюмкот</x:v>
      </x:c>
      <x:c r="C385" s="28" t="str">
        <x:v>плюмкот</x:v>
      </x:c>
      <x:c r="D385" s="28" t="str">
        <x:v>паста из твердых сортов пшеницы</x:v>
      </x:c>
      <x:c r="E385" s="28" t="str">
        <x:v>Злаки и выпечка</x:v>
      </x:c>
      <x:c r="F385" s="28" t="str">
        <x:v>комплементарность ароматических семейств, вкусовой контраст и матричный эффект</x:v>
      </x:c>
      <x:c r="G385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Паста из твердых сортов пшеницы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крахмал, сладость и соль. Баланс корректируется сахаром, кислотой, солью и горечью. Матрица пары: сочная пектиновая; сочетает поведение сливы и абрикоса. Партнёр: крахмальная матрица приглушает кислоту и распределяет аромат.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H385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I385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85" s="28" t="str">
        <x:v>тарт, крем, мороженое, выпечка, сырная подача или начинка</x:v>
      </x:c>
      <x:c r="K385" s="28" t="str">
        <x:v>Средняя</x:v>
      </x:c>
      <x:c r="L385" s="28" t="str">
        <x:v>The Art &amp; Science of Foodpairing.pdf</x:v>
      </x:c>
      <x:c r="M385" s="28" t="str">
        <x:v>The Art &amp; Science of Foodpairing.pdf: 324</x:v>
      </x:c>
    </x:row>
    <x:row r="386" ht="64" customHeight="1">
      <x:c r="A386" s="28" t="str">
        <x:v>STN-0463</x:v>
      </x:c>
      <x:c r="B386" s="28" t="str">
        <x:v>плюмкот</x:v>
      </x:c>
      <x:c r="C386" s="28" t="str">
        <x:v>плюмкот</x:v>
      </x:c>
      <x:c r="D386" s="28" t="str">
        <x:v>свиная корейка</x:v>
      </x:c>
      <x:c r="E386" s="28" t="str">
        <x:v>Прочее</x:v>
      </x:c>
      <x:c r="F386" s="28" t="str">
        <x:v>комплементарность ароматических семейств, вкусовой контраст и матричный эффект</x:v>
      </x:c>
      <x:c r="G386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баланс зависит от продукта. Баланс корректируется сахаром, кислотой, солью и горечью. Матрица пары: сочная пектиновая; сочетает поведение сливы и абрикоса. Партнёр: матрица зависит от формы продукта.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H386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I386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86" s="28" t="str">
        <x:v>напиток, соус, десерт или горячее блюдо после пробной дегустации</x:v>
      </x:c>
      <x:c r="K386" s="28" t="str">
        <x:v>Средняя</x:v>
      </x:c>
      <x:c r="L386" s="28" t="str">
        <x:v>The Art &amp; Science of Foodpairing.pdf</x:v>
      </x:c>
      <x:c r="M386" s="28" t="str">
        <x:v>The Art &amp; Science of Foodpairing.pdf: 187</x:v>
      </x:c>
    </x:row>
    <x:row r="387" ht="64" customHeight="1">
      <x:c r="A387" s="28" t="str">
        <x:v>STN-0464</x:v>
      </x:c>
      <x:c r="B387" s="28" t="str">
        <x:v>плюмкот</x:v>
      </x:c>
      <x:c r="C387" s="28" t="str">
        <x:v>плюмкот</x:v>
      </x:c>
      <x:c r="D387" s="28" t="str">
        <x:v>цветы жасмина</x:v>
      </x:c>
      <x:c r="E387" s="28" t="str">
        <x:v>Травы и цветы</x:v>
      </x:c>
      <x:c r="F387" s="28" t="str">
        <x:v>прямое или классовое перекрытие характерных одорантов + вкусовой баланс</x:v>
      </x:c>
      <x:c r="G387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Цветы жасмина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цветочный. Базовый фрукт даёт: сладость с выраженной фруктовой кислотностью; баланс зависит от сорта. Партнёр добавляет: горьковатый, свежий. Баланс корректируется сахаром, кислотой, солью и горечью. Матрица пары: сочная пектиновая; сочетает поведение сливы и абрикоса. Партнёр: летучие масла чувствительны к нагреву.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87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87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87" s="28" t="str">
        <x:v>напиток, соус, десерт или горячее блюдо после пробной дегустации</x:v>
      </x:c>
      <x:c r="K387" s="28" t="str">
        <x:v>Средняя</x:v>
      </x:c>
      <x:c r="L387" s="28" t="str">
        <x:v>The Art &amp; Science of Foodpairing.pdf</x:v>
      </x:c>
      <x:c r="M387" s="28" t="str">
        <x:v>The Art &amp; Science of Foodpairing.pdf: 211</x:v>
      </x:c>
    </x:row>
    <x:row r="388" ht="64" customHeight="1">
      <x:c r="A388" s="28" t="str">
        <x:v>STN-0465</x:v>
      </x:c>
      <x:c r="B388" s="28" t="str">
        <x:v>плюмкот</x:v>
      </x:c>
      <x:c r="C388" s="28" t="str">
        <x:v>плюмкот</x:v>
      </x:c>
      <x:c r="D388" s="28" t="str">
        <x:v>черный трюфель</x:v>
      </x:c>
      <x:c r="E388" s="28" t="str">
        <x:v>Грибы и трюфели</x:v>
      </x:c>
      <x:c r="F388" s="28" t="str">
        <x:v>комплементарность ароматических семейств, вкусовой контраст и матричный эффект</x:v>
      </x:c>
      <x:c r="G388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Черный трюфель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умами и лёгкая горечь. Баланс корректируется сахаром, кислотой, солью и горечью. Матрица пары: сочная пектиновая; сочетает поведение сливы и абрикоса. Партнёр: вода и клетчатка; обжарка создаёт новые жареные молекулы.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H388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I388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88" s="28" t="str">
        <x:v>соус, глазировка, чатни, маринад, гарнир или основное блюдо</x:v>
      </x:c>
      <x:c r="K388" s="28" t="str">
        <x:v>Средняя</x:v>
      </x:c>
      <x:c r="L388" s="28" t="str">
        <x:v>The Art &amp; Science of Foodpairing.pdf</x:v>
      </x:c>
      <x:c r="M388" s="28" t="str">
        <x:v>The Art &amp; Science of Foodpairing.pdf: 193</x:v>
      </x:c>
    </x:row>
    <x:row r="389" ht="64" customHeight="1">
      <x:c r="A389" s="28" t="str">
        <x:v>STN-0466</x:v>
      </x:c>
      <x:c r="B389" s="28" t="str">
        <x:v>плюмкот</x:v>
      </x:c>
      <x:c r="C389" s="28" t="str">
        <x:v>плюмкот</x:v>
      </x:c>
      <x:c r="D389" s="28" t="str">
        <x:v>шиитаке</x:v>
      </x:c>
      <x:c r="E389" s="28" t="str">
        <x:v>Прочее</x:v>
      </x:c>
      <x:c r="F389" s="28" t="str">
        <x:v>комплементарность ароматических семейств, вкусовой контраст и матричный эффект</x:v>
      </x:c>
      <x:c r="G389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Шиитаке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зависит от ингредиента. Баланс корректируется сахаром, кислотой, солью и горечью. Матрица пары: сочная пектиновая; сочетает поведение сливы и абрикоса. Партнёр: механизм зависит от конкретного продукта.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89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89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89" s="28" t="str">
        <x:v>напиток, соус, десерт или горячее блюдо после пробной дегустации</x:v>
      </x:c>
      <x:c r="K389" s="28" t="str">
        <x:v>Средняя</x:v>
      </x:c>
      <x:c r="L389" s="28" t="str">
        <x:v>The Art &amp; Science of Foodpairing.pdf</x:v>
      </x:c>
      <x:c r="M389" s="28" t="str">
        <x:v>The Art &amp; Science of Foodpairing.pdf: 127</x:v>
      </x:c>
    </x:row>
  </x:sheetData>
  <x:conditionalFormatting sqref="K2:K389">
    <x:cfRule type="expression" dxfId="6" priority="1">
      <x:formula>K2="Высокая"</x:formula>
    </x:cfRule>
    <x:cfRule type="expression" dxfId="7" priority="2">
      <x:formula>K2="Средняя"</x:formula>
    </x:cfRule>
    <x:cfRule type="expression" dxfId="8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bd03a2d6b84f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5" hidden="0" customWidth="1"/>
    <x:col min="4" max="4" width="30" hidden="0" customWidth="1"/>
    <x:col min="5" max="5" width="26" hidden="0" customWidth="1"/>
    <x:col min="6" max="6" width="36" hidden="0" customWidth="1"/>
    <x:col min="7" max="7" width="66" hidden="0" customWidth="1"/>
    <x:col min="8" max="8" width="52" hidden="0" customWidth="1"/>
    <x:col min="9" max="9" width="52" hidden="0" customWidth="1"/>
    <x:col min="10" max="10" width="46" hidden="0" customWidth="1"/>
    <x:col min="11" max="11" width="22" hidden="0" customWidth="1"/>
    <x:col min="12" max="12" width="39" hidden="0" customWidth="1"/>
    <x:col min="13" max="13" width="46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STN-0001</x:v>
      </x:c>
      <x:c r="B2" s="28" t="str">
        <x:v>абрикос</x:v>
      </x:c>
      <x:c r="C2" s="28" t="str">
        <x:v>абрикос</x:v>
      </x:c>
      <x:c r="D2" s="28" t="str">
        <x:v>ананас</x:v>
      </x:c>
      <x:c r="E2" s="28" t="str">
        <x:v>Тропические фрукты</x:v>
      </x:c>
      <x:c r="F2" s="28" t="str">
        <x:v>комплементарность ароматических семейств, вкусовой контраст и матричный эффект</x:v>
      </x:c>
      <x:c r="G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Ананас относится к группе «Тропические фрукты» и даёт профиль «яркий фруктовый, конфетный, цитрусовый, зелёный и слегка сернистый»; типичные соединения или классы: метилгексаноат, этилгексаноат, этилбутират, метил-3-(метилтио)пропионат и другие сернистые следы.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 и кислотность; лёгкая терпкость сердцевины.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и кислая; содержит протеазу бромелайн, разрушающую белки.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H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I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" s="28" t="str">
        <x:v>напиток, соус, десерт или горячее блюдо после пробной дегустации</x:v>
      </x:c>
      <x:c r="K2" s="28" t="str">
        <x:v>Гипотеза / практическая</x:v>
      </x:c>
      <x:c r="L2" s="28" t="str">
        <x:v>Таблица сочетания(1).pdf</x:v>
      </x:c>
      <x:c r="M2" s="28" t="str">
        <x:v>Таблица сочетания(1).pdf: Таблица сочетаний: 1, 17 | Таблица сочетания(1).pdf: 1 | Таблица сочетания(1).pdf: 17</x:v>
      </x:c>
    </x:row>
    <x:row r="3" ht="64" customHeight="1">
      <x:c r="A3" s="28" t="str">
        <x:v>STN-0002</x:v>
      </x:c>
      <x:c r="B3" s="28" t="str">
        <x:v>абрикос</x:v>
      </x:c>
      <x:c r="C3" s="28" t="str">
        <x:v>абрикос</x:v>
      </x:c>
      <x:c r="D3" s="28" t="str">
        <x:v>апельсин</x:v>
      </x:c>
      <x:c r="E3" s="28" t="str">
        <x:v>Цитрусовые</x:v>
      </x:c>
      <x:c r="F3" s="28" t="str">
        <x:v>прямое или классовое перекрытие характерных одорантов + вкусовой баланс</x:v>
      </x:c>
      <x:c r="G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сок водный и кислый, цедра содержит гидрофобные эфирные масла.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" s="28" t="str">
        <x:v>сорбет, салат, джем, кордиал, лимонад, коктейль или фруктовый соус</x:v>
      </x:c>
      <x:c r="K3" s="28" t="str">
        <x:v>Высокая</x:v>
      </x:c>
      <x:c r="L3" s="28" t="str">
        <x:v>The Art &amp; Science of Foodpairing.pdf | Таблица сочетания(1).pdf | Тезариус вкусов (Ники Сегнит)(1).pdf</x:v>
      </x:c>
      <x:c r="M3" s="28" t="str">
        <x:v>Таблица сочетания(1).pdf: Таблица сочетания(1).pdf: 1, 14 | Тезариус вкусов (Ники Сегнит)(1).pdf: 741, 772 | Тезариус вкусов (Ники Сегнит)(1).pdf: Таблица сочетания(1).pdf: 1, 14 | Тезариус вкусов (Ники Сегнит)(1).pdf: 741, 772 | Таблица сочетания(1).pdf: 1 | Таблица сочетания(1).pdf: 14 | Тезариус вкусов (Ники Сегнит)(1).pdf: 741 | Тезариус вкусов (Ники Сегнит)(1).pdf: 772 | The Art &amp; Science of Foodpairing.pdf: 236</x:v>
      </x:c>
    </x:row>
    <x:row r="4" ht="64" customHeight="1">
      <x:c r="A4" s="28" t="str">
        <x:v>STN-0003</x:v>
      </x:c>
      <x:c r="B4" s="28" t="str">
        <x:v>абрикос</x:v>
      </x:c>
      <x:c r="C4" s="28" t="str">
        <x:v>абрикос</x:v>
      </x:c>
      <x:c r="D4" s="28" t="str">
        <x:v>арбуз</x:v>
      </x:c>
      <x:c r="E4" s="28" t="str">
        <x:v>Бахчевые</x:v>
      </x:c>
      <x:c r="F4" s="28" t="str">
        <x:v>комплементарность ароматических семейств, вкусовой контраст и матричный эффект</x:v>
      </x:c>
      <x:c r="G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Арбуз относится к группе «Бахчевые» и даёт профиль «водянистый, зелёный, огуречный, свежий и слегка фруктовый»; типичные соединения или классы: (Z)-3-ноненаль, (E,Z)-2,6-нонадиеналь, гексаналь и другие C6/C9-альдегиды.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умеренная сладость и очень низкая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более чем на 90% водная; аромат легко разбавляется и плохо переносит долгий нагрев.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избыток водянистых партнёров делает сочетание пустым; сильные ароматы быстро подавляют арбуз.</x:v>
      </x:c>
      <x:c r="H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избыток водянистых партнёров делает сочетание пустым; сильные ароматы быстро подавляют арбуз.</x:v>
      </x:c>
      <x:c r="I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" s="28" t="str">
        <x:v>напиток, соус, десерт или горячее блюдо после пробной дегустации</x:v>
      </x:c>
      <x:c r="K4" s="28" t="str">
        <x:v>Средняя</x:v>
      </x:c>
      <x:c r="L4" s="28" t="str">
        <x:v>The Art &amp; Science of Foodpairing.pdf</x:v>
      </x:c>
      <x:c r="M4" s="28" t="str">
        <x:v>The Art &amp; Science of Foodpairing.pdf: The Art &amp; Science of Foodpairing: 78 | The Art &amp; Science of Foodpairing.pdf: 78</x:v>
      </x:c>
    </x:row>
    <x:row r="5" ht="64" customHeight="1">
      <x:c r="A5" s="28" t="str">
        <x:v>STN-0004</x:v>
      </x:c>
      <x:c r="B5" s="28" t="str">
        <x:v>абрикос</x:v>
      </x:c>
      <x:c r="C5" s="28" t="str">
        <x:v>абрикос</x:v>
      </x:c>
      <x:c r="D5" s="28" t="str">
        <x:v>артишок</x:v>
      </x:c>
      <x:c r="E5" s="28" t="str">
        <x:v>Овощи и грибы</x:v>
      </x:c>
      <x:c r="F5" s="28" t="str">
        <x:v>комплементарность ароматических семейств, вкусовой контраст и матричный эффект</x:v>
      </x:c>
      <x:c r="G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Артишок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растительный, иногда умами.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высокая доля воды; нагрев меняет зелёный профиль.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" s="28" t="str">
        <x:v>напиток, соус, десерт или горячее блюдо после пробной дегустации</x:v>
      </x:c>
      <x:c r="K5" s="28" t="str">
        <x:v>Средняя</x:v>
      </x:c>
      <x:c r="L5" s="28" t="str">
        <x:v>The Art &amp; Science of Foodpairing.pdf</x:v>
      </x:c>
      <x:c r="M5" s="28" t="str">
        <x:v>The Art &amp; Science of Foodpairing.pdf: 329</x:v>
      </x:c>
    </x:row>
    <x:row r="6" ht="64" customHeight="1">
      <x:c r="A6" s="28" t="str">
        <x:v>STN-0005</x:v>
      </x:c>
      <x:c r="B6" s="28" t="str">
        <x:v>абрикос</x:v>
      </x:c>
      <x:c r="C6" s="28" t="str">
        <x:v>абрикос</x:v>
      </x:c>
      <x:c r="D6" s="28" t="str">
        <x:v>базилик</x:v>
      </x:c>
      <x:c r="E6" s="28" t="str">
        <x:v>Травы и цветы</x:v>
      </x:c>
      <x:c r="F6" s="28" t="str">
        <x:v>прямое или классовое перекрытие характерных одорантов + вкусовой баланс</x:v>
      </x:c>
      <x:c r="G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В рабочих профилях пересекаются: линалоол.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" s="28" t="str">
        <x:v>напиток, соус, десерт или горячее блюдо после пробной дегустации</x:v>
      </x:c>
      <x:c r="K6" s="28" t="str">
        <x:v>Средняя</x:v>
      </x:c>
      <x:c r="L6" s="28" t="str">
        <x:v>The Art &amp; Science of Foodpairing.pdf</x:v>
      </x:c>
      <x:c r="M6" s="28" t="str">
        <x:v>The Art &amp; Science of Foodpairing.pdf: 206</x:v>
      </x:c>
    </x:row>
    <x:row r="7" ht="64" customHeight="1">
      <x:c r="A7" s="28" t="str">
        <x:v>STN-0006</x:v>
      </x:c>
      <x:c r="B7" s="28" t="str">
        <x:v>абрикос</x:v>
      </x:c>
      <x:c r="C7" s="28" t="str">
        <x:v>абрикос</x:v>
      </x:c>
      <x:c r="D7" s="28" t="str">
        <x:v>банан</x:v>
      </x:c>
      <x:c r="E7" s="28" t="str">
        <x:v>Тропические фрукты</x:v>
      </x:c>
      <x:c r="F7" s="28" t="str">
        <x:v>комплементарность ароматических семейств, вкусовой контраст и матричный эффект</x:v>
      </x:c>
      <x:c r="G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Банан относится к группе «Тропические фрукты» и даёт профиль «сладкий фруктовый, сливочный, цветочный; у зрелого плода — конфетный и пряный»; типичные соединения или классы: изоамилацетат, изобутилацетат, бутилацетат, этилбутират, эвгенол и другие фенольные следы. По доступным материалам нельзя уверенно свести совместимость к одной общей молекуле. Общие ароматические направления: цветочный,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низкая кислотность, крахмалистость у незрелого плода.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мягкая крахмально-пектиновая; низкая кислотность и высокая вязкость приглушают летучесть.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перезрелый банан доминирует и быстро окисляется; без кислоты или горечи сочетание может быть плоским.</x:v>
      </x:c>
      <x:c r="H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перезрелый банан доминирует и быстро окисляется; без кислоты или горечи сочетание может быть плоским.</x:v>
      </x:c>
      <x:c r="I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7" s="28" t="str">
        <x:v>напиток, соус, десерт или горячее блюдо после пробной дегустации</x:v>
      </x:c>
      <x:c r="K7" s="28" t="str">
        <x:v>Гипотеза / практическая</x:v>
      </x:c>
      <x:c r="L7" s="28" t="str">
        <x:v>Таблица сочетания(1).pdf</x:v>
      </x:c>
      <x:c r="M7" s="28" t="str">
        <x:v>Таблица сочетания(1).pdf: Таблица сочетаний: 2 | Таблица сочетания(1).pdf: 2</x:v>
      </x:c>
    </x:row>
    <x:row r="8" ht="64" customHeight="1">
      <x:c r="A8" s="28" t="str">
        <x:v>STN-0008</x:v>
      </x:c>
      <x:c r="B8" s="28" t="str">
        <x:v>абрикос</x:v>
      </x:c>
      <x:c r="C8" s="28" t="str">
        <x:v>абрикос</x:v>
      </x:c>
      <x:c r="D8" s="28" t="str">
        <x:v>блю д’овернь</x:v>
      </x:c>
      <x:c r="E8" s="28" t="str">
        <x:v>Сыры и молочные продукты</x:v>
      </x:c>
      <x:c r="F8" s="28" t="str">
        <x:v>комплементарность ароматических семейств, вкусовой контраст и матричный эффект</x:v>
      </x:c>
      <x:c r="G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Блю д’овернь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 мякоть; низкий жир; кожица и косточка могут добавлять терпкость и миндальный оттенок. Жир и белок партнёра удерживают гидрофобные лактоны, но высокая фруктовая кислота может нарушить молочную эмульсию.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</x:v>
      </x:c>
      <x:c r="H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</x:v>
      </x:c>
      <x:c r="I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кислоты может свернуть молочную основу; фрукт и сыр проверяют при рабочей температуре.</x:v>
      </x:c>
      <x:c r="J8" s="28" t="str">
        <x:v>тарт, крем, мороженое, выпечка, сырная подача или начинка</x:v>
      </x:c>
      <x:c r="K8" s="28" t="str">
        <x:v>Средняя</x:v>
      </x:c>
      <x:c r="L8" s="28" t="str">
        <x:v>The Art &amp; Science of Foodpairing.pdf</x:v>
      </x:c>
      <x:c r="M8" s="28" t="str">
        <x:v>The Art &amp; Science of Foodpairing.pdf: 206</x:v>
      </x:c>
    </x:row>
    <x:row r="9" ht="64" customHeight="1">
      <x:c r="A9" s="28" t="str">
        <x:v>STN-0009</x:v>
      </x:c>
      <x:c r="B9" s="28" t="str">
        <x:v>абрикос</x:v>
      </x:c>
      <x:c r="C9" s="28" t="str">
        <x:v>абрикос</x:v>
      </x:c>
      <x:c r="D9" s="28" t="str">
        <x:v>ваниль</x:v>
      </x:c>
      <x:c r="E9" s="28" t="str">
        <x:v>Специи и острые компоненты</x:v>
      </x:c>
      <x:c r="F9" s="28" t="str">
        <x:v>прямое или классовое перекрытие характерных одорантов + вкусовой баланс</x:v>
      </x:c>
      <x:c r="G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Ваниль относится к группе «Специи и острые компоненты» и даёт профиль «сладкий, сливочный и древесный»; типичные соединения или классы: ванилин, п-гидроксибензальдегид. В рабочих профилях пересекаются: бензальдегид.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9" s="28" t="str">
        <x:v>напиток, соус, десерт или горячее блюдо после пробной дегустации</x:v>
      </x:c>
      <x:c r="K9" s="28" t="str">
        <x:v>Высокая</x:v>
      </x:c>
      <x:c r="L9" s="28" t="str">
        <x:v>Таблица сочетания(1).pdf | Тезариус вкусов (Ники Сегнит)(1).pdf</x:v>
      </x:c>
      <x:c r="M9" s="28" t="str">
        <x:v>Таблица сочетания(1).pdf: 1 | Таблица сочетания(1).pdf: 21 | Тезариус вкусов (Ники Сегнит)(1).pdf: 741 | Тезариус вкусов (Ники Сегнит)(1).pdf: 914</x:v>
      </x:c>
    </x:row>
    <x:row r="10" ht="64" customHeight="1">
      <x:c r="A10" s="28" t="str">
        <x:v>STN-0011</x:v>
      </x:c>
      <x:c r="B10" s="28" t="str">
        <x:v>абрикос</x:v>
      </x:c>
      <x:c r="C10" s="28" t="str">
        <x:v>абрикос</x:v>
      </x:c>
      <x:c r="D10" s="28" t="str">
        <x:v>вишня</x:v>
      </x:c>
      <x:c r="E10" s="28" t="str">
        <x:v>Косточковые фрукты</x:v>
      </x:c>
      <x:c r="F10" s="28" t="str">
        <x:v>прямое или классовое перекрытие характерных одорантов + вкусовой баланс</x:v>
      </x:c>
      <x:c r="G1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линалоол, эфиры. Общие ароматические направления: цветочный, фруктовый, лактонный, миндальный.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умеренная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пектиновая; кожица и косточка могут давать терпкость и миндальные ноты.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1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1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0" s="28" t="str">
        <x:v>напиток, соус, десерт или горячее блюдо после пробной дегустации</x:v>
      </x:c>
      <x:c r="K10" s="28" t="str">
        <x:v>Гипотеза / практическая</x:v>
      </x:c>
      <x:c r="L10" s="28" t="str">
        <x:v>Таблица сочетания(1).pdf</x:v>
      </x:c>
      <x:c r="M10" s="28" t="str">
        <x:v>Таблица сочетания(1).pdf: Таблица сочетаний: 1, 4 | Таблица сочетания(1).pdf: 1 | Таблица сочетания(1).pdf: 4</x:v>
      </x:c>
    </x:row>
    <x:row r="11" ht="64" customHeight="1">
      <x:c r="A11" s="28" t="str">
        <x:v>STN-0012</x:v>
      </x:c>
      <x:c r="B11" s="28" t="str">
        <x:v>абрикос</x:v>
      </x:c>
      <x:c r="C11" s="28" t="str">
        <x:v>абрикос</x:v>
      </x:c>
      <x:c r="D11" s="28" t="str">
        <x:v>голубика</x:v>
      </x:c>
      <x:c r="E11" s="28" t="str">
        <x:v>Ягоды</x:v>
      </x:c>
      <x:c r="F11" s="28" t="str">
        <x:v>прямое или классовое перекрытие характерных одорантов + вкусовой баланс</x:v>
      </x:c>
      <x:c r="G1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ионон,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водная пектиновая; антоцианы влияют на цвет, но не являются главными одорантами.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1" s="28" t="str">
        <x:v>сорбет, салат, джем, кордиал, лимонад, коктейль или фруктовый соус</x:v>
      </x:c>
      <x:c r="K11" s="28" t="str">
        <x:v>Высокая</x:v>
      </x:c>
      <x:c r="L11" s="28" t="str">
        <x:v>The Art &amp; Science of Foodpairing.pdf | Таблица сочетания(1).pdf</x:v>
      </x:c>
      <x:c r="M11" s="28" t="str">
        <x:v>The Art &amp; Science of Foodpairing.pdf: The Art &amp; Science of Foodpairing: 205; Таблица сочетаний: 3 | Таблица сочетания(1).pdf: 3 | The Art &amp; Science of Foodpairing.pdf: 204 | The Art &amp; Science of Foodpairing.pdf: 205</x:v>
      </x:c>
    </x:row>
    <x:row r="12" ht="64" customHeight="1">
      <x:c r="A12" s="28" t="str">
        <x:v>STN-0013</x:v>
      </x:c>
      <x:c r="B12" s="28" t="str">
        <x:v>абрикос</x:v>
      </x:c>
      <x:c r="C12" s="28" t="str">
        <x:v>абрикос</x:v>
      </x:c>
      <x:c r="D12" s="28" t="str">
        <x:v>грецкий орех</x:v>
      </x:c>
      <x:c r="E12" s="28" t="str">
        <x:v>Орехи и семена</x:v>
      </x:c>
      <x:c r="F12" s="28" t="str">
        <x:v>прямое или классовое перекрытие характерных одорантов + вкусовой баланс</x:v>
      </x:c>
      <x:c r="G1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Грецкий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1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1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J12" s="28" t="str">
        <x:v>тарт, крем, мороженое, выпечка, сырная подача или начинка</x:v>
      </x:c>
      <x:c r="K12" s="28" t="str">
        <x:v>Гипотеза / практическая</x:v>
      </x:c>
      <x:c r="L12" s="28" t="str">
        <x:v>Таблица сочетания(1).pdf</x:v>
      </x:c>
      <x:c r="M12" s="28" t="str">
        <x:v>Таблица сочетания(1).pdf: 21</x:v>
      </x:c>
    </x:row>
    <x:row r="13" ht="64" customHeight="1">
      <x:c r="A13" s="28" t="str">
        <x:v>STN-0014</x:v>
      </x:c>
      <x:c r="B13" s="28" t="str">
        <x:v>абрикос</x:v>
      </x:c>
      <x:c r="C13" s="28" t="str">
        <x:v>абрикос</x:v>
      </x:c>
      <x:c r="D13" s="28" t="str">
        <x:v>грибы</x:v>
      </x:c>
      <x:c r="E13" s="28" t="str">
        <x:v>Овощи и грибы</x:v>
      </x:c>
      <x:c r="F13" s="28" t="str">
        <x:v>комплементарность ароматических семейств, вкусовой контраст и матричный эффект</x:v>
      </x:c>
      <x:c r="G1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Грибы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растительный, иногда умами.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высокая доля воды; нагрев меняет зелёный профиль.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3" s="28" t="str">
        <x:v>напиток, соус, десерт или горячее блюдо после пробной дегустации</x:v>
      </x:c>
      <x:c r="K13" s="28" t="str">
        <x:v>Средняя</x:v>
      </x:c>
      <x:c r="L13" s="28" t="str">
        <x:v>Тезариус вкусов (Ники Сегнит)(1).pdf</x:v>
      </x:c>
      <x:c r="M13" s="28" t="str">
        <x:v>Тезариус вкусов (Ники Сегнит)(1).pdf: 192 | Тезариус вкусов (Ники Сегнит)(1).pdf: 742</x:v>
      </x:c>
    </x:row>
    <x:row r="14" ht="64" customHeight="1">
      <x:c r="A14" s="28" t="str">
        <x:v>STN-0015</x:v>
      </x:c>
      <x:c r="B14" s="28" t="str">
        <x:v>абрикос</x:v>
      </x:c>
      <x:c r="C14" s="28" t="str">
        <x:v>абрикос</x:v>
      </x:c>
      <x:c r="D14" s="28" t="str">
        <x:v>джем из купуасу</x:v>
      </x:c>
      <x:c r="E14" s="28" t="str">
        <x:v>Фрукты</x:v>
      </x:c>
      <x:c r="F14" s="28" t="str">
        <x:v>прямое или классовое перекрытие характерных одорантов + вкусовой баланс</x:v>
      </x:c>
      <x:c r="G1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Джем из купуасу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преимущественно водно-пектиновая матрица.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1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1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4" s="28" t="str">
        <x:v>сорбет, салат, джем, кордиал, лимонад, коктейль или фруктовый соус</x:v>
      </x:c>
      <x:c r="K14" s="28" t="str">
        <x:v>Средняя</x:v>
      </x:c>
      <x:c r="L14" s="28" t="str">
        <x:v>The Art &amp; Science of Foodpairing.pdf</x:v>
      </x:c>
      <x:c r="M14" s="28" t="str">
        <x:v>The Art &amp; Science of Foodpairing.pdf: 206</x:v>
      </x:c>
    </x:row>
    <x:row r="15" ht="64" customHeight="1">
      <x:c r="A15" s="28" t="str">
        <x:v>STN-0017</x:v>
      </x:c>
      <x:c r="B15" s="28" t="str">
        <x:v>абрикос</x:v>
      </x:c>
      <x:c r="C15" s="28" t="str">
        <x:v>абрикос</x:v>
      </x:c>
      <x:c r="D15" s="28" t="str">
        <x:v>жареный каштан</x:v>
      </x:c>
      <x:c r="E15" s="28" t="str">
        <x:v>Орехи и семена</x:v>
      </x:c>
      <x:c r="F15" s="28" t="str">
        <x:v>прямое или классовое перекрытие характерных одорантов + вкусовой баланс</x:v>
      </x:c>
      <x:c r="G1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Жареный каштан относится к группе «Орехи и семена» и даёт профиль «ореховый, жареный, древесный, иногда миндальный»; типичные соединения или классы: бензальдегид, пиразины, фураны, лактоны и липидные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1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1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J15" s="28" t="str">
        <x:v>тарт, крем, мороженое, выпечка, сырная подача или начинка</x:v>
      </x:c>
      <x:c r="K15" s="28" t="str">
        <x:v>Средняя</x:v>
      </x:c>
      <x:c r="L15" s="28" t="str">
        <x:v>The Art &amp; Science of Foodpairing.pdf</x:v>
      </x:c>
      <x:c r="M15" s="28" t="str">
        <x:v>The Art &amp; Science of Foodpairing.pdf: 206</x:v>
      </x:c>
    </x:row>
    <x:row r="16" ht="64" customHeight="1">
      <x:c r="A16" s="28" t="str">
        <x:v>STN-0018</x:v>
      </x:c>
      <x:c r="B16" s="28" t="str">
        <x:v>абрикос</x:v>
      </x:c>
      <x:c r="C16" s="28" t="str">
        <x:v>абрикос</x:v>
      </x:c>
      <x:c r="D16" s="28" t="str">
        <x:v>жареный фундук</x:v>
      </x:c>
      <x:c r="E16" s="28" t="str">
        <x:v>Орехи и семена</x:v>
      </x:c>
      <x:c r="F16" s="28" t="str">
        <x:v>прямое или классовое перекрытие характерных одорантов + вкусовой баланс</x:v>
      </x:c>
      <x:c r="G1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Жареный фундук относится к группе «Орехи и семена» и даёт профиль «жареный, миндальный, ореховый»; типичные соединения или классы: бензальдегид, пиразины, фураны.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J16" s="28" t="str">
        <x:v>тарт, крем, мороженое, выпечка, сырная подача или начинка</x:v>
      </x:c>
      <x:c r="K16" s="28" t="str">
        <x:v>Средняя</x:v>
      </x:c>
      <x:c r="L16" s="28" t="str">
        <x:v>The Art &amp; Science of Foodpairing.pdf</x:v>
      </x:c>
      <x:c r="M16" s="28" t="str">
        <x:v>The Art &amp; Science of Foodpairing.pdf: 206</x:v>
      </x:c>
    </x:row>
    <x:row r="17" ht="64" customHeight="1">
      <x:c r="A17" s="28" t="str">
        <x:v>STN-0020</x:v>
      </x:c>
      <x:c r="B17" s="28" t="str">
        <x:v>абрикос</x:v>
      </x:c>
      <x:c r="C17" s="28" t="str">
        <x:v>абрикос</x:v>
      </x:c>
      <x:c r="D17" s="28" t="str">
        <x:v>зира</x:v>
      </x:c>
      <x:c r="E17" s="28" t="str">
        <x:v>Специи и острые компоненты</x:v>
      </x:c>
      <x:c r="F17" s="28" t="str">
        <x:v>комплементарность ароматических семейств, вкусовой контраст и матричный эффект</x:v>
      </x:c>
      <x:c r="G1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Зира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17" s="28" t="str">
        <x:v>напиток, соус, десерт или горячее блюдо после пробной дегустации</x:v>
      </x:c>
      <x:c r="K17" s="28" t="str">
        <x:v>Высокая</x:v>
      </x:c>
      <x:c r="L17" s="28" t="str">
        <x:v>The Art &amp; Science of Foodpairing.pdf | Тезариус вкусов (Ники Сегнит)(1).pdf</x:v>
      </x:c>
      <x:c r="M17" s="28" t="str">
        <x:v>Тезариус вкусов (Ники Сегнит)(1).pdf: 214 | Тезариус вкусов (Ники Сегнит)(1).pdf: 742 | The Art &amp; Science of Foodpairing.pdf: 228</x:v>
      </x:c>
    </x:row>
    <x:row r="18" ht="64" customHeight="1">
      <x:c r="A18" s="28" t="str">
        <x:v>STN-0022</x:v>
      </x:c>
      <x:c r="B18" s="28" t="str">
        <x:v>абрикос</x:v>
      </x:c>
      <x:c r="C18" s="28" t="str">
        <x:v>абрикос</x:v>
      </x:c>
      <x:c r="D18" s="28" t="str">
        <x:v>имбирь</x:v>
      </x:c>
      <x:c r="E18" s="28" t="str">
        <x:v>Специи и острые компоненты</x:v>
      </x:c>
      <x:c r="F18" s="28" t="str">
        <x:v>комплементарность ароматических семейств, вкусовой контраст и матричный эффект</x:v>
      </x:c>
      <x:c r="G1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18" s="28" t="str">
        <x:v>напиток, соус, десерт или горячее блюдо после пробной дегустации</x:v>
      </x:c>
      <x:c r="K18" s="28" t="str">
        <x:v>Высокая</x:v>
      </x:c>
      <x:c r="L18" s="28" t="str">
        <x:v>Таблица сочетания(1).pdf | Тезариус вкусов (Ники Сегнит)(1).pdf</x:v>
      </x:c>
      <x:c r="M18" s="28" t="str">
        <x:v>Таблица сочетания(1).pdf: 1 | Таблица сочетания(1).pdf: 8 | Тезариус вкусов (Ники Сегнит)(1).pdf: 742 | Тезариус вкусов (Ники Сегнит)(1).pdf: 812</x:v>
      </x:c>
    </x:row>
    <x:row r="19" ht="64" customHeight="1">
      <x:c r="A19" s="28" t="str">
        <x:v>STN-0024</x:v>
      </x:c>
      <x:c r="B19" s="28" t="str">
        <x:v>абрикос</x:v>
      </x:c>
      <x:c r="C19" s="28" t="str">
        <x:v>абрикос</x:v>
      </x:c>
      <x:c r="D19" s="28" t="str">
        <x:v>карамель</x:v>
      </x:c>
      <x:c r="E19" s="28" t="str">
        <x:v>Сахара, мёд и кондитерские основы</x:v>
      </x:c>
      <x:c r="F19" s="28" t="str">
        <x:v>комплементарность ароматических семейств, вкусовой контраст и матричный эффект</x:v>
      </x:c>
      <x:c r="G1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1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1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9" s="28" t="str">
        <x:v>напиток, соус, десерт или горячее блюдо после пробной дегустации</x:v>
      </x:c>
      <x:c r="K19" s="28" t="str">
        <x:v>Гипотеза / практическая</x:v>
      </x:c>
      <x:c r="L19" s="28" t="str">
        <x:v>Таблица сочетания(1).pdf</x:v>
      </x:c>
      <x:c r="M19" s="28" t="str">
        <x:v>Таблица сочетания(1).pdf: 1</x:v>
      </x:c>
    </x:row>
    <x:row r="20" ht="64" customHeight="1">
      <x:c r="A20" s="28" t="str">
        <x:v>STN-0025</x:v>
      </x:c>
      <x:c r="B20" s="28" t="str">
        <x:v>абрикос</x:v>
      </x:c>
      <x:c r="C20" s="28" t="str">
        <x:v>абрикос</x:v>
      </x:c>
      <x:c r="D20" s="28" t="str">
        <x:v>кардамон</x:v>
      </x:c>
      <x:c r="E20" s="28" t="str">
        <x:v>Специи и острые компоненты</x:v>
      </x:c>
      <x:c r="F20" s="28" t="str">
        <x:v>прямое или классовое перекрытие характерных одорантов + вкусовой баланс</x:v>
      </x:c>
      <x:c r="G2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Кардамон относится к группе «Специи и острые компоненты» и даёт профиль «цитрусовый, камфорный и цветочный»; типичные соединения или классы: 1,8-цинеол, α-терпинилацетат, линалоол. В рабочих профилях пересекаются: линалоол.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20" s="28" t="str">
        <x:v>напиток, соус, десерт или горячее блюдо после пробной дегустации</x:v>
      </x:c>
      <x:c r="K20" s="28" t="str">
        <x:v>Высокая</x:v>
      </x:c>
      <x:c r="L20" s="28" t="str">
        <x:v>Таблица сочетания(1).pdf | Тезариус вкусов (Ники Сегнит)(1).pdf</x:v>
      </x:c>
      <x:c r="M20" s="28" t="str">
        <x:v>Таблица сочетания(1).pdf: 1 | Тезариус вкусов (Ники Сегнит)(1).pdf: 743 | Тезариус вкусов (Ники Сегнит)(1).pdf: 825</x:v>
      </x:c>
    </x:row>
    <x:row r="21" ht="64" customHeight="1">
      <x:c r="A21" s="28" t="str">
        <x:v>STN-0026</x:v>
      </x:c>
      <x:c r="B21" s="28" t="str">
        <x:v>абрикос</x:v>
      </x:c>
      <x:c r="C21" s="28" t="str">
        <x:v>абрикос</x:v>
      </x:c>
      <x:c r="D21" s="28" t="str">
        <x:v>картофель фри</x:v>
      </x:c>
      <x:c r="E21" s="28" t="str">
        <x:v>Злаки и выпечка</x:v>
      </x:c>
      <x:c r="F21" s="28" t="str">
        <x:v>комплементарность ароматических семейств, вкусовой контраст и матричный эффект</x:v>
      </x:c>
      <x:c r="G2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Картофель фри относится к группе «Злаки и выпечка» и даёт профиль «жареный, зерновой, солодовый»; типичные соединения или классы: мальтол, пиразины, фураны.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крахмалистый, сладковатый.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крахмал и сухая пористая матрица.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1" s="28" t="str">
        <x:v>тарт, крем, мороженое, выпечка, сырная подача или начинка</x:v>
      </x:c>
      <x:c r="K21" s="28" t="str">
        <x:v>Средняя</x:v>
      </x:c>
      <x:c r="L21" s="28" t="str">
        <x:v>The Art &amp; Science of Foodpairing.pdf</x:v>
      </x:c>
      <x:c r="M21" s="28" t="str">
        <x:v>The Art &amp; Science of Foodpairing.pdf: 196</x:v>
      </x:c>
    </x:row>
    <x:row r="22" ht="64" customHeight="1">
      <x:c r="A22" s="28" t="str">
        <x:v>STN-0028</x:v>
      </x:c>
      <x:c r="B22" s="28" t="str">
        <x:v>абрикос</x:v>
      </x:c>
      <x:c r="C22" s="28" t="str">
        <x:v>абрикос</x:v>
      </x:c>
      <x:c r="D22" s="28" t="str">
        <x:v>кленовый сироп</x:v>
      </x:c>
      <x:c r="E22" s="28" t="str">
        <x:v>Сахара, мёд и кондитерские основы</x:v>
      </x:c>
      <x:c r="F22" s="28" t="str">
        <x:v>комплементарность ароматических семейств, вкусовой контраст и матричный эффект</x:v>
      </x:c>
      <x:c r="G2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По доступным материалам нельзя уверенно свести совместимость к одной общей молекуле. Общие ароматические направления: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2" s="28" t="str">
        <x:v>напиток, соус, десерт или горячее блюдо после пробной дегустации</x:v>
      </x:c>
      <x:c r="K22" s="28" t="str">
        <x:v>Гипотеза / практическая</x:v>
      </x:c>
      <x:c r="L22" s="28" t="str">
        <x:v>Таблица сочетания(1).pdf</x:v>
      </x:c>
      <x:c r="M22" s="28" t="str">
        <x:v>Таблица сочетания(1).pdf: 13</x:v>
      </x:c>
    </x:row>
    <x:row r="23" ht="64" customHeight="1">
      <x:c r="A23" s="28" t="str">
        <x:v>STN-0029</x:v>
      </x:c>
      <x:c r="B23" s="28" t="str">
        <x:v>абрикос</x:v>
      </x:c>
      <x:c r="C23" s="28" t="str">
        <x:v>абрикос</x:v>
      </x:c>
      <x:c r="D23" s="28" t="str">
        <x:v>клубника</x:v>
      </x:c>
      <x:c r="E23" s="28" t="str">
        <x:v>Ягоды</x:v>
      </x:c>
      <x:c r="F23" s="28" t="str">
        <x:v>прямое или классовое перекрытие характерных одорантов + вкусовой баланс</x:v>
      </x:c>
      <x:c r="G2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ионон,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водная пектиновая; антоцианы влияют на цвет, но не являются главными одорантами.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3" s="28" t="str">
        <x:v>сорбет, салат, джем, кордиал, лимонад, коктейль или фруктовый соус</x:v>
      </x:c>
      <x:c r="K23" s="28" t="str">
        <x:v>Гипотеза / практическая</x:v>
      </x:c>
      <x:c r="L23" s="28" t="str">
        <x:v>Таблица сочетания(1).pdf</x:v>
      </x:c>
      <x:c r="M23" s="28" t="str">
        <x:v>Таблица сочетания(1).pdf: Таблица сочетаний: 2</x:v>
      </x:c>
    </x:row>
    <x:row r="24" ht="64" customHeight="1">
      <x:c r="A24" s="28" t="str">
        <x:v>STN-0030</x:v>
      </x:c>
      <x:c r="B24" s="28" t="str">
        <x:v>абрикос</x:v>
      </x:c>
      <x:c r="C24" s="28" t="str">
        <x:v>абрикос</x:v>
      </x:c>
      <x:c r="D24" s="28" t="str">
        <x:v>козий сыр</x:v>
      </x:c>
      <x:c r="E24" s="28" t="str">
        <x:v>Сыры и молочные продукты</x:v>
      </x:c>
      <x:c r="F24" s="28" t="str">
        <x:v>комплементарность ароматических семейств, вкусовой контраст и матричный эффект</x:v>
      </x:c>
      <x:c r="G2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Козий сыр относится к группе «Сыры и молочные продукты» и даёт профиль «молочный, травянистый и пикантный»; типичные соединения или классы: капроновая и каприловая кислоты, метилкетоны.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 мякоть; низкий жир; кожица и косточка могут добавлять терпкость и миндальный оттенок. Жир и белок партнёра удерживают гидрофобные лактоны, но высокая фруктовая кислота может нарушить молочную эмульсию.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H2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I2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кислоты может свернуть молочную основу; фрукт и сыр проверяют при рабочей температуре.</x:v>
      </x:c>
      <x:c r="J24" s="28" t="str">
        <x:v>тарт, крем, мороженое, выпечка, сырная подача или начинка</x:v>
      </x:c>
      <x:c r="K24" s="28" t="str">
        <x:v>Высокая</x:v>
      </x:c>
      <x:c r="L24" s="28" t="str">
        <x:v>The Art &amp; Science of Foodpairing.pdf | Тезариус вкусов (Ники Сегнит)(1).pdf</x:v>
      </x:c>
      <x:c r="M24" s="28" t="str">
        <x:v>Тезариус вкусов (Ники Сегнит)(1).pdf: 136 | Тезариус вкусов (Ники Сегнит)(1).pdf: 743 | The Art &amp; Science of Foodpairing.pdf: 200</x:v>
      </x:c>
    </x:row>
    <x:row r="25" ht="64" customHeight="1">
      <x:c r="A25" s="28" t="str">
        <x:v>STN-0031</x:v>
      </x:c>
      <x:c r="B25" s="28" t="str">
        <x:v>абрикос</x:v>
      </x:c>
      <x:c r="C25" s="28" t="str">
        <x:v>абрикос</x:v>
      </x:c>
      <x:c r="D25" s="28" t="str">
        <x:v>корица</x:v>
      </x:c>
      <x:c r="E25" s="28" t="str">
        <x:v>Специи и острые компоненты</x:v>
      </x:c>
      <x:c r="F25" s="28" t="str">
        <x:v>комплементарность ароматических семейств, вкусовой контраст и матричный эффект</x:v>
      </x:c>
      <x:c r="G2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25" s="28" t="str">
        <x:v>напиток, соус, десерт или горячее блюдо после пробной дегустации</x:v>
      </x:c>
      <x:c r="K25" s="28" t="str">
        <x:v>Средняя</x:v>
      </x:c>
      <x:c r="L25" s="28" t="str">
        <x:v>Тезариус вкусов (Ники Сегнит)(1).pdf</x:v>
      </x:c>
      <x:c r="M25" s="28" t="str">
        <x:v>Тезариус вкусов (Ники Сегнит)(1).pdf: 572 | Тезариус вкусов (Ники Сегнит)(1).pdf: 743</x:v>
      </x:c>
    </x:row>
    <x:row r="26" ht="64" customHeight="1">
      <x:c r="A26" s="28" t="str">
        <x:v>STN-0032</x:v>
      </x:c>
      <x:c r="B26" s="28" t="str">
        <x:v>абрикос</x:v>
      </x:c>
      <x:c r="C26" s="28" t="str">
        <x:v>абрикос</x:v>
      </x:c>
      <x:c r="D26" s="28" t="str">
        <x:v>кофе</x:v>
      </x:c>
      <x:c r="E26" s="28" t="str">
        <x:v>Чай, кофе и какао</x:v>
      </x:c>
      <x:c r="F26" s="28" t="str">
        <x:v>комплементарность ароматических семейств, вкусовой контраст и матричный эффект</x:v>
      </x:c>
      <x:c r="G2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Кофе относится к группе «Чай, кофе и какао» и даёт профиль «жареный, шоколадный и дымный»; типичные соединения или классы: пиразины, фураны, гуаякол.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жареная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водные настои извлекают полифенолы; жир и сахар смягчают горечь.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2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2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6" s="28" t="str">
        <x:v>напиток, соус, десерт или горячее блюдо после пробной дегустации</x:v>
      </x:c>
      <x:c r="K26" s="28" t="str">
        <x:v>Гипотеза / практическая</x:v>
      </x:c>
      <x:c r="L26" s="28" t="str">
        <x:v>Таблица сочетания(1).pdf</x:v>
      </x:c>
      <x:c r="M26" s="28" t="str">
        <x:v>Таблица сочетания(1).pdf: 6</x:v>
      </x:c>
    </x:row>
    <x:row r="27" ht="64" customHeight="1">
      <x:c r="A27" s="28" t="str">
        <x:v>STN-0033</x:v>
      </x:c>
      <x:c r="B27" s="28" t="str">
        <x:v>абрикос</x:v>
      </x:c>
      <x:c r="C27" s="28" t="str">
        <x:v>абрикос</x:v>
      </x:c>
      <x:c r="D27" s="28" t="str">
        <x:v>красный сладкий перец</x:v>
      </x:c>
      <x:c r="E27" s="28" t="str">
        <x:v>Специи</x:v>
      </x:c>
      <x:c r="F27" s="28" t="str">
        <x:v>комплементарность ароматических семейств, вкусовой контраст и матричный эффект</x:v>
      </x:c>
      <x:c r="G2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Красный сладкий перец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пряный, иногда горький.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хорошо извлекаются спиртом и жиром.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7" s="28" t="str">
        <x:v>напиток, соус, десерт или горячее блюдо после пробной дегустации</x:v>
      </x:c>
      <x:c r="K27" s="28" t="str">
        <x:v>Средняя</x:v>
      </x:c>
      <x:c r="L27" s="28" t="str">
        <x:v>The Art &amp; Science of Foodpairing.pdf</x:v>
      </x:c>
      <x:c r="M27" s="28" t="str">
        <x:v>The Art &amp; Science of Foodpairing.pdf: 106 | The Art &amp; Science of Foodpairing.pdf: 108</x:v>
      </x:c>
    </x:row>
    <x:row r="28" ht="64" customHeight="1">
      <x:c r="A28" s="28" t="str">
        <x:v>STN-0035</x:v>
      </x:c>
      <x:c r="B28" s="28" t="str">
        <x:v>абрикос</x:v>
      </x:c>
      <x:c r="C28" s="28" t="str">
        <x:v>абрикос</x:v>
      </x:c>
      <x:c r="D28" s="28" t="str">
        <x:v>лаванда</x:v>
      </x:c>
      <x:c r="E28" s="28" t="str">
        <x:v>Травы и цветы</x:v>
      </x:c>
      <x:c r="F28" s="28" t="str">
        <x:v>прямое или классовое перекрытие характерных одорантов + вкусовой баланс</x:v>
      </x:c>
      <x:c r="G2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Лаванда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8" s="28" t="str">
        <x:v>напиток, соус, десерт или горячее блюдо после пробной дегустации</x:v>
      </x:c>
      <x:c r="K28" s="28" t="str">
        <x:v>Гипотеза / практическая</x:v>
      </x:c>
      <x:c r="L28" s="28" t="str">
        <x:v>Таблица сочетания(1).pdf</x:v>
      </x:c>
      <x:c r="M28" s="28" t="str">
        <x:v>Таблица сочетания(1).pdf: 11</x:v>
      </x:c>
    </x:row>
    <x:row r="29" ht="64" customHeight="1">
      <x:c r="A29" s="28" t="str">
        <x:v>STN-0036</x:v>
      </x:c>
      <x:c r="B29" s="28" t="str">
        <x:v>абрикос</x:v>
      </x:c>
      <x:c r="C29" s="28" t="str">
        <x:v>абрикос</x:v>
      </x:c>
      <x:c r="D29" s="28" t="str">
        <x:v>лайм</x:v>
      </x:c>
      <x:c r="E29" s="28" t="str">
        <x:v>Цитрусовые</x:v>
      </x:c>
      <x:c r="F29" s="28" t="str">
        <x:v>комплементарность ароматических семейств, вкусовой контраст и матричный эффект</x:v>
      </x:c>
      <x:c r="G2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Лайм относится к группе «Цитрусовые» и даёт профиль «зелёный цитрусовый и терпкий»; типичные соединения или классы: лимонен, цитраль, γ-терпинен.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сок водный и кислый, цедра содержит гидрофобные эфирные масла.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9" s="28" t="str">
        <x:v>сорбет, салат, джем, кордиал, лимонад, коктейль или фруктовый соус</x:v>
      </x:c>
      <x:c r="K29" s="28" t="str">
        <x:v>Гипотеза / практическая</x:v>
      </x:c>
      <x:c r="L29" s="28" t="str">
        <x:v>Таблица сочетания(1).pdf</x:v>
      </x:c>
      <x:c r="M29" s="28" t="str">
        <x:v>Таблица сочетания(1).pdf: Таблица сочетания(1).pdf: 11 | Таблица сочетания(1).pdf: 11</x:v>
      </x:c>
    </x:row>
    <x:row r="30" ht="64" customHeight="1">
      <x:c r="A30" s="28" t="str">
        <x:v>STN-0037</x:v>
      </x:c>
      <x:c r="B30" s="28" t="str">
        <x:v>абрикос</x:v>
      </x:c>
      <x:c r="C30" s="28" t="str">
        <x:v>абрикос</x:v>
      </x:c>
      <x:c r="D30" s="28" t="str">
        <x:v>лемонграсс</x:v>
      </x:c>
      <x:c r="E30" s="28" t="str">
        <x:v>Травы и цветы</x:v>
      </x:c>
      <x:c r="F30" s="28" t="str">
        <x:v>прямое или классовое перекрытие характерных одорантов + вкусовой баланс</x:v>
      </x:c>
      <x:c r="G3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Лемонграсс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0" s="28" t="str">
        <x:v>напиток, соус, десерт или горячее блюдо после пробной дегустации</x:v>
      </x:c>
      <x:c r="K30" s="28" t="str">
        <x:v>Средняя</x:v>
      </x:c>
      <x:c r="L30" s="28" t="str">
        <x:v>The Art &amp; Science of Foodpairing.pdf</x:v>
      </x:c>
      <x:c r="M30" s="28" t="str">
        <x:v>The Art &amp; Science of Foodpairing.pdf: 146</x:v>
      </x:c>
    </x:row>
    <x:row r="31" ht="64" customHeight="1">
      <x:c r="A31" s="28" t="str">
        <x:v>STN-0038</x:v>
      </x:c>
      <x:c r="B31" s="28" t="str">
        <x:v>абрикос</x:v>
      </x:c>
      <x:c r="C31" s="28" t="str">
        <x:v>абрикос</x:v>
      </x:c>
      <x:c r="D31" s="28" t="str">
        <x:v>лимон</x:v>
      </x:c>
      <x:c r="E31" s="28" t="str">
        <x:v>Цитрусовые</x:v>
      </x:c>
      <x:c r="F31" s="28" t="str">
        <x:v>комплементарность ароматических семейств, вкусовой контраст и матричный эффект</x:v>
      </x:c>
      <x:c r="G3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сок водный и кислый, цедра содержит гидрофобные эфирные масла.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1" s="28" t="str">
        <x:v>сорбет, салат, джем, кордиал, лимонад, коктейль или фруктовый соус</x:v>
      </x:c>
      <x:c r="K31" s="28" t="str">
        <x:v>Гипотеза / практическая</x:v>
      </x:c>
      <x:c r="L31" s="28" t="str">
        <x:v>Таблица сочетания(1).pdf</x:v>
      </x:c>
      <x:c r="M31" s="28" t="str">
        <x:v>Таблица сочетания(1).pdf: Таблица сочетания(1).pdf: 11 | Таблица сочетания(1).pdf: 11</x:v>
      </x:c>
    </x:row>
    <x:row r="32" ht="64" customHeight="1">
      <x:c r="A32" s="28" t="str">
        <x:v>STN-0039</x:v>
      </x:c>
      <x:c r="B32" s="28" t="str">
        <x:v>абрикос</x:v>
      </x:c>
      <x:c r="C32" s="28" t="str">
        <x:v>абрикос</x:v>
      </x:c>
      <x:c r="D32" s="28" t="str">
        <x:v>малина</x:v>
      </x:c>
      <x:c r="E32" s="28" t="str">
        <x:v>Ягоды</x:v>
      </x:c>
      <x:c r="F32" s="28" t="str">
        <x:v>прямое или классовое перекрытие характерных одорантов + вкусовой баланс</x:v>
      </x:c>
      <x:c r="G3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ионон,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водная пектиновая; антоцианы влияют на цвет, но не являются главными одорантами.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3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3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2" s="28" t="str">
        <x:v>сорбет, салат, джем, кордиал, лимонад, коктейль или фруктовый соус</x:v>
      </x:c>
      <x:c r="K32" s="28" t="str">
        <x:v>Высокая</x:v>
      </x:c>
      <x:c r="L32" s="28" t="str">
        <x:v>Таблица сочетания(1).pdf | Тезариус вкусов (Ники Сегнит)(1).pdf</x:v>
      </x:c>
      <x:c r="M32" s="28" t="str">
        <x:v>Таблица сочетания(1).pdf: Тезариус вкусов: 743, 884; Таблица сочетаний: 2, 19 | Таблица сочетания(1).pdf: 19 | Тезариус вкусов (Ники Сегнит)(1).pdf: 743 | Тезариус вкусов (Ники Сегнит)(1).pdf: 884</x:v>
      </x:c>
    </x:row>
    <x:row r="33" ht="64" customHeight="1">
      <x:c r="A33" s="28" t="str">
        <x:v>STN-0040</x:v>
      </x:c>
      <x:c r="B33" s="28" t="str">
        <x:v>абрикос</x:v>
      </x:c>
      <x:c r="C33" s="28" t="str">
        <x:v>абрикос</x:v>
      </x:c>
      <x:c r="D33" s="28" t="str">
        <x:v>манго</x:v>
      </x:c>
      <x:c r="E33" s="28" t="str">
        <x:v>Тропические фрукты</x:v>
      </x:c>
      <x:c r="F33" s="28" t="str">
        <x:v>прямое или классовое перекрытие характерных одорантов + вкусовой баланс</x:v>
      </x:c>
      <x:c r="G3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Манго относится к группе «Тропические фрукты» и даёт профиль «тропический, смолистый, цитрусовый, цветочный, сливочный; сильно зависит от сорта»; типичные соединения или классы: δ-3-карен, лимонен, мирцен, линалоол, γ- и δ-лактоны, фруктовые эфиры. В рабочих профилях пересекаются: линалоол, фруктовые эфиры.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умеренная кислотность, иногда смолистая горечь кожицы.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мякоть вязкая и богатая каротиноидами; ароматические терпены и лактоны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H3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I3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3" s="28" t="str">
        <x:v>напиток, соус, десерт или горячее блюдо после пробной дегустации</x:v>
      </x:c>
      <x:c r="K33" s="28" t="str">
        <x:v>Высокая</x:v>
      </x:c>
      <x:c r="L33" s="28" t="str">
        <x:v>The Art &amp; Science of Foodpairing.pdf | Тезариус вкусов (Ники Сегнит)(1).pdf</x:v>
      </x:c>
      <x:c r="M33" s="28" t="str">
        <x:v>Тезариус вкусов (Ники Сегнит)(1).pdf: Тезаурус вкусов: 743 | Тезариус вкусов (Ники Сегнит)(1).pdf: 743 | The Art &amp; Science of Foodpairing.pdf: 313</x:v>
      </x:c>
    </x:row>
    <x:row r="34" ht="64" customHeight="1">
      <x:c r="A34" s="28" t="str">
        <x:v>STN-0041</x:v>
      </x:c>
      <x:c r="B34" s="28" t="str">
        <x:v>абрикос</x:v>
      </x:c>
      <x:c r="C34" s="28" t="str">
        <x:v>абрикос</x:v>
      </x:c>
      <x:c r="D34" s="28" t="str">
        <x:v>мед</x:v>
      </x:c>
      <x:c r="E34" s="28" t="str">
        <x:v>Сахара, мёд и кондитерские основы</x:v>
      </x:c>
      <x:c r="F34" s="28" t="str">
        <x:v>комплементарность ароматических семейств, вкусовой контраст и матричный эффект</x:v>
      </x:c>
      <x:c r="G3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3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3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4" s="28" t="str">
        <x:v>напиток, соус, десерт или горячее блюдо после пробной дегустации</x:v>
      </x:c>
      <x:c r="K34" s="28" t="str">
        <x:v>Гипотеза / практическая</x:v>
      </x:c>
      <x:c r="L34" s="28" t="str">
        <x:v>Таблица сочетания(1).pdf</x:v>
      </x:c>
      <x:c r="M34" s="28" t="str">
        <x:v>Таблица сочетания(1).pdf: 1</x:v>
      </x:c>
    </x:row>
    <x:row r="35" ht="64" customHeight="1">
      <x:c r="A35" s="28" t="str">
        <x:v>STN-0042</x:v>
      </x:c>
      <x:c r="B35" s="28" t="str">
        <x:v>абрикос</x:v>
      </x:c>
      <x:c r="C35" s="28" t="str">
        <x:v>абрикос</x:v>
      </x:c>
      <x:c r="D35" s="28" t="str">
        <x:v>миндаль</x:v>
      </x:c>
      <x:c r="E35" s="28" t="str">
        <x:v>Орехи и семена</x:v>
      </x:c>
      <x:c r="F35" s="28" t="str">
        <x:v>прямое или классовое перекрытие характерных одорантов + вкусовой баланс</x:v>
      </x:c>
      <x:c r="G3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Миндаль относится к группе «Орехи и семена» и даёт профиль «марципановый и ореховый»; типичные соединения или классы: бензальдегид, пиразины после обжарки.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J35" s="28" t="str">
        <x:v>тарт, крем, мороженое, выпечка, сырная подача или начинка</x:v>
      </x:c>
      <x:c r="K35" s="28" t="str">
        <x:v>Высокая</x:v>
      </x:c>
      <x:c r="L35" s="28" t="str">
        <x:v>The Art &amp; Science of Foodpairing.pdf | Таблица сочетания(1).pdf | Тезариус вкусов (Ники Сегнит)(1).pdf</x:v>
      </x:c>
      <x:c r="M35" s="28" t="str">
        <x:v>Таблица сочетания(1).pdf: 1 | Тезариус вкусов (Ники Сегнит)(1).pdf: 641 | Тезариус вкусов (Ники Сегнит)(1).pdf: 743 | The Art &amp; Science of Foodpairing.pdf: 344 | The Art &amp; Science of Foodpairing.pdf: 347</x:v>
      </x:c>
    </x:row>
    <x:row r="36" ht="64" customHeight="1">
      <x:c r="A36" s="28" t="str">
        <x:v>STN-0043</x:v>
      </x:c>
      <x:c r="B36" s="28" t="str">
        <x:v>абрикос</x:v>
      </x:c>
      <x:c r="C36" s="28" t="str">
        <x:v>абрикос</x:v>
      </x:c>
      <x:c r="D36" s="28" t="str">
        <x:v>мирабель</x:v>
      </x:c>
      <x:c r="E36" s="28" t="str">
        <x:v>Косточковые фрукты</x:v>
      </x:c>
      <x:c r="F36" s="28" t="str">
        <x:v>прямое или классовое перекрытие характерных одорантов + вкусовой баланс</x:v>
      </x:c>
      <x:c r="G3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Мирабель относится к группе «Косточковые фрукты» и даёт профиль «медовый, цветочный, сливовый, винный и слегка миндальный»; типичные соединения или классы: фруктовые эфиры, линалоол, бензальдегид, лактоны, дамасценон. В рабочих профилях пересекаются: бензальдегид, линалоол, дамасценон, фруктовые эфиры. Общие ароматические направления: цветочный, миндальный,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 и умеренная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 мякоть; особенно хорошо переносит дистилляцию и ферментацию.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мёд и джем; ферментация и дистилляция подчёркивают эфирный сливовый профиль.</x:v>
      </x:c>
      <x:c r="H3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мёд и джем; ферментация и дистилляция подчёркивают эфирный сливовый профиль.</x:v>
      </x:c>
      <x:c r="I3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6" s="28" t="str">
        <x:v>напиток, соус, десерт или горячее блюдо после пробной дегустации</x:v>
      </x:c>
      <x:c r="K36" s="28" t="str">
        <x:v>Средняя</x:v>
      </x:c>
      <x:c r="L36" s="28" t="str">
        <x:v>The Art &amp; Science of Foodpairing.pdf</x:v>
      </x:c>
      <x:c r="M36" s="28" t="str">
        <x:v>The Art &amp; Science of Foodpairing.pdf: 206</x:v>
      </x:c>
    </x:row>
    <x:row r="37" ht="64" customHeight="1">
      <x:c r="A37" s="28" t="str">
        <x:v>STN-0044</x:v>
      </x:c>
      <x:c r="B37" s="28" t="str">
        <x:v>абрикос</x:v>
      </x:c>
      <x:c r="C37" s="28" t="str">
        <x:v>абрикос</x:v>
      </x:c>
      <x:c r="D37" s="28" t="str">
        <x:v>мята</x:v>
      </x:c>
      <x:c r="E37" s="28" t="str">
        <x:v>Травы и цветы</x:v>
      </x:c>
      <x:c r="F37" s="28" t="str">
        <x:v>комплементарность ароматических семейств, вкусовой контраст и матричный эффект</x:v>
      </x:c>
      <x:c r="G3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7" s="28" t="str">
        <x:v>напиток, соус, десерт или горячее блюдо после пробной дегустации</x:v>
      </x:c>
      <x:c r="K37" s="28" t="str">
        <x:v>Гипотеза / практическая</x:v>
      </x:c>
      <x:c r="L37" s="28" t="str">
        <x:v>Таблица сочетания(1).pdf</x:v>
      </x:c>
      <x:c r="M37" s="28" t="str">
        <x:v>Таблица сочетания(1).pdf: 1 | Таблица сочетания(1).pdf: 13</x:v>
      </x:c>
    </x:row>
    <x:row r="38" ht="64" customHeight="1">
      <x:c r="A38" s="28" t="str">
        <x:v>STN-0045</x:v>
      </x:c>
      <x:c r="B38" s="28" t="str">
        <x:v>абрикос</x:v>
      </x:c>
      <x:c r="C38" s="28" t="str">
        <x:v>абрикос</x:v>
      </x:c>
      <x:c r="D38" s="28" t="str">
        <x:v>нектарин</x:v>
      </x:c>
      <x:c r="E38" s="28" t="str">
        <x:v>Косточковые фрукты</x:v>
      </x:c>
      <x:c r="F38" s="28" t="str">
        <x:v>прямое или классовое перекрытие характерных одорантов + вкусовой баланс</x:v>
      </x:c>
      <x:c r="G3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Нектарин относится к группе «Косточковые фрукты» и даёт профиль «персиковый, фруктовый, цветочный, зелёный, сливочно-лактонный»; типичные соединения или классы: γ- и δ-декалактон, γ- и δ-додекалактон, фруктовые эфиры, линалоол, бензальдегид, C6-альдегиды. В рабочих профилях пересекаются: бензальдегид, линалоол, фруктовые эфиры. Общие ароматические направления: цветочный, фруктовый, лактонный.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сладкий, сочный, с умеренной кислотностью; профиль близок к персику, но кожица гладкая и часто более ярко-фруктовая.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водно-пектиновая; гидрофобные лактоны лучше проявляются в жире 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H3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I3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8" s="28" t="str">
        <x:v>напиток, соус, десерт или горячее блюдо после пробной дегустации</x:v>
      </x:c>
      <x:c r="K38" s="28" t="str">
        <x:v>Гипотеза / практическая</x:v>
      </x:c>
      <x:c r="L38" s="28" t="str">
        <x:v>Таблица сочетания(1).pdf</x:v>
      </x:c>
      <x:c r="M38" s="28" t="str">
        <x:v>Таблица сочетания(1).pdf: 14</x:v>
      </x:c>
    </x:row>
    <x:row r="39" ht="64" customHeight="1">
      <x:c r="A39" s="28" t="str">
        <x:v>STN-0046</x:v>
      </x:c>
      <x:c r="B39" s="28" t="str">
        <x:v>абрикос</x:v>
      </x:c>
      <x:c r="C39" s="28" t="str">
        <x:v>абрикос</x:v>
      </x:c>
      <x:c r="D39" s="28" t="str">
        <x:v>обжаренный кунжут</x:v>
      </x:c>
      <x:c r="E39" s="28" t="str">
        <x:v>Орехи и семена</x:v>
      </x:c>
      <x:c r="F39" s="28" t="str">
        <x:v>прямое или классовое перекрытие характерных одорантов + вкусовой баланс</x:v>
      </x:c>
      <x:c r="G3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Обжаренный кунжут относится к группе «Орехи и семена» и даёт профиль «ореховый, жареный, древесный, иногда миндальный»; типичные соединения или классы: бензальдегид, пиразины, фураны, лактоны и липидные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3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3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J39" s="28" t="str">
        <x:v>тарт, крем, мороженое, выпечка, сырная подача или начинка</x:v>
      </x:c>
      <x:c r="K39" s="28" t="str">
        <x:v>Средняя</x:v>
      </x:c>
      <x:c r="L39" s="28" t="str">
        <x:v>The Art &amp; Science of Foodpairing.pdf</x:v>
      </x:c>
      <x:c r="M39" s="28" t="str">
        <x:v>The Art &amp; Science of Foodpairing.pdf: 309</x:v>
      </x:c>
    </x:row>
    <x:row r="40" ht="64" customHeight="1">
      <x:c r="A40" s="28" t="str">
        <x:v>STN-0047</x:v>
      </x:c>
      <x:c r="B40" s="28" t="str">
        <x:v>абрикос</x:v>
      </x:c>
      <x:c r="C40" s="28" t="str">
        <x:v>абрикос</x:v>
      </x:c>
      <x:c r="D40" s="28" t="str">
        <x:v>оливковое масло</x:v>
      </x:c>
      <x:c r="E40" s="28" t="str">
        <x:v>Молочные продукты и сыры</x:v>
      </x:c>
      <x:c r="F40" s="28" t="str">
        <x:v>комплементарность ароматических семейств, вкусовой контраст и матричный эффект</x:v>
      </x:c>
      <x:c r="G4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жирный, кислый/солёный.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жировая и белковая матрица смягчает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4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4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0" s="28" t="str">
        <x:v>напиток, соус, десерт или горячее блюдо после пробной дегустации</x:v>
      </x:c>
      <x:c r="K40" s="28" t="str">
        <x:v>Средняя</x:v>
      </x:c>
      <x:c r="L40" s="28" t="str">
        <x:v>The Art &amp; Science of Foodpairing.pdf</x:v>
      </x:c>
      <x:c r="M40" s="28" t="str">
        <x:v>The Art &amp; Science of Foodpairing.pdf: 173</x:v>
      </x:c>
    </x:row>
    <x:row r="41" ht="64" customHeight="1">
      <x:c r="A41" s="28" t="str">
        <x:v>STN-0051</x:v>
      </x:c>
      <x:c r="B41" s="28" t="str">
        <x:v>абрикос</x:v>
      </x:c>
      <x:c r="C41" s="28" t="str">
        <x:v>абрикос</x:v>
      </x:c>
      <x:c r="D41" s="28" t="str">
        <x:v>персик</x:v>
      </x:c>
      <x:c r="E41" s="28" t="str">
        <x:v>Косточковые фрукты</x:v>
      </x:c>
      <x:c r="F41" s="28" t="str">
        <x:v>прямое или классовое перекрытие характерных одорантов + вкусовой баланс</x:v>
      </x:c>
      <x:c r="G4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Персик относится к группе «Косточковые фрукты» и даёт профиль «сливочный, персиковый, кокосово-лактонный, цветочный, зелёный»; типичные соединения или классы: γ- и δ-декалактон, γ- и δ-додекалактон, линалоол, бензальдегид, гексаналь, цис-3-гексенол. В рабочих профилях пересекаются: бензальдегид, линалоол. Общие ароматические направления: цветочный, лактонный. 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сладость, умеренная кислотность; беломякотные сорта обычно слаще и мягче по кислоте.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 мякоть; кожица несёт зелёные и цветочные ноты; лактоны хорошо удерживаются жиром и этанолом.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спелость резко увеличивает аромат; нагрев усиливает варенье, карамель и миндальные оттенки, но снижает свежую цветочность.</x:v>
      </x:c>
      <x:c r="H4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спелость резко увеличивает аромат; нагрев усиливает варенье, карамель и миндальные оттенки, но снижает свежую цветочность.</x:v>
      </x:c>
      <x:c r="I4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1" s="28" t="str">
        <x:v>напиток, соус, десерт или горячее блюдо после пробной дегустации</x:v>
      </x:c>
      <x:c r="K41" s="28" t="str">
        <x:v>Высокая</x:v>
      </x:c>
      <x:c r="L41" s="28" t="str">
        <x:v>The Art &amp; Science of Foodpairing.pdf | Таблица сочетания(1).pdf | Тезариус вкусов (Ники Сегнит)(1).pdf</x:v>
      </x:c>
      <x:c r="M41" s="28" t="str">
        <x:v>Таблица сочетания(1).pdf: 1 | Таблица сочетания(1).pdf: 15 | Тезариус вкусов (Ники Сегнит)(1).pdf: 743 | Тезариус вкусов (Ники Сегнит)(1).pdf: 747 | The Art &amp; Science of Foodpairing.pdf: 260</x:v>
      </x:c>
    </x:row>
    <x:row r="42" ht="64" customHeight="1">
      <x:c r="A42" s="28" t="str">
        <x:v>STN-0052</x:v>
      </x:c>
      <x:c r="B42" s="28" t="str">
        <x:v>абрикос</x:v>
      </x:c>
      <x:c r="C42" s="28" t="str">
        <x:v>абрикос</x:v>
      </x:c>
      <x:c r="D42" s="28" t="str">
        <x:v>плюмкот</x:v>
      </x:c>
      <x:c r="E42" s="28" t="str">
        <x:v>Гибридные косточковые фрукты</x:v>
      </x:c>
      <x:c r="F42" s="28" t="str">
        <x:v>прямое или классовое перекрытие характерных одорантов + вкусовой баланс</x:v>
      </x:c>
      <x:c r="G4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Плюмкот относится к группе «Гибридные косточковые фрукты» и даёт профиль «сливово-персиковый, цветочный, винный и сливочно-лактонный»; типичные соединения или классы: лактоны, фруктовые эфиры, линалоол, бензальдегид, C6-альдегиды. В рабочих профилях пересекаются: бензальдегид, линалоол, фруктовые эфиры. Общие ароматические направления: цветочный, лактонный.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с выраженной фруктовой кислотностью; баланс зависит от сорта.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пектиновая; сочетает поведение сливы и абрикоса.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джемовые ноты; холодная обработка лучше сохраняет цветочность.</x:v>
      </x:c>
      <x:c r="H4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джемовые ноты; холодная обработка лучше сохраняет цветочность.</x:v>
      </x:c>
      <x:c r="I4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2" s="28" t="str">
        <x:v>напиток, соус, десерт или горячее блюдо после пробной дегустации</x:v>
      </x:c>
      <x:c r="K42" s="28" t="str">
        <x:v>Средняя</x:v>
      </x:c>
      <x:c r="L42" s="28" t="str">
        <x:v>The Art &amp; Science of Foodpairing.pdf</x:v>
      </x:c>
      <x:c r="M42" s="28" t="str">
        <x:v>The Art &amp; Science of Foodpairing.pdf: 206</x:v>
      </x:c>
    </x:row>
    <x:row r="43" ht="64" customHeight="1">
      <x:c r="A43" s="28" t="str">
        <x:v>STN-0053</x:v>
      </x:c>
      <x:c r="B43" s="28" t="str">
        <x:v>абрикос</x:v>
      </x:c>
      <x:c r="C43" s="28" t="str">
        <x:v>абрикос</x:v>
      </x:c>
      <x:c r="D43" s="28" t="str">
        <x:v>рапсовый мед</x:v>
      </x:c>
      <x:c r="E43" s="28" t="str">
        <x:v>Подсластители</x:v>
      </x:c>
      <x:c r="F43" s="28" t="str">
        <x:v>комплементарность ароматических семейств, вкусовой контраст и матричный эффект</x:v>
      </x:c>
      <x:c r="G4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Рапсовый мед относится к группе «Подсластители» и даёт профиль «медовый, цветочный, карамельный»; типичные соединения или классы: фенилуксусные соединения, фураны, норизопреноиды. По доступным материалам нельзя уверенно свести совместимость к одной общей молекуле. Общие ароматические направления: цветочный,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сладкий.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сахар повышает вязкость и снижает воспринимаемую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Сладость балансирует кислоту и горечь кожуры; цветочные компоненты могут поддерживать цитрус..</x:v>
      </x:c>
      <x:c r="H4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Сладость балансирует кислоту и горечь кожуры; цветочные компоненты могут поддерживать цитрус..</x:v>
      </x:c>
      <x:c r="I4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3" s="28" t="str">
        <x:v>напиток, соус, десерт или горячее блюдо после пробной дегустации</x:v>
      </x:c>
      <x:c r="K43" s="28" t="str">
        <x:v>Средняя</x:v>
      </x:c>
      <x:c r="L43" s="28" t="str">
        <x:v>The Art &amp; Science of Foodpairing.pdf</x:v>
      </x:c>
      <x:c r="M43" s="28" t="str">
        <x:v>The Art &amp; Science of Foodpairing.pdf: 206</x:v>
      </x:c>
    </x:row>
    <x:row r="44" ht="64" customHeight="1">
      <x:c r="A44" s="28" t="str">
        <x:v>STN-0054</x:v>
      </x:c>
      <x:c r="B44" s="28" t="str">
        <x:v>абрикос</x:v>
      </x:c>
      <x:c r="C44" s="28" t="str">
        <x:v>абрикос</x:v>
      </x:c>
      <x:c r="D44" s="28" t="str">
        <x:v>ревень</x:v>
      </x:c>
      <x:c r="E44" s="28" t="str">
        <x:v>Прочее</x:v>
      </x:c>
      <x:c r="F44" s="28" t="str">
        <x:v>комплементарность ароматических семейств, вкусовой контраст и матричный эффект</x:v>
      </x:c>
      <x:c r="G4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Ревень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важны вода, жир, белок, сахар и температура.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4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4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4" s="28" t="str">
        <x:v>напиток, соус, десерт или горячее блюдо после пробной дегустации</x:v>
      </x:c>
      <x:c r="K44" s="28" t="str">
        <x:v>Гипотеза / практическая</x:v>
      </x:c>
      <x:c r="L44" s="28" t="str">
        <x:v>Таблица сочетания(1).pdf</x:v>
      </x:c>
      <x:c r="M44" s="28" t="str">
        <x:v>Таблица сочетания(1).pdf: 19</x:v>
      </x:c>
    </x:row>
    <x:row r="45" ht="64" customHeight="1">
      <x:c r="A45" s="28" t="str">
        <x:v>STN-0055</x:v>
      </x:c>
      <x:c r="B45" s="28" t="str">
        <x:v>абрикос</x:v>
      </x:c>
      <x:c r="C45" s="28" t="str">
        <x:v>абрикос</x:v>
      </x:c>
      <x:c r="D45" s="28" t="str">
        <x:v>роза</x:v>
      </x:c>
      <x:c r="E45" s="28" t="str">
        <x:v>Травы и цветы</x:v>
      </x:c>
      <x:c r="F45" s="28" t="str">
        <x:v>прямое или классовое перекрытие характерных одорантов + вкусовой баланс</x:v>
      </x:c>
      <x:c r="G4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Роза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4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4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5" s="28" t="str">
        <x:v>напиток, соус, десерт или горячее блюдо после пробной дегустации</x:v>
      </x:c>
      <x:c r="K45" s="28" t="str">
        <x:v>Высокая</x:v>
      </x:c>
      <x:c r="L45" s="28" t="str">
        <x:v>Таблица сочетания(1).pdf | Тезариус вкусов (Ники Сегнит)(1).pdf</x:v>
      </x:c>
      <x:c r="M45" s="28" t="str">
        <x:v>Таблица сочетания(1).pdf: 1 | Тезариус вкусов (Ники Сегнит)(1).pdf: 743 | Тезариус вкусов (Ники Сегнит)(1).pdf: 899</x:v>
      </x:c>
    </x:row>
    <x:row r="46" ht="64" customHeight="1">
      <x:c r="A46" s="28" t="str">
        <x:v>STN-0056</x:v>
      </x:c>
      <x:c r="B46" s="28" t="str">
        <x:v>абрикос</x:v>
      </x:c>
      <x:c r="C46" s="28" t="str">
        <x:v>абрикос</x:v>
      </x:c>
      <x:c r="D46" s="28" t="str">
        <x:v>розмарин</x:v>
      </x:c>
      <x:c r="E46" s="28" t="str">
        <x:v>Травы и цветы</x:v>
      </x:c>
      <x:c r="F46" s="28" t="str">
        <x:v>комплементарность ароматических семейств, вкусовой контраст и матричный эффект</x:v>
      </x:c>
      <x:c r="G4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Розмарин относится к группе «Травы и цветы» и даёт профиль «хвойный, камфорный и древесный»; типичные соединения или классы: 1,8-цинеол, камфора, α-пинен.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4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4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6" s="28" t="str">
        <x:v>напиток, соус, десерт или горячее блюдо после пробной дегустации</x:v>
      </x:c>
      <x:c r="K46" s="28" t="str">
        <x:v>Высокая</x:v>
      </x:c>
      <x:c r="L46" s="28" t="str">
        <x:v>Таблица сочетания(1).pdf | Тезариус вкусов (Ники Сегнит)(1).pdf</x:v>
      </x:c>
      <x:c r="M46" s="28" t="str">
        <x:v>Таблица сочетания(1).pdf: 19 | Тезариус вкусов (Ники Сегнит)(1).pdf: 744 | Тезариус вкусов (Ники Сегнит)(1).pdf: 832</x:v>
      </x:c>
    </x:row>
    <x:row r="47" ht="64" customHeight="1">
      <x:c r="A47" s="28" t="str">
        <x:v>STN-0057</x:v>
      </x:c>
      <x:c r="B47" s="28" t="str">
        <x:v>абрикос</x:v>
      </x:c>
      <x:c r="C47" s="28" t="str">
        <x:v>абрикос</x:v>
      </x:c>
      <x:c r="D47" s="28" t="str">
        <x:v>свежие цветы лаванды</x:v>
      </x:c>
      <x:c r="E47" s="28" t="str">
        <x:v>Прочее</x:v>
      </x:c>
      <x:c r="F47" s="28" t="str">
        <x:v>комплементарность ароматических семейств, вкусовой контраст и матричный эффект</x:v>
      </x:c>
      <x:c r="G4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Свежие цветы лаванды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зависит от продукта.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зависит от формы продукта.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4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4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7" s="28" t="str">
        <x:v>напиток, соус, десерт или горячее блюдо после пробной дегустации</x:v>
      </x:c>
      <x:c r="K47" s="28" t="str">
        <x:v>Средняя</x:v>
      </x:c>
      <x:c r="L47" s="28" t="str">
        <x:v>The Art &amp; Science of Foodpairing.pdf</x:v>
      </x:c>
      <x:c r="M47" s="28" t="str">
        <x:v>The Art &amp; Science of Foodpairing.pdf: 206</x:v>
      </x:c>
    </x:row>
    <x:row r="48" ht="64" customHeight="1">
      <x:c r="A48" s="28" t="str">
        <x:v>STN-0058</x:v>
      </x:c>
      <x:c r="B48" s="28" t="str">
        <x:v>абрикос</x:v>
      </x:c>
      <x:c r="C48" s="28" t="str">
        <x:v>абрикос</x:v>
      </x:c>
      <x:c r="D48" s="28" t="str">
        <x:v>свиная корейка</x:v>
      </x:c>
      <x:c r="E48" s="28" t="str">
        <x:v>Прочее</x:v>
      </x:c>
      <x:c r="F48" s="28" t="str">
        <x:v>комплементарность ароматических семейств, вкусовой контраст и матричный эффект</x:v>
      </x:c>
      <x:c r="G4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баланс зависит от продукта.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матрица зависит от формы продукта.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4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4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8" s="28" t="str">
        <x:v>напиток, соус, десерт или горячее блюдо после пробной дегустации</x:v>
      </x:c>
      <x:c r="K48" s="28" t="str">
        <x:v>Средняя</x:v>
      </x:c>
      <x:c r="L48" s="28" t="str">
        <x:v>The Art &amp; Science of Foodpairing.pdf</x:v>
      </x:c>
      <x:c r="M48" s="28" t="str">
        <x:v>The Art &amp; Science of Foodpairing.pdf: 185 | The Art &amp; Science of Foodpairing.pdf: 188</x:v>
      </x:c>
    </x:row>
    <x:row r="49" ht="64" customHeight="1">
      <x:c r="A49" s="28" t="str">
        <x:v>STN-0060</x:v>
      </x:c>
      <x:c r="B49" s="28" t="str">
        <x:v>абрикос</x:v>
      </x:c>
      <x:c r="C49" s="28" t="str">
        <x:v>абрикос</x:v>
      </x:c>
      <x:c r="D49" s="28" t="str">
        <x:v>семена кардамона</x:v>
      </x:c>
      <x:c r="E49" s="28" t="str">
        <x:v>Специи</x:v>
      </x:c>
      <x:c r="F49" s="28" t="str">
        <x:v>комплементарность ароматических семейств, вкусовой контраст и матричный эффект</x:v>
      </x:c>
      <x:c r="G4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Семена кардамона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пряный, иногда горький.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хорошо извлекаются спиртом и жиром.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4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4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9" s="28" t="str">
        <x:v>напиток, соус, десерт или горячее блюдо после пробной дегустации</x:v>
      </x:c>
      <x:c r="K49" s="28" t="str">
        <x:v>Средняя</x:v>
      </x:c>
      <x:c r="L49" s="28" t="str">
        <x:v>The Art &amp; Science of Foodpairing.pdf</x:v>
      </x:c>
      <x:c r="M49" s="28" t="str">
        <x:v>The Art &amp; Science of Foodpairing.pdf: 256</x:v>
      </x:c>
    </x:row>
    <x:row r="50" ht="64" customHeight="1">
      <x:c r="A50" s="28" t="str">
        <x:v>STN-0061</x:v>
      </x:c>
      <x:c r="B50" s="28" t="str">
        <x:v>абрикос</x:v>
      </x:c>
      <x:c r="C50" s="28" t="str">
        <x:v>абрикос</x:v>
      </x:c>
      <x:c r="D50" s="28" t="str">
        <x:v>слива</x:v>
      </x:c>
      <x:c r="E50" s="28" t="str">
        <x:v>Косточковые фрукты</x:v>
      </x:c>
      <x:c r="F50" s="28" t="str">
        <x:v>прямое или классовое перекрытие характерных одорантов + вкусовой баланс</x:v>
      </x:c>
      <x:c r="G5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Слива относится к группе «Косточковые фрукты» и даёт профиль «винно-фруктовый, цветочный, зелёный, пряный, миндальный; от свежего до тёмно-джемового»; типичные соединения или классы: фруктовые эфиры, γ- и δ-лактоны, бензальдегид, линалоол, C6-альдегиды, дамасконы. В рабочих профилях пересекаются: бензальдегид, линалоол, фруктовые эфиры. Общие ароматические направления: цветочный, фруктовый, миндальный.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заметная яблочно-лимонная кислотность; кожица часто терпкая.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 мякоть; кожица богата полифенолами; аромат хорошо работает в воде, сахаре 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H5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I5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0" s="28" t="str">
        <x:v>напиток, соус, десерт или горячее блюдо после пробной дегустации</x:v>
      </x:c>
      <x:c r="K50" s="28" t="str">
        <x:v>Гипотеза / практическая</x:v>
      </x:c>
      <x:c r="L50" s="28" t="str">
        <x:v>Таблица сочетания(1).pdf</x:v>
      </x:c>
      <x:c r="M50" s="28" t="str">
        <x:v>Таблица сочетания(1).pdf: 1</x:v>
      </x:c>
    </x:row>
    <x:row r="51" ht="64" customHeight="1">
      <x:c r="A51" s="28" t="str">
        <x:v>STN-0062</x:v>
      </x:c>
      <x:c r="B51" s="28" t="str">
        <x:v>абрикос</x:v>
      </x:c>
      <x:c r="C51" s="28" t="str">
        <x:v>абрикос</x:v>
      </x:c>
      <x:c r="D51" s="28" t="str">
        <x:v>сычуаньский перец</x:v>
      </x:c>
      <x:c r="E51" s="28" t="str">
        <x:v>Специи и острые компоненты</x:v>
      </x:c>
      <x:c r="F51" s="28" t="str">
        <x:v>комплементарность ароматических семейств, вкусовой контраст и матричный эффект</x:v>
      </x:c>
      <x:c r="G5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Сычуаньский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гидрофобные молекулы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</x:v>
      </x:c>
      <x:c r="H5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</x:v>
      </x:c>
      <x:c r="I5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51" s="28" t="str">
        <x:v>напиток, соус, десерт или горячее блюдо после пробной дегустации</x:v>
      </x:c>
      <x:c r="K51" s="28" t="str">
        <x:v>Средняя</x:v>
      </x:c>
      <x:c r="L51" s="28" t="str">
        <x:v>The Art &amp; Science of Foodpairing.pdf</x:v>
      </x:c>
      <x:c r="M51" s="28" t="str">
        <x:v>The Art &amp; Science of Foodpairing.pdf: 206</x:v>
      </x:c>
    </x:row>
    <x:row r="52" ht="64" customHeight="1">
      <x:c r="A52" s="28" t="str">
        <x:v>STN-0063</x:v>
      </x:c>
      <x:c r="B52" s="28" t="str">
        <x:v>абрикос</x:v>
      </x:c>
      <x:c r="C52" s="28" t="str">
        <x:v>абрикос</x:v>
      </x:c>
      <x:c r="D52" s="28" t="str">
        <x:v>твердый сыр</x:v>
      </x:c>
      <x:c r="E52" s="28" t="str">
        <x:v>Сыры и молочные продукты</x:v>
      </x:c>
      <x:c r="F52" s="28" t="str">
        <x:v>комплементарность ароматических семейств, вкусовой контраст и матричный эффект</x:v>
      </x:c>
      <x:c r="G5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Твердый сыр относится к группе «Сыры и молочные продукты» и даёт профиль «сливочный, молочный, ферментированный, ореховый или пикантный»; типичные соединения или классы: диацетил, метилкетоны, короткоцепочечные жирные кислоты, лактоны.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 мякоть; низкий жир; кожица и косточка могут добавлять терпкость и миндальный оттенок. Жир и белок партнёра удерживают гидрофобные лактоны, но высокая фруктовая кислота может нарушить молочную эмульсию.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H5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I5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кислоты может свернуть молочную основу; фрукт и сыр проверяют при рабочей температуре.</x:v>
      </x:c>
      <x:c r="J52" s="28" t="str">
        <x:v>тарт, крем, мороженое, выпечка, сырная подача или начинка</x:v>
      </x:c>
      <x:c r="K52" s="28" t="str">
        <x:v>Средняя</x:v>
      </x:c>
      <x:c r="L52" s="28" t="str">
        <x:v>Тезариус вкусов (Ники Сегнит)(1).pdf</x:v>
      </x:c>
      <x:c r="M52" s="28" t="str">
        <x:v>Тезариус вкусов (Ники Сегнит)(1).pdf: 164 | Тезариус вкусов (Ники Сегнит)(1).pdf: 744</x:v>
      </x:c>
    </x:row>
    <x:row r="53" ht="64" customHeight="1">
      <x:c r="A53" s="28" t="str">
        <x:v>STN-0064</x:v>
      </x:c>
      <x:c r="B53" s="28" t="str">
        <x:v>абрикос</x:v>
      </x:c>
      <x:c r="C53" s="28" t="str">
        <x:v>абрикос</x:v>
      </x:c>
      <x:c r="D53" s="28" t="str">
        <x:v>тимьяновый мед</x:v>
      </x:c>
      <x:c r="E53" s="28" t="str">
        <x:v>Травы, листья и цветы</x:v>
      </x:c>
      <x:c r="F53" s="28" t="str">
        <x:v>прямое или классовое перекрытие характерных одорантов + вкусовой баланс</x:v>
      </x:c>
      <x:c r="G5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Тимьяновый мед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гераниол. Общие ароматические направления: цветочный. Цветочные и зелёные ноты расширяют верхнюю часть аромата; фруктовая сладость смягчает травяную горечь.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экстрагируются жиром или этанолом.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Травы лучше вводить холодной мацерацией или в финале: длительный нагрев удаляет летучие терпены.</x:v>
      </x:c>
      <x:c r="H5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Травы лучше вводить холодной мацерацией или в финале: длительный нагрев удаляет летучие терпены.</x:v>
      </x:c>
      <x:c r="I5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3" s="28" t="str">
        <x:v>напиток, соус, десерт или горячее блюдо после пробной дегустации</x:v>
      </x:c>
      <x:c r="K53" s="28" t="str">
        <x:v>Средняя</x:v>
      </x:c>
      <x:c r="L53" s="28" t="str">
        <x:v>The Art &amp; Science of Foodpairing.pdf</x:v>
      </x:c>
      <x:c r="M53" s="28" t="str">
        <x:v>The Art &amp; Science of Foodpairing.pdf: 206</x:v>
      </x:c>
    </x:row>
    <x:row r="54" ht="64" customHeight="1">
      <x:c r="A54" s="28" t="str">
        <x:v>STN-0066</x:v>
      </x:c>
      <x:c r="B54" s="28" t="str">
        <x:v>абрикос</x:v>
      </x:c>
      <x:c r="C54" s="28" t="str">
        <x:v>абрикос</x:v>
      </x:c>
      <x:c r="D54" s="28" t="str">
        <x:v>укроп</x:v>
      </x:c>
      <x:c r="E54" s="28" t="str">
        <x:v>Травы и цветы</x:v>
      </x:c>
      <x:c r="F54" s="28" t="str">
        <x:v>прямое или классовое перекрытие характерных одорантов + вкусовой баланс</x:v>
      </x:c>
      <x:c r="G5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5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5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4" s="28" t="str">
        <x:v>напиток, соус, десерт или горячее блюдо после пробной дегустации</x:v>
      </x:c>
      <x:c r="K54" s="28" t="str">
        <x:v>Гипотеза / практическая</x:v>
      </x:c>
      <x:c r="L54" s="28" t="str">
        <x:v>Таблица сочетания(1).pdf</x:v>
      </x:c>
      <x:c r="M54" s="28" t="str">
        <x:v>Таблица сочетания(1).pdf: 7</x:v>
      </x:c>
    </x:row>
    <x:row r="55" ht="64" customHeight="1">
      <x:c r="A55" s="28" t="str">
        <x:v>STN-0067</x:v>
      </x:c>
      <x:c r="B55" s="28" t="str">
        <x:v>абрикос</x:v>
      </x:c>
      <x:c r="C55" s="28" t="str">
        <x:v>абрикос</x:v>
      </x:c>
      <x:c r="D55" s="28" t="str">
        <x:v>фиалка</x:v>
      </x:c>
      <x:c r="E55" s="28" t="str">
        <x:v>Травы и цветы</x:v>
      </x:c>
      <x:c r="F55" s="28" t="str">
        <x:v>прямое или классовое перекрытие характерных одорантов + вкусовой баланс</x:v>
      </x:c>
      <x:c r="G5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Фиалка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5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5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5" s="28" t="str">
        <x:v>напиток, соус, десерт или горячее блюдо после пробной дегустации</x:v>
      </x:c>
      <x:c r="K55" s="28" t="str">
        <x:v>Гипотеза / практическая</x:v>
      </x:c>
      <x:c r="L55" s="28" t="str">
        <x:v>Таблица сочетания(1).pdf</x:v>
      </x:c>
      <x:c r="M55" s="28" t="str">
        <x:v>Таблица сочетания(1).pdf: 21</x:v>
      </x:c>
    </x:row>
    <x:row r="56" ht="64" customHeight="1">
      <x:c r="A56" s="28" t="str">
        <x:v>STN-0068</x:v>
      </x:c>
      <x:c r="B56" s="28" t="str">
        <x:v>абрикос</x:v>
      </x:c>
      <x:c r="C56" s="28" t="str">
        <x:v>абрикос</x:v>
      </x:c>
      <x:c r="D56" s="28" t="str">
        <x:v>финик</x:v>
      </x:c>
      <x:c r="E56" s="28" t="str">
        <x:v>Сухофрукты и тропические плоды</x:v>
      </x:c>
      <x:c r="F56" s="28" t="str">
        <x:v>комплементарность ароматических семейств, вкусовой контраст и матричный эффект</x:v>
      </x:c>
      <x:c r="G5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Финик относится к группе «Сухофрукты и тропические плоды» и даёт профиль «медовый, карамельный, сухофруктовый, ореховый и пряный»; типичные соединения или классы: фураны, альдегиды Стреккера, фенольные соединения и продукты карамелизации. По доступным материалам нельзя уверенно свести совместимость к одной общей молекуле. Общие ароматические направления: фруктовый,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очень высокая сладость, низкая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плотная сахаристая и вязкая; хорошо связывает жир и специи.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H5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I5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6" s="28" t="str">
        <x:v>напиток, соус, десерт или горячее блюдо после пробной дегустации</x:v>
      </x:c>
      <x:c r="K56" s="28" t="str">
        <x:v>Гипотеза / практическая</x:v>
      </x:c>
      <x:c r="L56" s="28" t="str">
        <x:v>Таблица сочетания(1).pdf</x:v>
      </x:c>
      <x:c r="M56" s="28" t="str">
        <x:v>Таблица сочетания(1).pdf: Таблица сочетаний: 7 | Таблица сочетания(1).pdf: 7</x:v>
      </x:c>
    </x:row>
    <x:row r="57" ht="64" customHeight="1">
      <x:c r="A57" s="28" t="str">
        <x:v>STN-0069</x:v>
      </x:c>
      <x:c r="B57" s="28" t="str">
        <x:v>абрикос</x:v>
      </x:c>
      <x:c r="C57" s="28" t="str">
        <x:v>абрикос</x:v>
      </x:c>
      <x:c r="D57" s="28" t="str">
        <x:v>фисташка</x:v>
      </x:c>
      <x:c r="E57" s="28" t="str">
        <x:v>Орехи и семена</x:v>
      </x:c>
      <x:c r="F57" s="28" t="str">
        <x:v>прямое или классовое перекрытие характерных одорантов + вкусовой баланс</x:v>
      </x:c>
      <x:c r="G5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Фисташка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 мякоть; низкий жир; кожица и косточка могут добавлять терпкость и миндальный оттенок. Ореховый жир удерживает лактоны и смягчает кислотность; обжарка добавляет пиразины.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5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5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обжарка и прогорклый жир перекрывают цветочный профиль.</x:v>
      </x:c>
      <x:c r="J57" s="28" t="str">
        <x:v>тарт, крем, мороженое, выпечка, сырная подача или начинка</x:v>
      </x:c>
      <x:c r="K57" s="28" t="str">
        <x:v>Гипотеза / практическая</x:v>
      </x:c>
      <x:c r="L57" s="28" t="str">
        <x:v>Таблица сочетания(1).pdf</x:v>
      </x:c>
      <x:c r="M57" s="28" t="str">
        <x:v>Таблица сочетания(1).pdf: 17</x:v>
      </x:c>
    </x:row>
    <x:row r="58" ht="64" customHeight="1">
      <x:c r="A58" s="28" t="str">
        <x:v>STN-0072</x:v>
      </x:c>
      <x:c r="B58" s="28" t="str">
        <x:v>абрикос</x:v>
      </x:c>
      <x:c r="C58" s="28" t="str">
        <x:v>абрикос</x:v>
      </x:c>
      <x:c r="D58" s="28" t="str">
        <x:v>чернослив</x:v>
      </x:c>
      <x:c r="E58" s="28" t="str">
        <x:v>Сушёные косточковые фрукты</x:v>
      </x:c>
      <x:c r="F58" s="28" t="str">
        <x:v>прямое или классовое перекрытие характерных одорантов + вкусовой баланс</x:v>
      </x:c>
      <x:c r="G5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Чернослив относится к группе «Сушёные косточковые фрукты» и даёт профиль «тёмно-фруктовый, карамельный, винный, слегка дымный и миндальный»; типичные соединения или классы: фурфурол, 5-метилфурфурол, мальтол, лактоны, бензальдегид, продукты термического распада сахаров. В рабочих профилях пересекаются: бензальдегид. Общие ароматические направления: фруктовый, миндальный.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маловодная, богатая сахарами, пектином и сорбитолом; хорошо удерживает специи и алкоголь.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H5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I5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8" s="28" t="str">
        <x:v>напиток, соус, десерт или горячее блюдо после пробной дегустации</x:v>
      </x:c>
      <x:c r="K58" s="28" t="str">
        <x:v>Высокая</x:v>
      </x:c>
      <x:c r="L58" s="28" t="str">
        <x:v>The Art &amp; Science of Foodpairing.pdf | Таблица сочетания(1).pdf</x:v>
      </x:c>
      <x:c r="M58" s="28" t="str">
        <x:v>Таблица сочетания(1).pdf: 18 | The Art &amp; Science of Foodpairing.pdf: 206</x:v>
      </x:c>
    </x:row>
    <x:row r="59" ht="64" customHeight="1">
      <x:c r="A59" s="28" t="str">
        <x:v>STN-0073</x:v>
      </x:c>
      <x:c r="B59" s="28" t="str">
        <x:v>абрикос</x:v>
      </x:c>
      <x:c r="C59" s="28" t="str">
        <x:v>абрикос</x:v>
      </x:c>
      <x:c r="D59" s="28" t="str">
        <x:v>черные оливки</x:v>
      </x:c>
      <x:c r="E59" s="28" t="str">
        <x:v>Прочее</x:v>
      </x:c>
      <x:c r="F59" s="28" t="str">
        <x:v>комплементарность ароматических семейств, вкусовой контраст и матричный эффект</x:v>
      </x:c>
      <x:c r="G5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Черные оливки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зависит от ингредиента.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механизм зависит от конкретного продукта.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5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5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9" s="28" t="str">
        <x:v>напиток, соус, десерт или горячее блюдо после пробной дегустации</x:v>
      </x:c>
      <x:c r="K59" s="28" t="str">
        <x:v>Средняя</x:v>
      </x:c>
      <x:c r="L59" s="28" t="str">
        <x:v>The Art &amp; Science of Foodpairing.pdf</x:v>
      </x:c>
      <x:c r="M59" s="28" t="str">
        <x:v>The Art &amp; Science of Foodpairing.pdf: 216</x:v>
      </x:c>
    </x:row>
    <x:row r="60" ht="64" customHeight="1">
      <x:c r="A60" s="28" t="str">
        <x:v>STN-0074</x:v>
      </x:c>
      <x:c r="B60" s="28" t="str">
        <x:v>абрикос</x:v>
      </x:c>
      <x:c r="C60" s="28" t="str">
        <x:v>абрикос</x:v>
      </x:c>
      <x:c r="D60" s="28" t="str">
        <x:v>черный перец</x:v>
      </x:c>
      <x:c r="E60" s="28" t="str">
        <x:v>Специи и острые компоненты</x:v>
      </x:c>
      <x:c r="F60" s="28" t="str">
        <x:v>комплементарность ароматических семейств, вкусовой контраст и матричный эффект</x:v>
      </x:c>
      <x:c r="G6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Черный перец относится к группе «Специи и острые компоненты» и даёт профиль «древесный, цитрусовый и пряный»; типичные соединения или классы: пиперин, лимонен, сабинен.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6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6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60" s="28" t="str">
        <x:v>напиток, соус, десерт или горячее блюдо после пробной дегустации</x:v>
      </x:c>
      <x:c r="K60" s="28" t="str">
        <x:v>Гипотеза / практическая</x:v>
      </x:c>
      <x:c r="L60" s="28" t="str">
        <x:v>Таблица сочетания(1).pdf</x:v>
      </x:c>
      <x:c r="M60" s="28" t="str">
        <x:v>Таблица сочетания(1).pdf: 1</x:v>
      </x:c>
    </x:row>
    <x:row r="61" ht="64" customHeight="1">
      <x:c r="A61" s="28" t="str">
        <x:v>STN-0077</x:v>
      </x:c>
      <x:c r="B61" s="28" t="str">
        <x:v>абрикос</x:v>
      </x:c>
      <x:c r="C61" s="28" t="str">
        <x:v>абрикос</x:v>
      </x:c>
      <x:c r="D61" s="28" t="str">
        <x:v>шоколад</x:v>
      </x:c>
      <x:c r="E61" s="28" t="str">
        <x:v>Чай, кофе и какао</x:v>
      </x:c>
      <x:c r="F61" s="28" t="str">
        <x:v>комплементарность ароматических семейств, вкусовой контраст и матричный эффект</x:v>
      </x:c>
      <x:c r="G6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жареная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водные настои извлекают полифенолы; жир и сахар смягчают горечь.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6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6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1" s="28" t="str">
        <x:v>напиток, соус, десерт или горячее блюдо после пробной дегустации</x:v>
      </x:c>
      <x:c r="K61" s="28" t="str">
        <x:v>Средняя</x:v>
      </x:c>
      <x:c r="L61" s="28" t="str">
        <x:v>Тезариус вкусов (Ники Сегнит)(1).pdf</x:v>
      </x:c>
      <x:c r="M61" s="28" t="str">
        <x:v>Тезариус вкусов (Ники Сегнит)(1).pdf: 25 | Тезариус вкусов (Ники Сегнит)(1).pdf: 745</x:v>
      </x:c>
    </x:row>
    <x:row r="62" ht="64" customHeight="1">
      <x:c r="A62" s="28" t="str">
        <x:v>STN-0078</x:v>
      </x:c>
      <x:c r="B62" s="28" t="str">
        <x:v>абрикос</x:v>
      </x:c>
      <x:c r="C62" s="28" t="str">
        <x:v>абрикос</x:v>
      </x:c>
      <x:c r="D62" s="28" t="str">
        <x:v>яблоко</x:v>
      </x:c>
      <x:c r="E62" s="28" t="str">
        <x:v>Семечковые фрукты</x:v>
      </x:c>
      <x:c r="F62" s="28" t="str">
        <x:v>прямое или классовое перекрытие характерных одорантов + вкусовой баланс</x:v>
      </x:c>
      <x:c r="G6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Яблоко относится к группе «Семечковые фрукты» и даёт профиль «свежий фруктовый, зелёный, цветочный, пряный; профиль сильно зависит от сорта и зрелости»; типичные соединения или классы: гексилацетат, бутил ацетат, этил-2-метилбутират, гексаналь, транс-2-гексеналь, β-дамасценон. В рабочих профилях пересекаются: дамасценон. Общие ароматические направления: цветочный,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яблочная кислота; иногда лёгкая терпкость кожицы.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водная, с пектином; низкое содержание жира; ароматические эфиры быстро теряются после разрезания.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H6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I6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2" s="28" t="str">
        <x:v>напиток, соус, десерт или горячее блюдо после пробной дегустации</x:v>
      </x:c>
      <x:c r="K62" s="28" t="str">
        <x:v>Гипотеза / практическая</x:v>
      </x:c>
      <x:c r="L62" s="28" t="str">
        <x:v>The Art &amp; Science of Foodpairing.pdf</x:v>
      </x:c>
      <x:c r="M62" s="28" t="str">
        <x:v>The Art &amp; Science of Foodpairing.pdf: The Art &amp; Science of Foodpairing: 48,49</x:v>
      </x:c>
    </x:row>
    <x:row r="63" ht="64" customHeight="1">
      <x:c r="A63" s="28" t="str">
        <x:v>STN-0079</x:v>
      </x:c>
      <x:c r="B63" s="28" t="str">
        <x:v>абрикос</x:v>
      </x:c>
      <x:c r="C63" s="28" t="str">
        <x:v>абрикос</x:v>
      </x:c>
      <x:c r="D63" s="28" t="str">
        <x:v>яблоко кокс оранж пиппин</x:v>
      </x:c>
      <x:c r="E63" s="28" t="str">
        <x:v>Фрукты</x:v>
      </x:c>
      <x:c r="F63" s="28" t="str">
        <x:v>прямое или классовое перекрытие характерных одорантов + вкусовой баланс</x:v>
      </x:c>
      <x:c r="G6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Яблоко кокс оранж пиппин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преимущественно водно-пектиновая матрица.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6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6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3" s="28" t="str">
        <x:v>сорбет, салат, джем, кордиал, лимонад, коктейль или фруктовый соус</x:v>
      </x:c>
      <x:c r="K63" s="28" t="str">
        <x:v>Средняя</x:v>
      </x:c>
      <x:c r="L63" s="28" t="str">
        <x:v>The Art &amp; Science of Foodpairing.pdf</x:v>
      </x:c>
      <x:c r="M63" s="28" t="str">
        <x:v>The Art &amp; Science of Foodpairing.pdf: 47 | The Art &amp; Science of Foodpairing.pdf: 48 | The Art &amp; Science of Foodpairing.pdf: 49</x:v>
      </x:c>
    </x:row>
    <x:row r="64" ht="64" customHeight="1">
      <x:c r="A64" s="28" t="str">
        <x:v>STN-0082</x:v>
      </x:c>
      <x:c r="B64" s="28" t="str">
        <x:v>персик</x:v>
      </x:c>
      <x:c r="C64" s="28" t="str">
        <x:v>персик</x:v>
      </x:c>
      <x:c r="D64" s="28" t="str">
        <x:v>авокадо</x:v>
      </x:c>
      <x:c r="E64" s="28" t="str">
        <x:v>Тропические фрукты и жирные матрицы</x:v>
      </x:c>
      <x:c r="F64" s="28" t="str">
        <x:v>прямое или классовое перекрытие характерных одорантов + вкусовой баланс</x:v>
      </x:c>
      <x:c r="G6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В рабочих профилях пересекаются: гексаналь.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мягкий, жирный, почти несладкий; лёгкая растительная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высокожировая эмульсия; хорошо растворяет гидрофобные ароматические молекулы.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6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6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64" s="28" t="str">
        <x:v>напиток, соус, десерт или горячее блюдо после пробной дегустации</x:v>
      </x:c>
      <x:c r="K64" s="28" t="str">
        <x:v>Средняя</x:v>
      </x:c>
      <x:c r="L64" s="28" t="str">
        <x:v>The Art &amp; Science of Foodpairing.pdf</x:v>
      </x:c>
      <x:c r="M64" s="28" t="str">
        <x:v>The Art &amp; Science of Foodpairing.pdf: 355 | The Art &amp; Science of Foodpairing.pdf: 260–261</x:v>
      </x:c>
    </x:row>
    <x:row r="65" ht="64" customHeight="1">
      <x:c r="A65" s="28" t="str">
        <x:v>STN-0084</x:v>
      </x:c>
      <x:c r="B65" s="28" t="str">
        <x:v>персик</x:v>
      </x:c>
      <x:c r="C65" s="28" t="str">
        <x:v>персик</x:v>
      </x:c>
      <x:c r="D65" s="28" t="str">
        <x:v>апельсин</x:v>
      </x:c>
      <x:c r="E65" s="28" t="str">
        <x:v>Цитрусовые</x:v>
      </x:c>
      <x:c r="F65" s="28" t="str">
        <x:v>прямое или классовое перекрытие характерных одорантов + вкусовой баланс</x:v>
      </x:c>
      <x:c r="G6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 и кислый, цедра содержит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6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6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65" s="28" t="str">
        <x:v>сорбет, салат, джем, кордиал, лимонад, коктейль или фруктовый соус</x:v>
      </x:c>
      <x:c r="K65" s="28" t="str">
        <x:v>Средняя</x:v>
      </x:c>
      <x:c r="L65" s="28" t="str">
        <x:v>Тезариус вкусов (Ники Сегнит)(1).pdf</x:v>
      </x:c>
      <x:c r="M65" s="28" t="str">
        <x:v>Тезариус вкусов (Ники Сегнит)(1).pdf: Тезариус вкусов (Ники Сегнит)(1).pdf: 747, 779 | Тезариус вкусов (Ники Сегнит)(1).pdf: 747 | Тезариус вкусов (Ники Сегнит)(1).pdf: 779</x:v>
      </x:c>
    </x:row>
    <x:row r="66" ht="64" customHeight="1">
      <x:c r="A66" s="28" t="str">
        <x:v>STN-0085</x:v>
      </x:c>
      <x:c r="B66" s="28" t="str">
        <x:v>персик</x:v>
      </x:c>
      <x:c r="C66" s="28" t="str">
        <x:v>персик</x:v>
      </x:c>
      <x:c r="D66" s="28" t="str">
        <x:v>бадьян</x:v>
      </x:c>
      <x:c r="E66" s="28" t="str">
        <x:v>Специи и острые компоненты</x:v>
      </x:c>
      <x:c r="F66" s="28" t="str">
        <x:v>комплементарность ароматических семейств, вкусовой контраст и матричный эффект</x:v>
      </x:c>
      <x:c r="G6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Бадьян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66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66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66" s="28" t="str">
        <x:v>напиток, соус, десерт или горячее блюдо после пробной дегустации</x:v>
      </x:c>
      <x:c r="K66" s="28" t="str">
        <x:v>Средняя</x:v>
      </x:c>
      <x:c r="L66" s="28" t="str">
        <x:v>The Art &amp; Science of Foodpairing.pdf</x:v>
      </x:c>
      <x:c r="M66" s="28" t="str">
        <x:v>The Art &amp; Science of Foodpairing.pdf: 260–261</x:v>
      </x:c>
    </x:row>
    <x:row r="67" ht="64" customHeight="1">
      <x:c r="A67" s="28" t="str">
        <x:v>STN-0086</x:v>
      </x:c>
      <x:c r="B67" s="28" t="str">
        <x:v>персик</x:v>
      </x:c>
      <x:c r="C67" s="28" t="str">
        <x:v>персик</x:v>
      </x:c>
      <x:c r="D67" s="28" t="str">
        <x:v>базилик</x:v>
      </x:c>
      <x:c r="E67" s="28" t="str">
        <x:v>Травы и цветы</x:v>
      </x:c>
      <x:c r="F67" s="28" t="str">
        <x:v>прямое или классовое перекрытие характерных одорантов + вкусовой баланс</x:v>
      </x:c>
      <x:c r="G6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6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6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67" s="28" t="str">
        <x:v>напиток, соус, десерт или горячее блюдо после пробной дегустации</x:v>
      </x:c>
      <x:c r="K67" s="28" t="str">
        <x:v>Гипотеза / практическая</x:v>
      </x:c>
      <x:c r="L67" s="28" t="str">
        <x:v>Таблица сочетания(1).pdf</x:v>
      </x:c>
      <x:c r="M67" s="28" t="str">
        <x:v>Таблица сочетания(1).pdf: 15</x:v>
      </x:c>
    </x:row>
    <x:row r="68" ht="64" customHeight="1">
      <x:c r="A68" s="28" t="str">
        <x:v>STN-0089</x:v>
      </x:c>
      <x:c r="B68" s="28" t="str">
        <x:v>персик</x:v>
      </x:c>
      <x:c r="C68" s="28" t="str">
        <x:v>персик</x:v>
      </x:c>
      <x:c r="D68" s="28" t="str">
        <x:v>бейгл</x:v>
      </x:c>
      <x:c r="E68" s="28" t="str">
        <x:v>Злаки и выпечка</x:v>
      </x:c>
      <x:c r="F68" s="28" t="str">
        <x:v>комплементарность ароматических семейств, вкусовой контраст и матричный эффект</x:v>
      </x:c>
      <x:c r="G6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Бейгл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6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6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68" s="28" t="str">
        <x:v>тарт, крем, мороженое, выпечка, сырная подача или начинка</x:v>
      </x:c>
      <x:c r="K68" s="28" t="str">
        <x:v>Средняя</x:v>
      </x:c>
      <x:c r="L68" s="28" t="str">
        <x:v>The Art &amp; Science of Foodpairing.pdf</x:v>
      </x:c>
      <x:c r="M68" s="28" t="str">
        <x:v>The Art &amp; Science of Foodpairing.pdf: 260–261</x:v>
      </x:c>
    </x:row>
    <x:row r="69" ht="64" customHeight="1">
      <x:c r="A69" s="28" t="str">
        <x:v>STN-0090</x:v>
      </x:c>
      <x:c r="B69" s="28" t="str">
        <x:v>персик</x:v>
      </x:c>
      <x:c r="C69" s="28" t="str">
        <x:v>персик</x:v>
      </x:c>
      <x:c r="D69" s="28" t="str">
        <x:v>белый тостовый хлеб</x:v>
      </x:c>
      <x:c r="E69" s="28" t="str">
        <x:v>Злаки и выпечка</x:v>
      </x:c>
      <x:c r="F69" s="28" t="str">
        <x:v>комплементарность ароматических семейств, вкусовой контраст и матричный эффект</x:v>
      </x:c>
      <x:c r="G6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Белый тостовый хлеб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6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6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69" s="28" t="str">
        <x:v>тарт, крем, мороженое, выпечка, сырная подача или начинка</x:v>
      </x:c>
      <x:c r="K69" s="28" t="str">
        <x:v>Средняя</x:v>
      </x:c>
      <x:c r="L69" s="28" t="str">
        <x:v>The Art &amp; Science of Foodpairing.pdf</x:v>
      </x:c>
      <x:c r="M69" s="28" t="str">
        <x:v>The Art &amp; Science of Foodpairing.pdf: 260–261</x:v>
      </x:c>
    </x:row>
    <x:row r="70" ht="64" customHeight="1">
      <x:c r="A70" s="28" t="str">
        <x:v>STN-0091</x:v>
      </x:c>
      <x:c r="B70" s="28" t="str">
        <x:v>персик</x:v>
      </x:c>
      <x:c r="C70" s="28" t="str">
        <x:v>персик</x:v>
      </x:c>
      <x:c r="D70" s="28" t="str">
        <x:v>бергамот</x:v>
      </x:c>
      <x:c r="E70" s="28" t="str">
        <x:v>Цитрусовые</x:v>
      </x:c>
      <x:c r="F70" s="28" t="str">
        <x:v>прямое или классовое перекрытие характерных одорантов + вкусовой баланс</x:v>
      </x:c>
      <x:c r="G7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Бергамот относится к группе «Цитрусовые» и даёт профиль «зелёный, цветочный, цитрусовый»; типичные соединения или классы: лимонен, линалоол, цитраль.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вода и эфирные масла; цедра гидрофобна.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7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7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0" s="28" t="str">
        <x:v>сорбет, салат, джем, кордиал, лимонад, коктейль или фруктовый соус</x:v>
      </x:c>
      <x:c r="K70" s="28" t="str">
        <x:v>Средняя</x:v>
      </x:c>
      <x:c r="L70" s="28" t="str">
        <x:v>The Art &amp; Science of Foodpairing.pdf</x:v>
      </x:c>
      <x:c r="M70" s="28" t="str">
        <x:v>The Art &amp; Science of Foodpairing.pdf: 260–261</x:v>
      </x:c>
    </x:row>
    <x:row r="71" ht="64" customHeight="1">
      <x:c r="A71" s="28" t="str">
        <x:v>STN-0092</x:v>
      </x:c>
      <x:c r="B71" s="28" t="str">
        <x:v>персик</x:v>
      </x:c>
      <x:c r="C71" s="28" t="str">
        <x:v>персик</x:v>
      </x:c>
      <x:c r="D71" s="28" t="str">
        <x:v>бриошь</x:v>
      </x:c>
      <x:c r="E71" s="28" t="str">
        <x:v>Злаки, хлеб и выпечка</x:v>
      </x:c>
      <x:c r="F71" s="28" t="str">
        <x:v>комплементарность ароматических семейств, вкусовой контраст и матричный эффект</x:v>
      </x:c>
      <x:c r="G7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Бриошь относится к группе «Злаки, хлеб и выпечка» и даёт профиль «хлебный, зерновой, ореховый, жареный и карамельный»; типичные соединения или классы: 2-ацетил-1-пирролин, пиразины, фураны, мальтол.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крахмалистость, лёгкая сладость и жареная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 и клетчатка смягчают кислоту и поглощают ароматические соусы.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H7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I7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1" s="28" t="str">
        <x:v>напиток, соус, десерт или горячее блюдо после пробной дегустации</x:v>
      </x:c>
      <x:c r="K71" s="28" t="str">
        <x:v>Средняя</x:v>
      </x:c>
      <x:c r="L71" s="28" t="str">
        <x:v>The Art &amp; Science of Foodpairing.pdf</x:v>
      </x:c>
      <x:c r="M71" s="28" t="str">
        <x:v>The Art &amp; Science of Foodpairing.pdf: 260–261</x:v>
      </x:c>
    </x:row>
    <x:row r="72" ht="64" customHeight="1">
      <x:c r="A72" s="28" t="str">
        <x:v>STN-0093</x:v>
      </x:c>
      <x:c r="B72" s="28" t="str">
        <x:v>персик</x:v>
      </x:c>
      <x:c r="C72" s="28" t="str">
        <x:v>персик</x:v>
      </x:c>
      <x:c r="D72" s="28" t="str">
        <x:v>бузина</x:v>
      </x:c>
      <x:c r="E72" s="28" t="str">
        <x:v>Ягоды и производные</x:v>
      </x:c>
      <x:c r="F72" s="28" t="str">
        <x:v>комплементарность ароматических семейств, вкусовой контраст и матричный эффект</x:v>
      </x:c>
      <x:c r="G7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Бузина относится к группе «Ягоды и производные» и даёт профиль «зелёный, тёмно-фруктовый, цветочный»; типичные соединения или классы: альдегиды, терпены, эфиры.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кисло-сладкий, терпкий.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ягоды обычно требуют термообработки; цветы и ягоды имеют разные профили.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H7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I7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2" s="28" t="str">
        <x:v>напиток, соус, десерт или горячее блюдо после пробной дегустации</x:v>
      </x:c>
      <x:c r="K72" s="28" t="str">
        <x:v>Гипотеза / практическая</x:v>
      </x:c>
      <x:c r="L72" s="28" t="str">
        <x:v>Таблица сочетания(1).pdf</x:v>
      </x:c>
      <x:c r="M72" s="28" t="str">
        <x:v>Таблица сочетания(1).pdf: Таблица сочетаний: 7, 8 | Таблица сочетания(1).pdf: 7</x:v>
      </x:c>
    </x:row>
    <x:row r="73" ht="64" customHeight="1">
      <x:c r="A73" s="28" t="str">
        <x:v>STN-0095</x:v>
      </x:c>
      <x:c r="B73" s="28" t="str">
        <x:v>персик</x:v>
      </x:c>
      <x:c r="C73" s="28" t="str">
        <x:v>персик</x:v>
      </x:c>
      <x:c r="D73" s="28" t="str">
        <x:v>ваниль</x:v>
      </x:c>
      <x:c r="E73" s="28" t="str">
        <x:v>Специи и острые компоненты</x:v>
      </x:c>
      <x:c r="F73" s="28" t="str">
        <x:v>прямое или классовое перекрытие характерных одорантов + вкусовой баланс</x:v>
      </x:c>
      <x:c r="G7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Ваниль относится к группе «Специи и острые компоненты» и даёт профиль «сладкий, сливочный и древесный»; типичные соединения или классы: ванилин, п-гидроксибензальдегид. В рабочих профилях пересекаются: бензальдегид. Общие ароматические направления: сливочный.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73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73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73" s="28" t="str">
        <x:v>напиток, соус, десерт или горячее блюдо после пробной дегустации</x:v>
      </x:c>
      <x:c r="K73" s="28" t="str">
        <x:v>Высокая</x:v>
      </x:c>
      <x:c r="L73" s="28" t="str">
        <x:v>Таблица сочетания(1).pdf | Тезариус вкусов (Ники Сегнит)(1).pdf</x:v>
      </x:c>
      <x:c r="M73" s="28" t="str">
        <x:v>Таблица сочетания(1).pdf: 15 | Таблица сочетания(1).pdf: 21 | Тезариус вкусов (Ники Сегнит)(1).pdf: 747 | Тезариус вкусов (Ники Сегнит)(1).pdf: 919</x:v>
      </x:c>
    </x:row>
    <x:row r="74" ht="64" customHeight="1">
      <x:c r="A74" s="28" t="str">
        <x:v>STN-0097</x:v>
      </x:c>
      <x:c r="B74" s="28" t="str">
        <x:v>персик</x:v>
      </x:c>
      <x:c r="C74" s="28" t="str">
        <x:v>персик</x:v>
      </x:c>
      <x:c r="D74" s="28" t="str">
        <x:v>вишня</x:v>
      </x:c>
      <x:c r="E74" s="28" t="str">
        <x:v>Косточковые фрукты</x:v>
      </x:c>
      <x:c r="F74" s="28" t="str">
        <x:v>прямое или классовое перекрытие характерных одорантов + вкусовой баланс</x:v>
      </x:c>
      <x:c r="G7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линалоол. Общие ароматические направления: цветочный, лактонный. Базовый фрукт даёт: выраженная сладость, умеренная кислотность; беломякотные сорта обычно слаще и мягче по кислоте. Партнёр добавляет: сладость и умеренная кислотность.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пектиновая; кожица и косточка могут давать терпкость и миндальные ноты.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7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7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4" s="28" t="str">
        <x:v>напиток, соус, десерт или горячее блюдо после пробной дегустации</x:v>
      </x:c>
      <x:c r="K74" s="28" t="str">
        <x:v>Высокая</x:v>
      </x:c>
      <x:c r="L74" s="28" t="str">
        <x:v>The Art &amp; Science of Foodpairing.pdf | Таблица сочетания(1).pdf | Тезариус вкусов (Ники Сегнит)(1).pdf</x:v>
      </x:c>
      <x:c r="M74" s="28" t="str">
        <x:v>The Art &amp; Science of Foodpairing.pdf: Тезариус вкусов: 656, 749; The Art &amp; Science of Foodpairing: 260; Таблица сочетаний: 4, 15 | Таблица сочетания(1).pdf: 4 | Таблица сочетания(1).pdf: 15 | Тезариус вкусов (Ники Сегнит)(1).pdf: 656 | Тезариус вкусов (Ники Сегнит)(1).pdf: 749</x:v>
      </x:c>
    </x:row>
    <x:row r="75" ht="64" customHeight="1">
      <x:c r="A75" s="28" t="str">
        <x:v>STN-0100</x:v>
      </x:c>
      <x:c r="B75" s="28" t="str">
        <x:v>персик</x:v>
      </x:c>
      <x:c r="C75" s="28" t="str">
        <x:v>персик</x:v>
      </x:c>
      <x:c r="D75" s="28" t="str">
        <x:v>гвоздика</x:v>
      </x:c>
      <x:c r="E75" s="28" t="str">
        <x:v>Специи и острые компоненты</x:v>
      </x:c>
      <x:c r="F75" s="28" t="str">
        <x:v>комплементарность ароматических семейств, вкусовой контраст и матричный эффект</x:v>
      </x:c>
      <x:c r="G7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Гвоздика относится к группе «Специи и острые компоненты» и даёт профиль «тёплый, фенольный и пряный»; типичные соединения или классы: эвгенол, эвгенилацетат.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75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75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75" s="28" t="str">
        <x:v>напиток, соус, десерт или горячее блюдо после пробной дегустации</x:v>
      </x:c>
      <x:c r="K75" s="28" t="str">
        <x:v>Высокая</x:v>
      </x:c>
      <x:c r="L75" s="28" t="str">
        <x:v>Таблица сочетания(1).pdf | Тезариус вкусов (Ники Сегнит)(1).pdf</x:v>
      </x:c>
      <x:c r="M75" s="28" t="str">
        <x:v>Таблица сочетания(1).pdf: 15 | Тезариус вкусов (Ники Сегнит)(1).pdf: 584 | Тезариус вкусов (Ники Сегнит)(1).pdf: 750</x:v>
      </x:c>
    </x:row>
    <x:row r="76" ht="64" customHeight="1">
      <x:c r="A76" s="28" t="str">
        <x:v>STN-0101</x:v>
      </x:c>
      <x:c r="B76" s="28" t="str">
        <x:v>персик</x:v>
      </x:c>
      <x:c r="C76" s="28" t="str">
        <x:v>персик</x:v>
      </x:c>
      <x:c r="D76" s="28" t="str">
        <x:v>гибискус</x:v>
      </x:c>
      <x:c r="E76" s="28" t="str">
        <x:v>Прочее</x:v>
      </x:c>
      <x:c r="F76" s="28" t="str">
        <x:v>комплементарность ароматических семейств, вкусовой контраст и матричный эффект</x:v>
      </x:c>
      <x:c r="G7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Гибискус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7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7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6" s="28" t="str">
        <x:v>напиток, соус, десерт или горячее блюдо после пробной дегустации</x:v>
      </x:c>
      <x:c r="K76" s="28" t="str">
        <x:v>Гипотеза / практическая</x:v>
      </x:c>
      <x:c r="L76" s="28" t="str">
        <x:v>Таблица сочетания(1).pdf</x:v>
      </x:c>
      <x:c r="M76" s="28" t="str">
        <x:v>Таблица сочетания(1).pdf: 9</x:v>
      </x:c>
    </x:row>
    <x:row r="77" ht="64" customHeight="1">
      <x:c r="A77" s="28" t="str">
        <x:v>STN-0103</x:v>
      </x:c>
      <x:c r="B77" s="28" t="str">
        <x:v>персик</x:v>
      </x:c>
      <x:c r="C77" s="28" t="str">
        <x:v>персик</x:v>
      </x:c>
      <x:c r="D77" s="28" t="str">
        <x:v>голубика</x:v>
      </x:c>
      <x:c r="E77" s="28" t="str">
        <x:v>Ягоды</x:v>
      </x:c>
      <x:c r="F77" s="28" t="str">
        <x:v>комплементарность ароматических семейств, вкусовой контраст и матричный эффект</x:v>
      </x:c>
      <x:c r="G7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7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7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7" s="28" t="str">
        <x:v>сорбет, салат, джем, кордиал, лимонад, коктейль или фруктовый соус</x:v>
      </x:c>
      <x:c r="K77" s="28" t="str">
        <x:v>Гипотеза / практическая</x:v>
      </x:c>
      <x:c r="L77" s="28" t="str">
        <x:v>Таблица сочетания(1).pdf</x:v>
      </x:c>
      <x:c r="M77" s="28" t="str">
        <x:v>Таблица сочетания(1).pdf: Таблица сочетаний: 15 | Таблица сочетания(1).pdf: 15</x:v>
      </x:c>
    </x:row>
    <x:row r="78" ht="64" customHeight="1">
      <x:c r="A78" s="28" t="str">
        <x:v>STN-0104</x:v>
      </x:c>
      <x:c r="B78" s="28" t="str">
        <x:v>персик</x:v>
      </x:c>
      <x:c r="C78" s="28" t="str">
        <x:v>персик</x:v>
      </x:c>
      <x:c r="D78" s="28" t="str">
        <x:v>голубой сыр</x:v>
      </x:c>
      <x:c r="E78" s="28" t="str">
        <x:v>Сыры и молочные продукты</x:v>
      </x:c>
      <x:c r="F78" s="28" t="str">
        <x:v>комплементарность ароматических семейств, вкусовой контраст и матричный эффект</x:v>
      </x:c>
      <x:c r="G7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Голубой сыр относится к группе «Сыры и молочные продукты» и даёт профиль «пикантный, грибной и сливочный»; типичные соединения или классы: 2-гептанон, 2-нонанон, короткоцепочечные жирные кислоты. По доступным материалам нельзя уверенно свести совместимость к одной общей молекуле. Общие ароматические направления: сливочный.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 Обработка: 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H78" s="28" t="str">
        <x:v>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I78" s="28" t="str">
        <x:v>незрелый плод ароматически беден; перезрелый быстро окисляется; косточки не использовать без безопасной технологии. Избыток кислоты может свернуть молочную основу; фрукт и сыр проверяют при рабочей температуре.</x:v>
      </x:c>
      <x:c r="J78" s="28" t="str">
        <x:v>тарт, крем, мороженое, выпечка, сырная подача или начинка</x:v>
      </x:c>
      <x:c r="K78" s="28" t="str">
        <x:v>Средняя</x:v>
      </x:c>
      <x:c r="L78" s="28" t="str">
        <x:v>Тезариус вкусов (Ники Сегнит)(1).pdf</x:v>
      </x:c>
      <x:c r="M78" s="28" t="str">
        <x:v>Тезариус вкусов (Ники Сегнит)(1).pdf: 159 | Тезариус вкусов (Ники Сегнит)(1).pdf: 750</x:v>
      </x:c>
    </x:row>
    <x:row r="79" ht="64" customHeight="1">
      <x:c r="A79" s="28" t="str">
        <x:v>STN-0105</x:v>
      </x:c>
      <x:c r="B79" s="28" t="str">
        <x:v>персик</x:v>
      </x:c>
      <x:c r="C79" s="28" t="str">
        <x:v>персик</x:v>
      </x:c>
      <x:c r="D79" s="28" t="str">
        <x:v>горгонзола</x:v>
      </x:c>
      <x:c r="E79" s="28" t="str">
        <x:v>Прочее</x:v>
      </x:c>
      <x:c r="F79" s="28" t="str">
        <x:v>комплементарность ароматических семейств, вкусовой контраст и матричный эффект</x:v>
      </x:c>
      <x:c r="G7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Горгонзола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7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7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9" s="28" t="str">
        <x:v>напиток, соус, десерт или горячее блюдо после пробной дегустации</x:v>
      </x:c>
      <x:c r="K79" s="28" t="str">
        <x:v>Средняя</x:v>
      </x:c>
      <x:c r="L79" s="28" t="str">
        <x:v>The Art &amp; Science of Foodpairing.pdf</x:v>
      </x:c>
      <x:c r="M79" s="28" t="str">
        <x:v>The Art &amp; Science of Foodpairing.pdf: 260–261</x:v>
      </x:c>
    </x:row>
    <x:row r="80" ht="64" customHeight="1">
      <x:c r="A80" s="28" t="str">
        <x:v>STN-0106</x:v>
      </x:c>
      <x:c r="B80" s="28" t="str">
        <x:v>персик</x:v>
      </x:c>
      <x:c r="C80" s="28" t="str">
        <x:v>персик</x:v>
      </x:c>
      <x:c r="D80" s="28" t="str">
        <x:v>гранат</x:v>
      </x:c>
      <x:c r="E80" s="28" t="str">
        <x:v>Субтропические фрукты</x:v>
      </x:c>
      <x:c r="F80" s="28" t="str">
        <x:v>прямое или классовое перекрытие характерных одорантов + вкусовой баланс</x:v>
      </x:c>
      <x:c r="G8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Гранат относится к группе «Субтропические фрукты» и даёт профиль «красно-фруктовый, цветочный, зелёный и винный»; типичные соединения или классы: гексаналь, (E)-2-гексеналь, эфиры, терпены; нелетучие пуникалагины и антоцианы. В рабочих профилях пересекаются: гексаналь.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яркая кислотность, сладость и выраженная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водный сок с полифенолами; семена дают хруст и лёгкую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H8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I8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0" s="28" t="str">
        <x:v>напиток, соус, десерт или горячее блюдо после пробной дегустации</x:v>
      </x:c>
      <x:c r="K80" s="28" t="str">
        <x:v>Средняя</x:v>
      </x:c>
      <x:c r="L80" s="28" t="str">
        <x:v>The Art &amp; Science of Foodpairing.pdf</x:v>
      </x:c>
      <x:c r="M80" s="28" t="str">
        <x:v>The Art &amp; Science of Foodpairing.pdf: 260–261</x:v>
      </x:c>
    </x:row>
    <x:row r="81" ht="64" customHeight="1">
      <x:c r="A81" s="28" t="str">
        <x:v>STN-0107</x:v>
      </x:c>
      <x:c r="B81" s="28" t="str">
        <x:v>персик</x:v>
      </x:c>
      <x:c r="C81" s="28" t="str">
        <x:v>персик</x:v>
      </x:c>
      <x:c r="D81" s="28" t="str">
        <x:v>грецкий орех</x:v>
      </x:c>
      <x:c r="E81" s="28" t="str">
        <x:v>Орехи и семена</x:v>
      </x:c>
      <x:c r="F81" s="28" t="str">
        <x:v>прямое или классовое перекрытие характерных одорантов + вкусовой баланс</x:v>
      </x:c>
      <x:c r="G8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Грецкий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8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81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81" s="28" t="str">
        <x:v>тарт, крем, мороженое, выпечка, сырная подача или начинка</x:v>
      </x:c>
      <x:c r="K81" s="28" t="str">
        <x:v>Гипотеза / практическая</x:v>
      </x:c>
      <x:c r="L81" s="28" t="str">
        <x:v>Таблица сочетания(1).pdf</x:v>
      </x:c>
      <x:c r="M81" s="28" t="str">
        <x:v>Таблица сочетания(1).pdf: 15</x:v>
      </x:c>
    </x:row>
    <x:row r="82" ht="64" customHeight="1">
      <x:c r="A82" s="28" t="str">
        <x:v>STN-0108</x:v>
      </x:c>
      <x:c r="B82" s="28" t="str">
        <x:v>персик</x:v>
      </x:c>
      <x:c r="C82" s="28" t="str">
        <x:v>персик</x:v>
      </x:c>
      <x:c r="D82" s="28" t="str">
        <x:v>грюйер</x:v>
      </x:c>
      <x:c r="E82" s="28" t="str">
        <x:v>Молочные продукты и сыры</x:v>
      </x:c>
      <x:c r="F82" s="28" t="str">
        <x:v>комплементарность ароматических семейств, вкусовой контраст и матричный эффект</x:v>
      </x:c>
      <x:c r="G8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Грюйер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жирный, кислый/солёный.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жировая и белковая матрица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8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8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2" s="28" t="str">
        <x:v>напиток, соус, десерт или горячее блюдо после пробной дегустации</x:v>
      </x:c>
      <x:c r="K82" s="28" t="str">
        <x:v>Средняя</x:v>
      </x:c>
      <x:c r="L82" s="28" t="str">
        <x:v>The Art &amp; Science of Foodpairing.pdf</x:v>
      </x:c>
      <x:c r="M82" s="28" t="str">
        <x:v>The Art &amp; Science of Foodpairing.pdf: 260–261</x:v>
      </x:c>
    </x:row>
    <x:row r="83" ht="64" customHeight="1">
      <x:c r="A83" s="28" t="str">
        <x:v>STN-0111</x:v>
      </x:c>
      <x:c r="B83" s="28" t="str">
        <x:v>персик</x:v>
      </x:c>
      <x:c r="C83" s="28" t="str">
        <x:v>персик</x:v>
      </x:c>
      <x:c r="D83" s="28" t="str">
        <x:v>дыня ханидью</x:v>
      </x:c>
      <x:c r="E83" s="28" t="str">
        <x:v>Фрукты</x:v>
      </x:c>
      <x:c r="F83" s="28" t="str">
        <x:v>комплементарность ароматических семейств, вкусовой контраст и матричный эффект</x:v>
      </x:c>
      <x:c r="G8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Дыня ханидью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8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8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3" s="28" t="str">
        <x:v>сорбет, салат, джем, кордиал, лимонад, коктейль или фруктовый соус</x:v>
      </x:c>
      <x:c r="K83" s="28" t="str">
        <x:v>Средняя</x:v>
      </x:c>
      <x:c r="L83" s="28" t="str">
        <x:v>The Art &amp; Science of Foodpairing.pdf</x:v>
      </x:c>
      <x:c r="M83" s="28" t="str">
        <x:v>The Art &amp; Science of Foodpairing.pdf: 260–261</x:v>
      </x:c>
    </x:row>
    <x:row r="84" ht="64" customHeight="1">
      <x:c r="A84" s="28" t="str">
        <x:v>STN-0112</x:v>
      </x:c>
      <x:c r="B84" s="28" t="str">
        <x:v>персик</x:v>
      </x:c>
      <x:c r="C84" s="28" t="str">
        <x:v>персик</x:v>
      </x:c>
      <x:c r="D84" s="28" t="str">
        <x:v>ежевика</x:v>
      </x:c>
      <x:c r="E84" s="28" t="str">
        <x:v>Ягоды</x:v>
      </x:c>
      <x:c r="F84" s="28" t="str">
        <x:v>комплементарность ароматических семейств, вкусовой контраст и матричный эффект</x:v>
      </x:c>
      <x:c r="G8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Ежевика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8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8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4" s="28" t="str">
        <x:v>сорбет, салат, джем, кордиал, лимонад, коктейль или фруктовый соус</x:v>
      </x:c>
      <x:c r="K84" s="28" t="str">
        <x:v>Высокая</x:v>
      </x:c>
      <x:c r="L84" s="28" t="str">
        <x:v>The Art &amp; Science of Foodpairing.pdf | Таблица сочетания(1).pdf | Тезариус вкусов (Ники Сегнит)(1).pdf</x:v>
      </x:c>
      <x:c r="M84" s="28" t="str">
        <x:v>The Art &amp; Science of Foodpairing.pdf: Тезариус вкусов: 750, 882; The Art &amp; Science of Foodpairing: 260; Таблица сочетаний: 2, 15 | Таблица сочетания(1).pdf: 2 | Таблица сочетания(1).pdf: 15 | Тезариус вкусов (Ники Сегнит)(1).pdf: 750 | Тезариус вкусов (Ники Сегнит)(1).pdf: 882 | The Art &amp; Science of Foodpairing.pdf: 260–261</x:v>
      </x:c>
    </x:row>
    <x:row r="85" ht="64" customHeight="1">
      <x:c r="A85" s="28" t="str">
        <x:v>STN-0113</x:v>
      </x:c>
      <x:c r="B85" s="28" t="str">
        <x:v>персик</x:v>
      </x:c>
      <x:c r="C85" s="28" t="str">
        <x:v>персик</x:v>
      </x:c>
      <x:c r="D85" s="28" t="str">
        <x:v>жареное филе куриной грудки</x:v>
      </x:c>
      <x:c r="E85" s="28" t="str">
        <x:v>Прочее</x:v>
      </x:c>
      <x:c r="F85" s="28" t="str">
        <x:v>комплементарность ароматических семейств, вкусовой контраст и матричный эффект</x:v>
      </x:c>
      <x:c r="G8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Жареное филе куриной грудки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8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8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5" s="28" t="str">
        <x:v>напиток, соус, десерт или горячее блюдо после пробной дегустации</x:v>
      </x:c>
      <x:c r="K85" s="28" t="str">
        <x:v>Средняя</x:v>
      </x:c>
      <x:c r="L85" s="28" t="str">
        <x:v>The Art &amp; Science of Foodpairing.pdf</x:v>
      </x:c>
      <x:c r="M85" s="28" t="str">
        <x:v>The Art &amp; Science of Foodpairing.pdf: 260–261</x:v>
      </x:c>
    </x:row>
    <x:row r="86" ht="64" customHeight="1">
      <x:c r="A86" s="28" t="str">
        <x:v>STN-0114</x:v>
      </x:c>
      <x:c r="B86" s="28" t="str">
        <x:v>персик</x:v>
      </x:c>
      <x:c r="C86" s="28" t="str">
        <x:v>персик</x:v>
      </x:c>
      <x:c r="D86" s="28" t="str">
        <x:v>жасмин</x:v>
      </x:c>
      <x:c r="E86" s="28" t="str">
        <x:v>Травы и цветы</x:v>
      </x:c>
      <x:c r="F86" s="28" t="str">
        <x:v>прямое или классовое перекрытие характерных одорантов + вкусовой баланс</x:v>
      </x:c>
      <x:c r="G8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Жасмин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8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8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6" s="28" t="str">
        <x:v>напиток, соус, десерт или горячее блюдо после пробной дегустации</x:v>
      </x:c>
      <x:c r="K86" s="28" t="str">
        <x:v>Гипотеза / практическая</x:v>
      </x:c>
      <x:c r="L86" s="28" t="str">
        <x:v>Таблица сочетания(1).pdf</x:v>
      </x:c>
      <x:c r="M86" s="28" t="str">
        <x:v>Таблица сочетания(1).pdf: 10</x:v>
      </x:c>
    </x:row>
    <x:row r="87" ht="64" customHeight="1">
      <x:c r="A87" s="28" t="str">
        <x:v>STN-0122</x:v>
      </x:c>
      <x:c r="B87" s="28" t="str">
        <x:v>персик</x:v>
      </x:c>
      <x:c r="C87" s="28" t="str">
        <x:v>персик</x:v>
      </x:c>
      <x:c r="D87" s="28" t="str">
        <x:v>изюм</x:v>
      </x:c>
      <x:c r="E87" s="28" t="str">
        <x:v>Фрукты</x:v>
      </x:c>
      <x:c r="F87" s="28" t="str">
        <x:v>комплементарность ароматических семейств, вкусовой контраст и матричный эффект</x:v>
      </x:c>
      <x:c r="G8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Изюм относится к группе «Фрукты» и даёт профиль «зелёный, фруктовый, цветочный»; типичные соединения или классы: лактоны, терпены, эфиры.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фруктовая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8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8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7" s="28" t="str">
        <x:v>сорбет, салат, джем, кордиал, лимонад, коктейль или фруктовый соус</x:v>
      </x:c>
      <x:c r="K87" s="28" t="str">
        <x:v>Средняя</x:v>
      </x:c>
      <x:c r="L87" s="28" t="str">
        <x:v>The Art &amp; Science of Foodpairing.pdf</x:v>
      </x:c>
      <x:c r="M87" s="28" t="str">
        <x:v>The Art &amp; Science of Foodpairing.pdf: 260–261</x:v>
      </x:c>
    </x:row>
    <x:row r="88" ht="64" customHeight="1">
      <x:c r="A88" s="28" t="str">
        <x:v>STN-0123</x:v>
      </x:c>
      <x:c r="B88" s="28" t="str">
        <x:v>персик</x:v>
      </x:c>
      <x:c r="C88" s="28" t="str">
        <x:v>персик</x:v>
      </x:c>
      <x:c r="D88" s="28" t="str">
        <x:v>имбирь</x:v>
      </x:c>
      <x:c r="E88" s="28" t="str">
        <x:v>Специи и острые компоненты</x:v>
      </x:c>
      <x:c r="F88" s="28" t="str">
        <x:v>комплементарность ароматических семейств, вкусовой контраст и матричный эффект</x:v>
      </x:c>
      <x:c r="G8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88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88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88" s="28" t="str">
        <x:v>напиток, соус, десерт или горячее блюдо после пробной дегустации</x:v>
      </x:c>
      <x:c r="K88" s="28" t="str">
        <x:v>Гипотеза / практическая</x:v>
      </x:c>
      <x:c r="L88" s="28" t="str">
        <x:v>Таблица сочетания(1).pdf</x:v>
      </x:c>
      <x:c r="M88" s="28" t="str">
        <x:v>Таблица сочетания(1).pdf: 15</x:v>
      </x:c>
    </x:row>
    <x:row r="89" ht="64" customHeight="1">
      <x:c r="A89" s="28" t="str">
        <x:v>STN-0124</x:v>
      </x:c>
      <x:c r="B89" s="28" t="str">
        <x:v>персик</x:v>
      </x:c>
      <x:c r="C89" s="28" t="str">
        <x:v>персик</x:v>
      </x:c>
      <x:c r="D89" s="28" t="str">
        <x:v>инжир</x:v>
      </x:c>
      <x:c r="E89" s="28" t="str">
        <x:v>Субтропические фрукты</x:v>
      </x:c>
      <x:c r="F89" s="28" t="str">
        <x:v>прямое или классовое перекрытие характерных одорантов + вкусовой баланс</x:v>
      </x:c>
      <x:c r="G8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бензальдегид, линалоол. Общие ароматические направления: цветочный, лактонный, зелёный.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низкая кислотность; семена дают хруст.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пектиновая и сахаристая; сушёный инжир концентрирует сахар, фенолы и карамельные ноты.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8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8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9" s="28" t="str">
        <x:v>напиток, соус, десерт или горячее блюдо после пробной дегустации</x:v>
      </x:c>
      <x:c r="K89" s="28" t="str">
        <x:v>Гипотеза / практическая</x:v>
      </x:c>
      <x:c r="L89" s="28" t="str">
        <x:v>Таблица сочетания(1).pdf</x:v>
      </x:c>
      <x:c r="M89" s="28" t="str">
        <x:v>Таблица сочетания(1).pdf: Таблица сочетаний: 15 | Таблица сочетания(1).pdf: 15</x:v>
      </x:c>
    </x:row>
    <x:row r="90" ht="64" customHeight="1">
      <x:c r="A90" s="28" t="str">
        <x:v>STN-0125</x:v>
      </x:c>
      <x:c r="B90" s="28" t="str">
        <x:v>персик</x:v>
      </x:c>
      <x:c r="C90" s="28" t="str">
        <x:v>персик</x:v>
      </x:c>
      <x:c r="D90" s="28" t="str">
        <x:v>каламонси</x:v>
      </x:c>
      <x:c r="E90" s="28" t="str">
        <x:v>Цитрусовые</x:v>
      </x:c>
      <x:c r="F90" s="28" t="str">
        <x:v>комплементарность ароматических семейств, вкусовой контраст и матричный эффект</x:v>
      </x:c>
      <x:c r="G9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Каламонси относится к группе «Цитрусовые» и даёт профиль «цитрусовый, зелёный, травяной, камфорный»; типичные соединения или классы: лимонен, гамма-терпинен, цитраль, бета-пинен, линалол. По доступным материалам нельзя уверенно свести совместимость к одной общей молекуле. Общие ароматические направления: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— водная кислая фаза; цедра — масляная терпеновая.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Лаймовые цитрусы дают более зелёный и камфорный профиль, чем сладкий апельсин..</x:v>
      </x:c>
      <x:c r="H9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Лаймовые цитрусы дают более зелёный и камфорный профиль, чем сладкий апельсин..</x:v>
      </x:c>
      <x:c r="I9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0" s="28" t="str">
        <x:v>сорбет, салат, джем, кордиал, лимонад, коктейль или фруктовый соус</x:v>
      </x:c>
      <x:c r="K90" s="28" t="str">
        <x:v>Гипотеза / практическая</x:v>
      </x:c>
      <x:c r="L90" s="28" t="str">
        <x:v>The Art &amp; Science of Foodpairing.pdf</x:v>
      </x:c>
      <x:c r="M90" s="28" t="str">
        <x:v>The Art &amp; Science of Foodpairing.pdf: The Art &amp; Science of Foodpairing.pdf: 142</x:v>
      </x:c>
    </x:row>
    <x:row r="91" ht="64" customHeight="1">
      <x:c r="A91" s="28" t="str">
        <x:v>STN-0126</x:v>
      </x:c>
      <x:c r="B91" s="28" t="str">
        <x:v>персик</x:v>
      </x:c>
      <x:c r="C91" s="28" t="str">
        <x:v>персик</x:v>
      </x:c>
      <x:c r="D91" s="28" t="str">
        <x:v>канталупа</x:v>
      </x:c>
      <x:c r="E91" s="28" t="str">
        <x:v>Бахчевые</x:v>
      </x:c>
      <x:c r="F91" s="28" t="str">
        <x:v>комплементарность ароматических семейств, вкусовой контраст и матричный эффект</x:v>
      </x:c>
      <x:c r="G9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Канталупа относится к группе «Бахчевые» и даёт профиль «интенсивно сладкий, мускусный, цветочный и зелёный»; типичные соединения или классы: этил-2-метилбутират, этилбутират, C9-альдегиды, тиоэфиры.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выраженная сладость и слабая кислотность.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мягкая; аромат быстро улетучивается после нарезки.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H9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I9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1" s="28" t="str">
        <x:v>напиток, соус, десерт или горячее блюдо после пробной дегустации</x:v>
      </x:c>
      <x:c r="K91" s="28" t="str">
        <x:v>Средняя</x:v>
      </x:c>
      <x:c r="L91" s="28" t="str">
        <x:v>The Art &amp; Science of Foodpairing.pdf</x:v>
      </x:c>
      <x:c r="M91" s="28" t="str">
        <x:v>The Art &amp; Science of Foodpairing.pdf: 260–261</x:v>
      </x:c>
    </x:row>
    <x:row r="92" ht="64" customHeight="1">
      <x:c r="A92" s="28" t="str">
        <x:v>STN-0127</x:v>
      </x:c>
      <x:c r="B92" s="28" t="str">
        <x:v>персик</x:v>
      </x:c>
      <x:c r="C92" s="28" t="str">
        <x:v>персик</x:v>
      </x:c>
      <x:c r="D92" s="28" t="str">
        <x:v>карамель</x:v>
      </x:c>
      <x:c r="E92" s="28" t="str">
        <x:v>Сахара, мёд и кондитерские основы</x:v>
      </x:c>
      <x:c r="F92" s="28" t="str">
        <x:v>комплементарность ароматических семейств, вкусовой контраст и матричный эффект</x:v>
      </x:c>
      <x:c r="G9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9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9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2" s="28" t="str">
        <x:v>напиток, соус, десерт или горячее блюдо после пробной дегустации</x:v>
      </x:c>
      <x:c r="K92" s="28" t="str">
        <x:v>Гипотеза / практическая</x:v>
      </x:c>
      <x:c r="L92" s="28" t="str">
        <x:v>Таблица сочетания(1).pdf</x:v>
      </x:c>
      <x:c r="M92" s="28" t="str">
        <x:v>Таблица сочетания(1).pdf: 15</x:v>
      </x:c>
    </x:row>
    <x:row r="93" ht="64" customHeight="1">
      <x:c r="A93" s="28" t="str">
        <x:v>STN-0128</x:v>
      </x:c>
      <x:c r="B93" s="28" t="str">
        <x:v>персик</x:v>
      </x:c>
      <x:c r="C93" s="28" t="str">
        <x:v>персик</x:v>
      </x:c>
      <x:c r="D93" s="28" t="str">
        <x:v>кедровый орех</x:v>
      </x:c>
      <x:c r="E93" s="28" t="str">
        <x:v>Орехи и семена</x:v>
      </x:c>
      <x:c r="F93" s="28" t="str">
        <x:v>прямое или классовое перекрытие характерных одорантов + вкусовой баланс</x:v>
      </x:c>
      <x:c r="G9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Кедровый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9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93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93" s="28" t="str">
        <x:v>тарт, крем, мороженое, выпечка, сырная подача или начинка</x:v>
      </x:c>
      <x:c r="K93" s="28" t="str">
        <x:v>Высокая</x:v>
      </x:c>
      <x:c r="L93" s="28" t="str">
        <x:v>The Art &amp; Science of Foodpairing.pdf | Таблица сочетания(1).pdf</x:v>
      </x:c>
      <x:c r="M93" s="28" t="str">
        <x:v>Таблица сочетания(1).pdf: 16 | The Art &amp; Science of Foodpairing.pdf: 260–261</x:v>
      </x:c>
    </x:row>
    <x:row r="94" ht="64" customHeight="1">
      <x:c r="A94" s="28" t="str">
        <x:v>STN-0130</x:v>
      </x:c>
      <x:c r="B94" s="28" t="str">
        <x:v>персик</x:v>
      </x:c>
      <x:c r="C94" s="28" t="str">
        <x:v>персик</x:v>
      </x:c>
      <x:c r="D94" s="28" t="str">
        <x:v>кефир</x:v>
      </x:c>
      <x:c r="E94" s="28" t="str">
        <x:v>Сыры и молочные продукты</x:v>
      </x:c>
      <x:c r="F94" s="28" t="str">
        <x:v>комплементарность ароматических семейств, вкусовой контраст и матричный эффект</x:v>
      </x:c>
      <x:c r="G9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Кефир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Общие ароматические направления: сливочный.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 Обработка: 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H94" s="28" t="str">
        <x:v>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I94" s="28" t="str">
        <x:v>незрелый плод ароматически беден; перезрелый быстро окисляется; косточки не использовать без безопасной технологии. Избыток кислоты может свернуть молочную основу; фрукт и сыр проверяют при рабочей температуре.</x:v>
      </x:c>
      <x:c r="J94" s="28" t="str">
        <x:v>тарт, крем, мороженое, выпечка, сырная подача или начинка</x:v>
      </x:c>
      <x:c r="K94" s="28" t="str">
        <x:v>Средняя</x:v>
      </x:c>
      <x:c r="L94" s="28" t="str">
        <x:v>The Art &amp; Science of Foodpairing.pdf</x:v>
      </x:c>
      <x:c r="M94" s="28" t="str">
        <x:v>The Art &amp; Science of Foodpairing.pdf: 260–261</x:v>
      </x:c>
    </x:row>
    <x:row r="95" ht="64" customHeight="1">
      <x:c r="A95" s="28" t="str">
        <x:v>STN-0131</x:v>
      </x:c>
      <x:c r="B95" s="28" t="str">
        <x:v>персик</x:v>
      </x:c>
      <x:c r="C95" s="28" t="str">
        <x:v>персик</x:v>
      </x:c>
      <x:c r="D95" s="28" t="str">
        <x:v>киви</x:v>
      </x:c>
      <x:c r="E95" s="28" t="str">
        <x:v>Тропические и субтропические фрукты</x:v>
      </x:c>
      <x:c r="F95" s="28" t="str">
        <x:v>прямое или классовое перекрытие характерных одорантов + вкусовой баланс</x:v>
      </x:c>
      <x:c r="G9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Киви относится к группе «Тропические и субтропические фрукты» и даёт профиль «зелёный, травянистый, цитрусовый, фруктовый и слегка морской»; типичные соединения или классы: гексаналь, (E)-2-гексеналь, этилбутират, метилбутират, линалоол; фермент актинидин. В рабочих профилях пересекаются: линалоол, гексаналь.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высокая кислотность, сладость и выраженная свежесть.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водная; содержит протеазу актинидин и кристаллы оксалата кальция.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H9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I9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5" s="28" t="str">
        <x:v>напиток, соус, десерт или горячее блюдо после пробной дегустации</x:v>
      </x:c>
      <x:c r="K95" s="28" t="str">
        <x:v>Средняя</x:v>
      </x:c>
      <x:c r="L95" s="28" t="str">
        <x:v>The Art &amp; Science of Foodpairing.pdf</x:v>
      </x:c>
      <x:c r="M95" s="28" t="str">
        <x:v>The Art &amp; Science of Foodpairing.pdf: 260–261</x:v>
      </x:c>
    </x:row>
    <x:row r="96" ht="64" customHeight="1">
      <x:c r="A96" s="28" t="str">
        <x:v>STN-0133</x:v>
      </x:c>
      <x:c r="B96" s="28" t="str">
        <x:v>персик</x:v>
      </x:c>
      <x:c r="C96" s="28" t="str">
        <x:v>персик</x:v>
      </x:c>
      <x:c r="D96" s="28" t="str">
        <x:v>кленовый сироп</x:v>
      </x:c>
      <x:c r="E96" s="28" t="str">
        <x:v>Сахара, мёд и кондитерские основы</x:v>
      </x:c>
      <x:c r="F96" s="28" t="str">
        <x:v>комплементарность ароматических семейств, вкусовой контраст и матричный эффект</x:v>
      </x:c>
      <x:c r="G9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9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9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6" s="28" t="str">
        <x:v>напиток, соус, десерт или горячее блюдо после пробной дегустации</x:v>
      </x:c>
      <x:c r="K96" s="28" t="str">
        <x:v>Гипотеза / практическая</x:v>
      </x:c>
      <x:c r="L96" s="28" t="str">
        <x:v>Таблица сочетания(1).pdf</x:v>
      </x:c>
      <x:c r="M96" s="28" t="str">
        <x:v>Таблица сочетания(1).pdf: 15</x:v>
      </x:c>
    </x:row>
    <x:row r="97" ht="64" customHeight="1">
      <x:c r="A97" s="28" t="str">
        <x:v>STN-0134</x:v>
      </x:c>
      <x:c r="B97" s="28" t="str">
        <x:v>персик</x:v>
      </x:c>
      <x:c r="C97" s="28" t="str">
        <x:v>персик</x:v>
      </x:c>
      <x:c r="D97" s="28" t="str">
        <x:v>клубника</x:v>
      </x:c>
      <x:c r="E97" s="28" t="str">
        <x:v>Ягоды</x:v>
      </x:c>
      <x:c r="F97" s="28" t="str">
        <x:v>комплементарность ароматических семейств, вкусовой контраст и матричный эффект</x:v>
      </x:c>
      <x:c r="G9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9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9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7" s="28" t="str">
        <x:v>сорбет, салат, джем, кордиал, лимонад, коктейль или фруктовый соус</x:v>
      </x:c>
      <x:c r="K97" s="28" t="str">
        <x:v>Высокая</x:v>
      </x:c>
      <x:c r="L97" s="28" t="str">
        <x:v>The Art &amp; Science of Foodpairing.pdf | Тезариус вкусов (Ники Сегнит)(1).pdf</x:v>
      </x:c>
      <x:c r="M97" s="28" t="str">
        <x:v>The Art &amp; Science of Foodpairing.pdf: Тезариус вкусов: 698, 751; The Art &amp; Science of Foodpairing: 71 | Тезариус вкусов (Ники Сегнит)(1).pdf: 698 | Тезариус вкусов (Ники Сегнит)(1).pdf: 751 | The Art &amp; Science of Foodpairing.pdf: 71</x:v>
      </x:c>
    </x:row>
    <x:row r="98" ht="64" customHeight="1">
      <x:c r="A98" s="28" t="str">
        <x:v>STN-0135</x:v>
      </x:c>
      <x:c r="B98" s="28" t="str">
        <x:v>персик</x:v>
      </x:c>
      <x:c r="C98" s="28" t="str">
        <x:v>персик</x:v>
      </x:c>
      <x:c r="D98" s="28" t="str">
        <x:v>клюква</x:v>
      </x:c>
      <x:c r="E98" s="28" t="str">
        <x:v>Ягоды</x:v>
      </x:c>
      <x:c r="F98" s="28" t="str">
        <x:v>комплементарность ароматических семейств, вкусовой контраст и матричный эффект</x:v>
      </x:c>
      <x:c r="G9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Клюква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9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9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8" s="28" t="str">
        <x:v>сорбет, салат, джем, кордиал, лимонад, коктейль или фруктовый соус</x:v>
      </x:c>
      <x:c r="K98" s="28" t="str">
        <x:v>Гипотеза / практическая</x:v>
      </x:c>
      <x:c r="L98" s="28" t="str">
        <x:v>Таблица сочетания(1).pdf</x:v>
      </x:c>
      <x:c r="M98" s="28" t="str">
        <x:v>Таблица сочетания(1).pdf: Таблица сочетаний: 6 | Таблица сочетания(1).pdf: 6</x:v>
      </x:c>
    </x:row>
    <x:row r="99" ht="64" customHeight="1">
      <x:c r="A99" s="28" t="str">
        <x:v>STN-0136</x:v>
      </x:c>
      <x:c r="B99" s="28" t="str">
        <x:v>персик</x:v>
      </x:c>
      <x:c r="C99" s="28" t="str">
        <x:v>персик</x:v>
      </x:c>
      <x:c r="D99" s="28" t="str">
        <x:v>кокос</x:v>
      </x:c>
      <x:c r="E99" s="28" t="str">
        <x:v>Тропические фрукты и жирные матрицы</x:v>
      </x:c>
      <x:c r="F99" s="28" t="str">
        <x:v>прямое или классовое перекрытие характерных одорантов + вкусовой баланс</x:v>
      </x:c>
      <x:c r="G9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В рабочих профилях пересекаются: декалактон.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богатая жиром эмульсия; хорошо растворяет гидрофобные терпены, специи и ароматические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9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9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9" s="28" t="str">
        <x:v>напиток, соус, десерт или горячее блюдо после пробной дегустации</x:v>
      </x:c>
      <x:c r="K99" s="28" t="str">
        <x:v>Высокая</x:v>
      </x:c>
      <x:c r="L99" s="28" t="str">
        <x:v>The Art &amp; Science of Foodpairing.pdf | Таблица сочетания(1).pdf</x:v>
      </x:c>
      <x:c r="M99" s="28" t="str">
        <x:v>The Art &amp; Science of Foodpairing.pdf: Таблица сочетаний: 15 | The Art &amp; Science of Foodpairing: 134 | Таблица сочетания(1).pdf: 15 | The Art &amp; Science of Foodpairing.pdf: 134</x:v>
      </x:c>
    </x:row>
    <x:row r="100" ht="64" customHeight="1">
      <x:c r="A100" s="28" t="str">
        <x:v>STN-0137</x:v>
      </x:c>
      <x:c r="B100" s="28" t="str">
        <x:v>персик</x:v>
      </x:c>
      <x:c r="C100" s="28" t="str">
        <x:v>персик</x:v>
      </x:c>
      <x:c r="D100" s="28" t="str">
        <x:v>корица</x:v>
      </x:c>
      <x:c r="E100" s="28" t="str">
        <x:v>Специи и острые компоненты</x:v>
      </x:c>
      <x:c r="F100" s="28" t="str">
        <x:v>комплементарность ароматических семейств, вкусовой контраст и матричный эффект</x:v>
      </x:c>
      <x:c r="G10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00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00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00" s="28" t="str">
        <x:v>напиток, соус, десерт или горячее блюдо после пробной дегустации</x:v>
      </x:c>
      <x:c r="K100" s="28" t="str">
        <x:v>Гипотеза / практическая</x:v>
      </x:c>
      <x:c r="L100" s="28" t="str">
        <x:v>Таблица сочетания(1).pdf</x:v>
      </x:c>
      <x:c r="M100" s="28" t="str">
        <x:v>Таблица сочетания(1).pdf: 15</x:v>
      </x:c>
    </x:row>
    <x:row r="101" ht="64" customHeight="1">
      <x:c r="A101" s="28" t="str">
        <x:v>STN-0139</x:v>
      </x:c>
      <x:c r="B101" s="28" t="str">
        <x:v>персик</x:v>
      </x:c>
      <x:c r="C101" s="28" t="str">
        <x:v>персик</x:v>
      </x:c>
      <x:c r="D101" s="28" t="str">
        <x:v>красный хабанеро</x:v>
      </x:c>
      <x:c r="E101" s="28" t="str">
        <x:v>Специи и острые компоненты</x:v>
      </x:c>
      <x:c r="F101" s="28" t="str">
        <x:v>комплементарность ароматических семейств, вкусовой контраст и матричный эффект</x:v>
      </x:c>
      <x:c r="G10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Красный хабанеро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101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101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01" s="28" t="str">
        <x:v>напиток, соус, десерт или горячее блюдо после пробной дегустации</x:v>
      </x:c>
      <x:c r="K101" s="28" t="str">
        <x:v>Средняя</x:v>
      </x:c>
      <x:c r="L101" s="28" t="str">
        <x:v>The Art &amp; Science of Foodpairing.pdf</x:v>
      </x:c>
      <x:c r="M101" s="28" t="str">
        <x:v>The Art &amp; Science of Foodpairing.pdf: 94 | The Art &amp; Science of Foodpairing.pdf: 95</x:v>
      </x:c>
    </x:row>
    <x:row r="102" ht="64" customHeight="1">
      <x:c r="A102" s="28" t="str">
        <x:v>STN-0140</x:v>
      </x:c>
      <x:c r="B102" s="28" t="str">
        <x:v>персик</x:v>
      </x:c>
      <x:c r="C102" s="28" t="str">
        <x:v>персик</x:v>
      </x:c>
      <x:c r="D102" s="28" t="str">
        <x:v>лаванда</x:v>
      </x:c>
      <x:c r="E102" s="28" t="str">
        <x:v>Травы и цветы</x:v>
      </x:c>
      <x:c r="F102" s="28" t="str">
        <x:v>прямое или классовое перекрытие характерных одорантов + вкусовой баланс</x:v>
      </x:c>
      <x:c r="G10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Лаванда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0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0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2" s="28" t="str">
        <x:v>напиток, соус, десерт или горячее блюдо после пробной дегустации</x:v>
      </x:c>
      <x:c r="K102" s="28" t="str">
        <x:v>Гипотеза / практическая</x:v>
      </x:c>
      <x:c r="L102" s="28" t="str">
        <x:v>Таблица сочетания(1).pdf</x:v>
      </x:c>
      <x:c r="M102" s="28" t="str">
        <x:v>Таблица сочетания(1).pdf: 11</x:v>
      </x:c>
    </x:row>
    <x:row r="103" ht="64" customHeight="1">
      <x:c r="A103" s="28" t="str">
        <x:v>STN-0141</x:v>
      </x:c>
      <x:c r="B103" s="28" t="str">
        <x:v>персик</x:v>
      </x:c>
      <x:c r="C103" s="28" t="str">
        <x:v>персик</x:v>
      </x:c>
      <x:c r="D103" s="28" t="str">
        <x:v>лемонграсс</x:v>
      </x:c>
      <x:c r="E103" s="28" t="str">
        <x:v>Травы и цветы</x:v>
      </x:c>
      <x:c r="F103" s="28" t="str">
        <x:v>прямое или классовое перекрытие характерных одорантов + вкусовой баланс</x:v>
      </x:c>
      <x:c r="G10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Лемонграсс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0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0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3" s="28" t="str">
        <x:v>напиток, соус, десерт или горячее блюдо после пробной дегустации</x:v>
      </x:c>
      <x:c r="K103" s="28" t="str">
        <x:v>Высокая</x:v>
      </x:c>
      <x:c r="L103" s="28" t="str">
        <x:v>The Art &amp; Science of Foodpairing.pdf | Таблица сочетания(1).pdf</x:v>
      </x:c>
      <x:c r="M103" s="28" t="str">
        <x:v>Таблица сочетания(1).pdf: 11 | The Art &amp; Science of Foodpairing.pdf: 144</x:v>
      </x:c>
    </x:row>
    <x:row r="104" ht="64" customHeight="1">
      <x:c r="A104" s="28" t="str">
        <x:v>STN-0143</x:v>
      </x:c>
      <x:c r="B104" s="28" t="str">
        <x:v>персик</x:v>
      </x:c>
      <x:c r="C104" s="28" t="str">
        <x:v>персик</x:v>
      </x:c>
      <x:c r="D104" s="28" t="str">
        <x:v>лист шисо</x:v>
      </x:c>
      <x:c r="E104" s="28" t="str">
        <x:v>Травы, листья и цветы</x:v>
      </x:c>
      <x:c r="F104" s="28" t="str">
        <x:v>прямое или классовое перекрытие характерных одорантов + вкусовой баланс</x:v>
      </x:c>
      <x:c r="G10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Лист шисо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104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10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4" s="28" t="str">
        <x:v>напиток, соус, десерт или горячее блюдо после пробной дегустации</x:v>
      </x:c>
      <x:c r="K104" s="28" t="str">
        <x:v>Средняя</x:v>
      </x:c>
      <x:c r="L104" s="28" t="str">
        <x:v>The Art &amp; Science of Foodpairing.pdf</x:v>
      </x:c>
      <x:c r="M104" s="28" t="str">
        <x:v>The Art &amp; Science of Foodpairing.pdf: 260–261</x:v>
      </x:c>
    </x:row>
    <x:row r="105" ht="64" customHeight="1">
      <x:c r="A105" s="28" t="str">
        <x:v>STN-0144</x:v>
      </x:c>
      <x:c r="B105" s="28" t="str">
        <x:v>персик</x:v>
      </x:c>
      <x:c r="C105" s="28" t="str">
        <x:v>персик</x:v>
      </x:c>
      <x:c r="D105" s="28" t="str">
        <x:v>листья кориандра</x:v>
      </x:c>
      <x:c r="E105" s="28" t="str">
        <x:v>Травы/пряности</x:v>
      </x:c>
      <x:c r="F105" s="28" t="str">
        <x:v>комплементарность ароматических семейств, вкусовой контраст и матричный эффект</x:v>
      </x:c>
      <x:c r="G10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Листья кориандра относится к группе «Травы/пряности» и даёт профиль «цитрусовый, зелёный, цветочный»; типичные соединения или классы: линалол, деканаль, додеканаль.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травяной, слегка горький.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листья чувствительны к нагреву; семена устойчивее и слаще.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H10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I10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5" s="28" t="str">
        <x:v>напиток, соус, десерт или горячее блюдо после пробной дегустации</x:v>
      </x:c>
      <x:c r="K105" s="28" t="str">
        <x:v>Средняя</x:v>
      </x:c>
      <x:c r="L105" s="28" t="str">
        <x:v>The Art &amp; Science of Foodpairing.pdf</x:v>
      </x:c>
      <x:c r="M105" s="28" t="str">
        <x:v>The Art &amp; Science of Foodpairing.pdf: 98 | The Art &amp; Science of Foodpairing.pdf: 260–261</x:v>
      </x:c>
    </x:row>
    <x:row r="106" ht="64" customHeight="1">
      <x:c r="A106" s="28" t="str">
        <x:v>STN-0145</x:v>
      </x:c>
      <x:c r="B106" s="28" t="str">
        <x:v>персик</x:v>
      </x:c>
      <x:c r="C106" s="28" t="str">
        <x:v>персик</x:v>
      </x:c>
      <x:c r="D106" s="28" t="str">
        <x:v>листья пажитника</x:v>
      </x:c>
      <x:c r="E106" s="28" t="str">
        <x:v>Травы и цветы</x:v>
      </x:c>
      <x:c r="F106" s="28" t="str">
        <x:v>прямое или классовое перекрытие характерных одорантов + вкусовой баланс</x:v>
      </x:c>
      <x:c r="G10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Листья пажитника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0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0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6" s="28" t="str">
        <x:v>напиток, соус, десерт или горячее блюдо после пробной дегустации</x:v>
      </x:c>
      <x:c r="K106" s="28" t="str">
        <x:v>Средняя</x:v>
      </x:c>
      <x:c r="L106" s="28" t="str">
        <x:v>The Art &amp; Science of Foodpairing.pdf</x:v>
      </x:c>
      <x:c r="M106" s="28" t="str">
        <x:v>The Art &amp; Science of Foodpairing.pdf: 260–261</x:v>
      </x:c>
    </x:row>
    <x:row r="107" ht="64" customHeight="1">
      <x:c r="A107" s="28" t="str">
        <x:v>STN-0146</x:v>
      </x:c>
      <x:c r="B107" s="28" t="str">
        <x:v>персик</x:v>
      </x:c>
      <x:c r="C107" s="28" t="str">
        <x:v>персик</x:v>
      </x:c>
      <x:c r="D107" s="28" t="str">
        <x:v>личи</x:v>
      </x:c>
      <x:c r="E107" s="28" t="str">
        <x:v>Тропические фрукты</x:v>
      </x:c>
      <x:c r="F107" s="28" t="str">
        <x:v>прямое или классовое перекрытие характерных одорантов + вкусовой баланс</x:v>
      </x:c>
      <x:c r="G10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Личи относится к группе «Тропические фрукты» и даёт профиль «розовый, цветочный, виноградный и цитрусовый»; типичные соединения или классы: цис- и транс-розовый оксид, линалоол, гераниол, цитронеллол. В рабочих профилях пересекаются: линалоол.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чистая сладость, мягкая кислотность.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водная; цветочные терпены чувствительны к нагреву.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H10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I10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7" s="28" t="str">
        <x:v>напиток, соус, десерт или горячее блюдо после пробной дегустации</x:v>
      </x:c>
      <x:c r="K107" s="28" t="str">
        <x:v>Средняя</x:v>
      </x:c>
      <x:c r="L107" s="28" t="str">
        <x:v>The Art &amp; Science of Foodpairing.pdf</x:v>
      </x:c>
      <x:c r="M107" s="28" t="str">
        <x:v>The Art &amp; Science of Foodpairing.pdf: 260–261</x:v>
      </x:c>
    </x:row>
    <x:row r="108" ht="64" customHeight="1">
      <x:c r="A108" s="28" t="str">
        <x:v>STN-0147</x:v>
      </x:c>
      <x:c r="B108" s="28" t="str">
        <x:v>персик</x:v>
      </x:c>
      <x:c r="C108" s="28" t="str">
        <x:v>персик</x:v>
      </x:c>
      <x:c r="D108" s="28" t="str">
        <x:v>макадамия</x:v>
      </x:c>
      <x:c r="E108" s="28" t="str">
        <x:v>Орехи и семена</x:v>
      </x:c>
      <x:c r="F108" s="28" t="str">
        <x:v>прямое или классовое перекрытие характерных одорантов + вкусовой баланс</x:v>
      </x:c>
      <x:c r="G10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Макадамия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10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108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08" s="28" t="str">
        <x:v>тарт, крем, мороженое, выпечка, сырная подача или начинка</x:v>
      </x:c>
      <x:c r="K108" s="28" t="str">
        <x:v>Гипотеза / практическая</x:v>
      </x:c>
      <x:c r="L108" s="28" t="str">
        <x:v>Таблица сочетания(1).pdf</x:v>
      </x:c>
      <x:c r="M108" s="28" t="str">
        <x:v>Таблица сочетания(1).pdf: 12</x:v>
      </x:c>
    </x:row>
    <x:row r="109" ht="64" customHeight="1">
      <x:c r="A109" s="28" t="str">
        <x:v>STN-0148</x:v>
      </x:c>
      <x:c r="B109" s="28" t="str">
        <x:v>персик</x:v>
      </x:c>
      <x:c r="C109" s="28" t="str">
        <x:v>персик</x:v>
      </x:c>
      <x:c r="D109" s="28" t="str">
        <x:v>малина</x:v>
      </x:c>
      <x:c r="E109" s="28" t="str">
        <x:v>Ягоды</x:v>
      </x:c>
      <x:c r="F109" s="28" t="str">
        <x:v>комплементарность ароматических семейств, вкусовой контраст и матричный эффект</x:v>
      </x:c>
      <x:c r="G10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0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0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9" s="28" t="str">
        <x:v>сорбет, салат, джем, кордиал, лимонад, коктейль или фруктовый соус</x:v>
      </x:c>
      <x:c r="K109" s="28" t="str">
        <x:v>Высокая</x:v>
      </x:c>
      <x:c r="L109" s="28" t="str">
        <x:v>The Art &amp; Science of Foodpairing.pdf | Таблица сочетания(1).pdf | Тезариус вкусов (Ники Сегнит)(1).pdf</x:v>
      </x:c>
      <x:c r="M109" s="28" t="str">
        <x:v>The Art &amp; Science of Foodpairing.pdf: Тезариус вкусов: 751, 889; The Art &amp; Science of Foodpairing: 261; Таблица сочетаний: 19 | Таблица сочетания(1).pdf: 19 | Тезариус вкусов (Ники Сегнит)(1).pdf: 751 | Тезариус вкусов (Ники Сегнит)(1).pdf: 889 | The Art &amp; Science of Foodpairing.pdf: 338 | The Art &amp; Science of Foodpairing.pdf: 260–261</x:v>
      </x:c>
    </x:row>
    <x:row r="110" ht="64" customHeight="1">
      <x:c r="A110" s="28" t="str">
        <x:v>STN-0149</x:v>
      </x:c>
      <x:c r="B110" s="28" t="str">
        <x:v>персик</x:v>
      </x:c>
      <x:c r="C110" s="28" t="str">
        <x:v>персик</x:v>
      </x:c>
      <x:c r="D110" s="28" t="str">
        <x:v>манго</x:v>
      </x:c>
      <x:c r="E110" s="28" t="str">
        <x:v>Тропические фрукты</x:v>
      </x:c>
      <x:c r="F110" s="28" t="str">
        <x:v>прямое или классовое перекрытие характерных одорантов + вкусовой баланс</x:v>
      </x:c>
      <x:c r="G11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Манго относится к группе «Тропические фрукты» и даёт профиль «тропический, смолистый, цитрусовый, цветочный, сливочный; сильно зависит от сорта»; типичные соединения или классы: δ-3-карен, лимонен, мирцен, линалоол, γ- и δ-лактоны, фруктовые эфиры. В рабочих профилях пересекаются: линалоол. Общие ароматические направления: цветочный, сливочный.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умеренная кислотность, иногда смолистая горечь кожицы.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мякоть вязкая и богатая каротиноидами; ароматические терпены и лактоны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H11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I11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0" s="28" t="str">
        <x:v>напиток, соус, десерт или горячее блюдо после пробной дегустации</x:v>
      </x:c>
      <x:c r="K110" s="28" t="str">
        <x:v>Средняя</x:v>
      </x:c>
      <x:c r="L110" s="28" t="str">
        <x:v>Тезариус вкусов (Ники Сегнит)(1).pdf</x:v>
      </x:c>
      <x:c r="M110" s="28" t="str">
        <x:v>Тезариус вкусов (Ники Сегнит)(1).pdf: Тезаурус вкусов: 767, 751 | Тезариус вкусов (Ники Сегнит)(1).pdf: 751 | Тезариус вкусов (Ники Сегнит)(1).pdf: 767</x:v>
      </x:c>
    </x:row>
    <x:row r="111" ht="64" customHeight="1">
      <x:c r="A111" s="28" t="str">
        <x:v>STN-0150</x:v>
      </x:c>
      <x:c r="B111" s="28" t="str">
        <x:v>персик</x:v>
      </x:c>
      <x:c r="C111" s="28" t="str">
        <x:v>персик</x:v>
      </x:c>
      <x:c r="D111" s="28" t="str">
        <x:v>мандарин</x:v>
      </x:c>
      <x:c r="E111" s="28" t="str">
        <x:v>Цитрусовые</x:v>
      </x:c>
      <x:c r="F111" s="28" t="str">
        <x:v>прямое или классовое перекрытие характерных одорантов + вкусовой баланс</x:v>
      </x:c>
      <x:c r="G11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Мандарин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 и кислый, цедра содержит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11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11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1" s="28" t="str">
        <x:v>сорбет, салат, джем, кордиал, лимонад, коктейль или фруктовый соус</x:v>
      </x:c>
      <x:c r="K111" s="28" t="str">
        <x:v>Средняя</x:v>
      </x:c>
      <x:c r="L111" s="28" t="str">
        <x:v>The Art &amp; Science of Foodpairing.pdf</x:v>
      </x:c>
      <x:c r="M111" s="28" t="str">
        <x:v>The Art &amp; Science of Foodpairing.pdf: 260–261</x:v>
      </x:c>
    </x:row>
    <x:row r="112" ht="64" customHeight="1">
      <x:c r="A112" s="28" t="str">
        <x:v>STN-0151</x:v>
      </x:c>
      <x:c r="B112" s="28" t="str">
        <x:v>персик</x:v>
      </x:c>
      <x:c r="C112" s="28" t="str">
        <x:v>персик</x:v>
      </x:c>
      <x:c r="D112" s="28" t="str">
        <x:v>мед</x:v>
      </x:c>
      <x:c r="E112" s="28" t="str">
        <x:v>Сахара, мёд и кондитерские основы</x:v>
      </x:c>
      <x:c r="F112" s="28" t="str">
        <x:v>комплементарность ароматических семейств, вкусовой контраст и матричный эффект</x:v>
      </x:c>
      <x:c r="G11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11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11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2" s="28" t="str">
        <x:v>напиток, соус, десерт или горячее блюдо после пробной дегустации</x:v>
      </x:c>
      <x:c r="K112" s="28" t="str">
        <x:v>Гипотеза / практическая</x:v>
      </x:c>
      <x:c r="L112" s="28" t="str">
        <x:v>Таблица сочетания(1).pdf</x:v>
      </x:c>
      <x:c r="M112" s="28" t="str">
        <x:v>Таблица сочетания(1).pdf: 9 | Таблица сочетания(1).pdf: 15</x:v>
      </x:c>
    </x:row>
    <x:row r="113" ht="64" customHeight="1">
      <x:c r="A113" s="28" t="str">
        <x:v>STN-0152</x:v>
      </x:c>
      <x:c r="B113" s="28" t="str">
        <x:v>персик</x:v>
      </x:c>
      <x:c r="C113" s="28" t="str">
        <x:v>персик</x:v>
      </x:c>
      <x:c r="D113" s="28" t="str">
        <x:v>миндаль</x:v>
      </x:c>
      <x:c r="E113" s="28" t="str">
        <x:v>Орехи и семена</x:v>
      </x:c>
      <x:c r="F113" s="28" t="str">
        <x:v>прямое или классовое перекрытие характерных одорантов + вкусовой баланс</x:v>
      </x:c>
      <x:c r="G11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Миндаль относится к группе «Орехи и семена» и даёт профиль «марципановый и ореховый»; типичные соединения или классы: бензальдегид, пиразины после обжарки.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11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113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13" s="28" t="str">
        <x:v>тарт, крем, мороженое, выпечка, сырная подача или начинка</x:v>
      </x:c>
      <x:c r="K113" s="28" t="str">
        <x:v>Высокая</x:v>
      </x:c>
      <x:c r="L113" s="28" t="str">
        <x:v>The Art &amp; Science of Foodpairing.pdf | Таблица сочетания(1).pdf | Тезариус вкусов (Ники Сегнит)(1).pdf</x:v>
      </x:c>
      <x:c r="M113" s="28" t="str">
        <x:v>Таблица сочетания(1).pdf: 1 | Таблица сочетания(1).pdf: 15 | Тезариус вкусов (Ники Сегнит)(1).pdf: 646 | Тезариус вкусов (Ники Сегнит)(1).pdf: 751 | The Art &amp; Science of Foodpairing.pdf: 260–261</x:v>
      </x:c>
    </x:row>
    <x:row r="114" ht="64" customHeight="1">
      <x:c r="A114" s="28" t="str">
        <x:v>STN-0153</x:v>
      </x:c>
      <x:c r="B114" s="28" t="str">
        <x:v>персик</x:v>
      </x:c>
      <x:c r="C114" s="28" t="str">
        <x:v>персик</x:v>
      </x:c>
      <x:c r="D114" s="28" t="str">
        <x:v>момбин желтый</x:v>
      </x:c>
      <x:c r="E114" s="28" t="str">
        <x:v>Фрукты</x:v>
      </x:c>
      <x:c r="F114" s="28" t="str">
        <x:v>комплементарность ароматических семейств, вкусовой контраст и матричный эффект</x:v>
      </x:c>
      <x:c r="G11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Момбин желтый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1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1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4" s="28" t="str">
        <x:v>сорбет, салат, джем, кордиал, лимонад, коктейль или фруктовый соус</x:v>
      </x:c>
      <x:c r="K114" s="28" t="str">
        <x:v>Средняя</x:v>
      </x:c>
      <x:c r="L114" s="28" t="str">
        <x:v>The Art &amp; Science of Foodpairing.pdf</x:v>
      </x:c>
      <x:c r="M114" s="28" t="str">
        <x:v>The Art &amp; Science of Foodpairing.pdf: 260–261</x:v>
      </x:c>
    </x:row>
    <x:row r="115" ht="64" customHeight="1">
      <x:c r="A115" s="28" t="str">
        <x:v>STN-0154</x:v>
      </x:c>
      <x:c r="B115" s="28" t="str">
        <x:v>персик</x:v>
      </x:c>
      <x:c r="C115" s="28" t="str">
        <x:v>персик</x:v>
      </x:c>
      <x:c r="D115" s="28" t="str">
        <x:v>моцарелла из коровьего молока</x:v>
      </x:c>
      <x:c r="E115" s="28" t="str">
        <x:v>Сыры и молочные продукты</x:v>
      </x:c>
      <x:c r="F115" s="28" t="str">
        <x:v>комплементарность ароматических семейств, вкусовой контраст и матричный эффект</x:v>
      </x:c>
      <x:c r="G11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Моцарелла из коровьего молока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Общие ароматические направления: сливочный.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 Обработка: 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H115" s="28" t="str">
        <x:v>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I115" s="28" t="str">
        <x:v>незрелый плод ароматически беден; перезрелый быстро окисляется; косточки не использовать без безопасной технологии. Избыток кислоты может свернуть молочную основу; фрукт и сыр проверяют при рабочей температуре.</x:v>
      </x:c>
      <x:c r="J115" s="28" t="str">
        <x:v>тарт, крем, мороженое, выпечка, сырная подача или начинка</x:v>
      </x:c>
      <x:c r="K115" s="28" t="str">
        <x:v>Средняя</x:v>
      </x:c>
      <x:c r="L115" s="28" t="str">
        <x:v>The Art &amp; Science of Foodpairing.pdf</x:v>
      </x:c>
      <x:c r="M115" s="28" t="str">
        <x:v>The Art &amp; Science of Foodpairing.pdf: 260–261</x:v>
      </x:c>
    </x:row>
    <x:row r="116" ht="64" customHeight="1">
      <x:c r="A116" s="28" t="str">
        <x:v>STN-0155</x:v>
      </x:c>
      <x:c r="B116" s="28" t="str">
        <x:v>персик</x:v>
      </x:c>
      <x:c r="C116" s="28" t="str">
        <x:v>персик</x:v>
      </x:c>
      <x:c r="D116" s="28" t="str">
        <x:v>мускатный орех</x:v>
      </x:c>
      <x:c r="E116" s="28" t="str">
        <x:v>Орехи и семена</x:v>
      </x:c>
      <x:c r="F116" s="28" t="str">
        <x:v>прямое или классовое перекрытие характерных одорантов + вкусовой баланс</x:v>
      </x:c>
      <x:c r="G11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Мускатный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11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116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16" s="28" t="str">
        <x:v>тарт, крем, мороженое, выпечка, сырная подача или начинка</x:v>
      </x:c>
      <x:c r="K116" s="28" t="str">
        <x:v>Средняя</x:v>
      </x:c>
      <x:c r="L116" s="28" t="str">
        <x:v>The Art &amp; Science of Foodpairing.pdf</x:v>
      </x:c>
      <x:c r="M116" s="28" t="str">
        <x:v>The Art &amp; Science of Foodpairing.pdf: 260–261</x:v>
      </x:c>
    </x:row>
    <x:row r="117" ht="64" customHeight="1">
      <x:c r="A117" s="28" t="str">
        <x:v>STN-0156</x:v>
      </x:c>
      <x:c r="B117" s="28" t="str">
        <x:v>персик</x:v>
      </x:c>
      <x:c r="C117" s="28" t="str">
        <x:v>персик</x:v>
      </x:c>
      <x:c r="D117" s="28" t="str">
        <x:v>мушмула японская</x:v>
      </x:c>
      <x:c r="E117" s="28" t="str">
        <x:v>Фрукты</x:v>
      </x:c>
      <x:c r="F117" s="28" t="str">
        <x:v>комплементарность ароматических семейств, вкусовой контраст и матричный эффект</x:v>
      </x:c>
      <x:c r="G11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Мушмула японская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1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1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7" s="28" t="str">
        <x:v>сорбет, салат, джем, кордиал, лимонад, коктейль или фруктовый соус</x:v>
      </x:c>
      <x:c r="K117" s="28" t="str">
        <x:v>Средняя</x:v>
      </x:c>
      <x:c r="L117" s="28" t="str">
        <x:v>The Art &amp; Science of Foodpairing.pdf</x:v>
      </x:c>
      <x:c r="M117" s="28" t="str">
        <x:v>The Art &amp; Science of Foodpairing.pdf: 260–261</x:v>
      </x:c>
    </x:row>
    <x:row r="118" ht="64" customHeight="1">
      <x:c r="A118" s="28" t="str">
        <x:v>STN-0157</x:v>
      </x:c>
      <x:c r="B118" s="28" t="str">
        <x:v>персик</x:v>
      </x:c>
      <x:c r="C118" s="28" t="str">
        <x:v>персик</x:v>
      </x:c>
      <x:c r="D118" s="28" t="str">
        <x:v>мята</x:v>
      </x:c>
      <x:c r="E118" s="28" t="str">
        <x:v>Травы и цветы</x:v>
      </x:c>
      <x:c r="F118" s="28" t="str">
        <x:v>комплементарность ароматических семейств, вкусовой контраст и матричный эффект</x:v>
      </x:c>
      <x:c r="G11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1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1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8" s="28" t="str">
        <x:v>напиток, соус, десерт или горячее блюдо после пробной дегустации</x:v>
      </x:c>
      <x:c r="K118" s="28" t="str">
        <x:v>Гипотеза / практическая</x:v>
      </x:c>
      <x:c r="L118" s="28" t="str">
        <x:v>Таблица сочетания(1).pdf</x:v>
      </x:c>
      <x:c r="M118" s="28" t="str">
        <x:v>Таблица сочетания(1).pdf: 13 | Таблица сочетания(1).pdf: 15</x:v>
      </x:c>
    </x:row>
    <x:row r="119" ht="64" customHeight="1">
      <x:c r="A119" s="28" t="str">
        <x:v>STN-0158</x:v>
      </x:c>
      <x:c r="B119" s="28" t="str">
        <x:v>персик</x:v>
      </x:c>
      <x:c r="C119" s="28" t="str">
        <x:v>персик</x:v>
      </x:c>
      <x:c r="D119" s="28" t="str">
        <x:v>нектарин</x:v>
      </x:c>
      <x:c r="E119" s="28" t="str">
        <x:v>Косточковые фрукты</x:v>
      </x:c>
      <x:c r="F119" s="28" t="str">
        <x:v>прямое или классовое перекрытие характерных одорантов + вкусовой баланс</x:v>
      </x:c>
      <x:c r="G11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Нектарин относится к группе «Косточковые фрукты» и даёт профиль «персиковый, фруктовый, цветочный, зелёный, сливочно-лактонный»; типичные соединения или классы: γ- и δ-декалактон, γ- и δ-додекалактон, фруктовые эфиры, линалоол, бензальдегид, C6-альдегиды. В рабочих профилях пересекаются: бензальдегид, линалоол, декалактон, додекалактон. Общие ароматические направления: цветочный, лактонный, зелёный. Базовый фрукт даёт: выраженная сладость, умеренная кислотность; беломякотные сорта обычно слаще и мягче по кислоте. Партнёр добавляет: сладкий, сочный, с умеренной кислотностью; профиль близок к персику, но кожица гладкая и часто более ярко-фруктовая.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водно-пектиновая; гидрофобные лактоны лучше проявляются в жире 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H11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I11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9" s="28" t="str">
        <x:v>напиток, соус, десерт или горячее блюдо после пробной дегустации</x:v>
      </x:c>
      <x:c r="K119" s="28" t="str">
        <x:v>Высокая</x:v>
      </x:c>
      <x:c r="L119" s="28" t="str">
        <x:v>The Art &amp; Science of Foodpairing.pdf | Таблица сочетания(1).pdf</x:v>
      </x:c>
      <x:c r="M119" s="28" t="str">
        <x:v>Таблица сочетания(1).pdf: 14 | Таблица сочетания(1).pdf: 15 | The Art &amp; Science of Foodpairing.pdf: 260 | The Art &amp; Science of Foodpairing.pdf: 260–261</x:v>
      </x:c>
    </x:row>
    <x:row r="120" ht="64" customHeight="1">
      <x:c r="A120" s="28" t="str">
        <x:v>STN-0159</x:v>
      </x:c>
      <x:c r="B120" s="28" t="str">
        <x:v>персик</x:v>
      </x:c>
      <x:c r="C120" s="28" t="str">
        <x:v>персик</x:v>
      </x:c>
      <x:c r="D120" s="28" t="str">
        <x:v>обжаренные миндальные лепестки</x:v>
      </x:c>
      <x:c r="E120" s="28" t="str">
        <x:v>Орехи и семена</x:v>
      </x:c>
      <x:c r="F120" s="28" t="str">
        <x:v>прямое или классовое перекрытие характерных одорантов + вкусовой баланс</x:v>
      </x:c>
      <x:c r="G12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Обжаренные миндальные лепестки относится к группе «Орехи и семена» и даёт профиль «ореховый, жареный, древесный, иногда миндальный»; типичные соединения или классы: бензальдегид, пиразины, фураны, лактоны и липидные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2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20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20" s="28" t="str">
        <x:v>тарт, крем, мороженое, выпечка, сырная подача или начинка</x:v>
      </x:c>
      <x:c r="K120" s="28" t="str">
        <x:v>Средняя</x:v>
      </x:c>
      <x:c r="L120" s="28" t="str">
        <x:v>The Art &amp; Science of Foodpairing.pdf</x:v>
      </x:c>
      <x:c r="M120" s="28" t="str">
        <x:v>The Art &amp; Science of Foodpairing.pdf: 260–261</x:v>
      </x:c>
    </x:row>
    <x:row r="121" ht="64" customHeight="1">
      <x:c r="A121" s="28" t="str">
        <x:v>STN-0160</x:v>
      </x:c>
      <x:c r="B121" s="28" t="str">
        <x:v>персик</x:v>
      </x:c>
      <x:c r="C121" s="28" t="str">
        <x:v>персик</x:v>
      </x:c>
      <x:c r="D121" s="28" t="str">
        <x:v>обжаренный bacon</x:v>
      </x:c>
      <x:c r="E121" s="28" t="str">
        <x:v>Прочее</x:v>
      </x:c>
      <x:c r="F121" s="28" t="str">
        <x:v>комплементарность ароматических семейств, вкусовой контраст и матричный эффект</x:v>
      </x:c>
      <x:c r="G12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bacon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2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2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1" s="28" t="str">
        <x:v>напиток, соус, десерт или горячее блюдо после пробной дегустации</x:v>
      </x:c>
      <x:c r="K121" s="28" t="str">
        <x:v>Средняя</x:v>
      </x:c>
      <x:c r="L121" s="28" t="str">
        <x:v>The Art &amp; Science of Foodpairing.pdf</x:v>
      </x:c>
      <x:c r="M121" s="28" t="str">
        <x:v>The Art &amp; Science of Foodpairing.pdf: 260–261</x:v>
      </x:c>
    </x:row>
    <x:row r="122" ht="64" customHeight="1">
      <x:c r="A122" s="28" t="str">
        <x:v>STN-0161</x:v>
      </x:c>
      <x:c r="B122" s="28" t="str">
        <x:v>персик</x:v>
      </x:c>
      <x:c r="C122" s="28" t="str">
        <x:v>персик</x:v>
      </x:c>
      <x:c r="D122" s="28" t="str">
        <x:v>обжаренный duck breast</x:v>
      </x:c>
      <x:c r="E122" s="28" t="str">
        <x:v>Прочее</x:v>
      </x:c>
      <x:c r="F122" s="28" t="str">
        <x:v>комплементарность ароматических семейств, вкусовой контраст и матричный эффект</x:v>
      </x:c>
      <x:c r="G12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duck breast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2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2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2" s="28" t="str">
        <x:v>напиток, соус, десерт или горячее блюдо после пробной дегустации</x:v>
      </x:c>
      <x:c r="K122" s="28" t="str">
        <x:v>Средняя</x:v>
      </x:c>
      <x:c r="L122" s="28" t="str">
        <x:v>The Art &amp; Science of Foodpairing.pdf</x:v>
      </x:c>
      <x:c r="M122" s="28" t="str">
        <x:v>The Art &amp; Science of Foodpairing.pdf: 260–261</x:v>
      </x:c>
    </x:row>
    <x:row r="123" ht="64" customHeight="1">
      <x:c r="A123" s="28" t="str">
        <x:v>STN-0162</x:v>
      </x:c>
      <x:c r="B123" s="28" t="str">
        <x:v>персик</x:v>
      </x:c>
      <x:c r="C123" s="28" t="str">
        <x:v>персик</x:v>
      </x:c>
      <x:c r="D123" s="28" t="str">
        <x:v>обжаренный кунжут</x:v>
      </x:c>
      <x:c r="E123" s="28" t="str">
        <x:v>Орехи и семена</x:v>
      </x:c>
      <x:c r="F123" s="28" t="str">
        <x:v>прямое или классовое перекрытие характерных одорантов + вкусовой баланс</x:v>
      </x:c>
      <x:c r="G12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кунжут относится к группе «Орехи и семена» и даёт профиль «ореховый, жареный, древесный, иногда миндальный»; типичные соединения или классы: бензальдегид, пиразины, фураны, лактоны и липидные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2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23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23" s="28" t="str">
        <x:v>тарт, крем, мороженое, выпечка, сырная подача или начинка</x:v>
      </x:c>
      <x:c r="K123" s="28" t="str">
        <x:v>Средняя</x:v>
      </x:c>
      <x:c r="L123" s="28" t="str">
        <x:v>The Art &amp; Science of Foodpairing.pdf</x:v>
      </x:c>
      <x:c r="M123" s="28" t="str">
        <x:v>The Art &amp; Science of Foodpairing.pdf: 309</x:v>
      </x:c>
    </x:row>
    <x:row r="124" ht="64" customHeight="1">
      <x:c r="A124" s="28" t="str">
        <x:v>STN-0164</x:v>
      </x:c>
      <x:c r="B124" s="28" t="str">
        <x:v>персик</x:v>
      </x:c>
      <x:c r="C124" s="28" t="str">
        <x:v>персик</x:v>
      </x:c>
      <x:c r="D124" s="28" t="str">
        <x:v>оливковое масло</x:v>
      </x:c>
      <x:c r="E124" s="28" t="str">
        <x:v>Молочные продукты и сыры</x:v>
      </x:c>
      <x:c r="F124" s="28" t="str">
        <x:v>комплементарность ароматических семейств, вкусовой контраст и матричный эффект</x:v>
      </x:c>
      <x:c r="G12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жирный, кислый/солёный.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жировая и белковая матрица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2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2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4" s="28" t="str">
        <x:v>напиток, соус, десерт или горячее блюдо после пробной дегустации</x:v>
      </x:c>
      <x:c r="K124" s="28" t="str">
        <x:v>Средняя</x:v>
      </x:c>
      <x:c r="L124" s="28" t="str">
        <x:v>The Art &amp; Science of Foodpairing.pdf</x:v>
      </x:c>
      <x:c r="M124" s="28" t="str">
        <x:v>The Art &amp; Science of Foodpairing.pdf: 172</x:v>
      </x:c>
    </x:row>
    <x:row r="125" ht="64" customHeight="1">
      <x:c r="A125" s="28" t="str">
        <x:v>STN-0165</x:v>
      </x:c>
      <x:c r="B125" s="28" t="str">
        <x:v>персик</x:v>
      </x:c>
      <x:c r="C125" s="28" t="str">
        <x:v>персик</x:v>
      </x:c>
      <x:c r="D125" s="28" t="str">
        <x:v>оливковое масло арбекина</x:v>
      </x:c>
      <x:c r="E125" s="28" t="str">
        <x:v>Прочее</x:v>
      </x:c>
      <x:c r="F125" s="28" t="str">
        <x:v>комплементарность ароматических семейств, вкусовой контраст и матричный эффект</x:v>
      </x:c>
      <x:c r="G12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Оливковое масло арбекина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баланс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матрица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2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2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5" s="28" t="str">
        <x:v>напиток, соус, десерт или горячее блюдо после пробной дегустации</x:v>
      </x:c>
      <x:c r="K125" s="28" t="str">
        <x:v>Средняя</x:v>
      </x:c>
      <x:c r="L125" s="28" t="str">
        <x:v>The Art &amp; Science of Foodpairing.pdf</x:v>
      </x:c>
      <x:c r="M125" s="28" t="str">
        <x:v>The Art &amp; Science of Foodpairing.pdf: 260–261</x:v>
      </x:c>
    </x:row>
    <x:row r="126" ht="64" customHeight="1">
      <x:c r="A126" s="28" t="str">
        <x:v>STN-0166</x:v>
      </x:c>
      <x:c r="B126" s="28" t="str">
        <x:v>персик</x:v>
      </x:c>
      <x:c r="C126" s="28" t="str">
        <x:v>персик</x:v>
      </x:c>
      <x:c r="D126" s="28" t="str">
        <x:v>отварная морковь</x:v>
      </x:c>
      <x:c r="E126" s="28" t="str">
        <x:v>Овощи</x:v>
      </x:c>
      <x:c r="F126" s="28" t="str">
        <x:v>комплементарность ароматических семейств, вкусовой контраст и матричный эффект</x:v>
      </x:c>
      <x:c r="G12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морковь относится к группе «Овощи» и даёт профиль «зелёный, землистый, растительный, иногда сернистый»; типичные соединения или классы: C6-альдегиды, метоксипиразины, геосмин (землистые),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сладковатый, горьковатый,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водная/крахмальная матрица; масло помогает распределить цедру.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H12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I12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6" s="28" t="str">
        <x:v>напиток, соус, десерт или горячее блюдо после пробной дегустации</x:v>
      </x:c>
      <x:c r="K126" s="28" t="str">
        <x:v>Средняя</x:v>
      </x:c>
      <x:c r="L126" s="28" t="str">
        <x:v>The Art &amp; Science of Foodpairing.pdf</x:v>
      </x:c>
      <x:c r="M126" s="28" t="str">
        <x:v>The Art &amp; Science of Foodpairing.pdf: 232</x:v>
      </x:c>
    </x:row>
    <x:row r="127" ht="64" customHeight="1">
      <x:c r="A127" s="28" t="str">
        <x:v>STN-0167</x:v>
      </x:c>
      <x:c r="B127" s="28" t="str">
        <x:v>персик</x:v>
      </x:c>
      <x:c r="C127" s="28" t="str">
        <x:v>персик</x:v>
      </x:c>
      <x:c r="D127" s="28" t="str">
        <x:v>отварная паста</x:v>
      </x:c>
      <x:c r="E127" s="28" t="str">
        <x:v>Злаки и выпечка</x:v>
      </x:c>
      <x:c r="F127" s="28" t="str">
        <x:v>комплементарность ароматических семейств, вкусовой контраст и матричный эффект</x:v>
      </x:c>
      <x:c r="G12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паста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2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2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7" s="28" t="str">
        <x:v>тарт, крем, мороженое, выпечка, сырная подача или начинка</x:v>
      </x:c>
      <x:c r="K127" s="28" t="str">
        <x:v>Средняя</x:v>
      </x:c>
      <x:c r="L127" s="28" t="str">
        <x:v>The Art &amp; Science of Foodpairing.pdf</x:v>
      </x:c>
      <x:c r="M127" s="28" t="str">
        <x:v>The Art &amp; Science of Foodpairing.pdf: 260–261</x:v>
      </x:c>
    </x:row>
    <x:row r="128" ht="64" customHeight="1">
      <x:c r="A128" s="28" t="str">
        <x:v>STN-0168</x:v>
      </x:c>
      <x:c r="B128" s="28" t="str">
        <x:v>персик</x:v>
      </x:c>
      <x:c r="C128" s="28" t="str">
        <x:v>персик</x:v>
      </x:c>
      <x:c r="D128" s="28" t="str">
        <x:v>отварная полба</x:v>
      </x:c>
      <x:c r="E128" s="28" t="str">
        <x:v>Злаки и выпечка</x:v>
      </x:c>
      <x:c r="F128" s="28" t="str">
        <x:v>комплементарность ароматических семейств, вкусовой контраст и матричный эффект</x:v>
      </x:c>
      <x:c r="G12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полба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2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2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8" s="28" t="str">
        <x:v>тарт, крем, мороженое, выпечка, сырная подача или начинка</x:v>
      </x:c>
      <x:c r="K128" s="28" t="str">
        <x:v>Средняя</x:v>
      </x:c>
      <x:c r="L128" s="28" t="str">
        <x:v>The Art &amp; Science of Foodpairing.pdf</x:v>
      </x:c>
      <x:c r="M128" s="28" t="str">
        <x:v>The Art &amp; Science of Foodpairing.pdf: 260–261</x:v>
      </x:c>
    </x:row>
    <x:row r="129" ht="64" customHeight="1">
      <x:c r="A129" s="28" t="str">
        <x:v>STN-0172</x:v>
      </x:c>
      <x:c r="B129" s="28" t="str">
        <x:v>персик</x:v>
      </x:c>
      <x:c r="C129" s="28" t="str">
        <x:v>персик</x:v>
      </x:c>
      <x:c r="D129" s="28" t="str">
        <x:v>отварной broccoli</x:v>
      </x:c>
      <x:c r="E129" s="28" t="str">
        <x:v>Прочее</x:v>
      </x:c>
      <x:c r="F129" s="28" t="str">
        <x:v>комплементарность ароматических семейств, вкусовой контраст и матричный эффект</x:v>
      </x:c>
      <x:c r="G12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broccoli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2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2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9" s="28" t="str">
        <x:v>напиток, соус, десерт или горячее блюдо после пробной дегустации</x:v>
      </x:c>
      <x:c r="K129" s="28" t="str">
        <x:v>Средняя</x:v>
      </x:c>
      <x:c r="L129" s="28" t="str">
        <x:v>The Art &amp; Science of Foodpairing.pdf</x:v>
      </x:c>
      <x:c r="M129" s="28" t="str">
        <x:v>The Art &amp; Science of Foodpairing.pdf: 260–261</x:v>
      </x:c>
    </x:row>
    <x:row r="130" ht="64" customHeight="1">
      <x:c r="A130" s="28" t="str">
        <x:v>STN-0175</x:v>
      </x:c>
      <x:c r="B130" s="28" t="str">
        <x:v>персик</x:v>
      </x:c>
      <x:c r="C130" s="28" t="str">
        <x:v>персик</x:v>
      </x:c>
      <x:c r="D130" s="28" t="str">
        <x:v>отварной рис басмати</x:v>
      </x:c>
      <x:c r="E130" s="28" t="str">
        <x:v>Злаки и выпечка</x:v>
      </x:c>
      <x:c r="F130" s="28" t="str">
        <x:v>комплементарность ароматических семейств, вкусовой контраст и матричный эффект</x:v>
      </x:c>
      <x:c r="G13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рис басмати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крахмал, сладость и соль.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крахмальная матрица приглушает кислоту и распределяет аромат.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3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3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0" s="28" t="str">
        <x:v>тарт, крем, мороженое, выпечка, сырная подача или начинка</x:v>
      </x:c>
      <x:c r="K130" s="28" t="str">
        <x:v>Средняя</x:v>
      </x:c>
      <x:c r="L130" s="28" t="str">
        <x:v>The Art &amp; Science of Foodpairing.pdf</x:v>
      </x:c>
      <x:c r="M130" s="28" t="str">
        <x:v>The Art &amp; Science of Foodpairing.pdf: 260–261</x:v>
      </x:c>
    </x:row>
    <x:row r="131" ht="64" customHeight="1">
      <x:c r="A131" s="28" t="str">
        <x:v>STN-0178</x:v>
      </x:c>
      <x:c r="B131" s="28" t="str">
        <x:v>персик</x:v>
      </x:c>
      <x:c r="C131" s="28" t="str">
        <x:v>персик</x:v>
      </x:c>
      <x:c r="D131" s="28" t="str">
        <x:v>папайя</x:v>
      </x:c>
      <x:c r="E131" s="28" t="str">
        <x:v>Тропические фрукты</x:v>
      </x:c>
      <x:c r="F131" s="28" t="str">
        <x:v>прямое или классовое перекрытие характерных одорантов + вкусовой баланс</x:v>
      </x:c>
      <x:c r="G13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Папайя относится к группе «Тропические фрукты» и даёт профиль «мягкий тропический, цветочный, мускусный и слегка зелёный»; типичные соединения или классы: линалоол, бензилацетат, этилбутират, метилбутират; в семенах и незрелом плоде — бензилизотиоцианат.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умеренная сладость, низкая кислотность; незрелый плод нейтральнее.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мягкая водная мякоть; содержит протеазу папаин.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перезрелая папайя может казаться мускусной; папаин размягчает белки при длительном контакте.</x:v>
      </x:c>
      <x:c r="H13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перезрелая папайя может казаться мускусной; папаин размягчает белки при длительном контакте.</x:v>
      </x:c>
      <x:c r="I13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1" s="28" t="str">
        <x:v>напиток, соус, десерт или горячее блюдо после пробной дегустации</x:v>
      </x:c>
      <x:c r="K131" s="28" t="str">
        <x:v>Гипотеза / практическая</x:v>
      </x:c>
      <x:c r="L131" s="28" t="str">
        <x:v>Таблица сочетания(1).pdf</x:v>
      </x:c>
      <x:c r="M131" s="28" t="str">
        <x:v>Таблица сочетания(1).pdf: Таблица сочетаний: 15 | Таблица сочетания(1).pdf: 15</x:v>
      </x:c>
    </x:row>
    <x:row r="132" ht="64" customHeight="1">
      <x:c r="A132" s="28" t="str">
        <x:v>STN-0179</x:v>
      </x:c>
      <x:c r="B132" s="28" t="str">
        <x:v>персик</x:v>
      </x:c>
      <x:c r="C132" s="28" t="str">
        <x:v>персик</x:v>
      </x:c>
      <x:c r="D132" s="28" t="str">
        <x:v>пастернак</x:v>
      </x:c>
      <x:c r="E132" s="28" t="str">
        <x:v>Прочее</x:v>
      </x:c>
      <x:c r="F132" s="28" t="str">
        <x:v>комплементарность ароматических семейств, вкусовой контраст и матричный эффект</x:v>
      </x:c>
      <x:c r="G13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Пастернак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3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3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2" s="28" t="str">
        <x:v>напиток, соус, десерт или горячее блюдо после пробной дегустации</x:v>
      </x:c>
      <x:c r="K132" s="28" t="str">
        <x:v>Средняя</x:v>
      </x:c>
      <x:c r="L132" s="28" t="str">
        <x:v>The Art &amp; Science of Foodpairing.pdf</x:v>
      </x:c>
      <x:c r="M132" s="28" t="str">
        <x:v>The Art &amp; Science of Foodpairing.pdf: 260–261</x:v>
      </x:c>
    </x:row>
    <x:row r="133" ht="64" customHeight="1">
      <x:c r="A133" s="28" t="str">
        <x:v>STN-0180</x:v>
      </x:c>
      <x:c r="B133" s="28" t="str">
        <x:v>персик</x:v>
      </x:c>
      <x:c r="C133" s="28" t="str">
        <x:v>персик</x:v>
      </x:c>
      <x:c r="D133" s="28" t="str">
        <x:v>пекан</x:v>
      </x:c>
      <x:c r="E133" s="28" t="str">
        <x:v>Орехи и семена</x:v>
      </x:c>
      <x:c r="F133" s="28" t="str">
        <x:v>прямое или классовое перекрытие характерных одорантов + вкусовой баланс</x:v>
      </x:c>
      <x:c r="G13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Пекан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13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133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33" s="28" t="str">
        <x:v>тарт, крем, мороженое, выпечка, сырная подача или начинка</x:v>
      </x:c>
      <x:c r="K133" s="28" t="str">
        <x:v>Гипотеза / практическая</x:v>
      </x:c>
      <x:c r="L133" s="28" t="str">
        <x:v>Таблица сочетания(1).pdf</x:v>
      </x:c>
      <x:c r="M133" s="28" t="str">
        <x:v>Таблица сочетания(1).pdf: 15</x:v>
      </x:c>
    </x:row>
    <x:row r="134" ht="64" customHeight="1">
      <x:c r="A134" s="28" t="str">
        <x:v>STN-0181</x:v>
      </x:c>
      <x:c r="B134" s="28" t="str">
        <x:v>персик</x:v>
      </x:c>
      <x:c r="C134" s="28" t="str">
        <x:v>персик</x:v>
      </x:c>
      <x:c r="D134" s="28" t="str">
        <x:v>перец рокото</x:v>
      </x:c>
      <x:c r="E134" s="28" t="str">
        <x:v>Специи и острые компоненты</x:v>
      </x:c>
      <x:c r="F134" s="28" t="str">
        <x:v>комплементарность ароматических семейств, вкусовой контраст и матричный эффект</x:v>
      </x:c>
      <x:c r="G13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Перец рокото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134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134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34" s="28" t="str">
        <x:v>напиток, соус, десерт или горячее блюдо после пробной дегустации</x:v>
      </x:c>
      <x:c r="K134" s="28" t="str">
        <x:v>Средняя</x:v>
      </x:c>
      <x:c r="L134" s="28" t="str">
        <x:v>The Art &amp; Science of Foodpairing.pdf</x:v>
      </x:c>
      <x:c r="M134" s="28" t="str">
        <x:v>The Art &amp; Science of Foodpairing.pdf: 260–261</x:v>
      </x:c>
    </x:row>
    <x:row r="135" ht="64" customHeight="1">
      <x:c r="A135" s="28" t="str">
        <x:v>STN-0182</x:v>
      </x:c>
      <x:c r="B135" s="28" t="str">
        <x:v>персик</x:v>
      </x:c>
      <x:c r="C135" s="28" t="str">
        <x:v>персик</x:v>
      </x:c>
      <x:c r="D135" s="28" t="str">
        <x:v>перец урфа</x:v>
      </x:c>
      <x:c r="E135" s="28" t="str">
        <x:v>Специи и острые компоненты</x:v>
      </x:c>
      <x:c r="F135" s="28" t="str">
        <x:v>комплементарность ароматических семейств, вкусовой контраст и матричный эффект</x:v>
      </x:c>
      <x:c r="G13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Перец урфа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35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35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35" s="28" t="str">
        <x:v>напиток, соус, десерт или горячее блюдо после пробной дегустации</x:v>
      </x:c>
      <x:c r="K135" s="28" t="str">
        <x:v>Средняя</x:v>
      </x:c>
      <x:c r="L135" s="28" t="str">
        <x:v>The Art &amp; Science of Foodpairing.pdf</x:v>
      </x:c>
      <x:c r="M135" s="28" t="str">
        <x:v>The Art &amp; Science of Foodpairing.pdf: 260–261</x:v>
      </x:c>
    </x:row>
    <x:row r="136" ht="64" customHeight="1">
      <x:c r="A136" s="28" t="str">
        <x:v>STN-0183</x:v>
      </x:c>
      <x:c r="B136" s="28" t="str">
        <x:v>персик</x:v>
      </x:c>
      <x:c r="C136" s="28" t="str">
        <x:v>персик</x:v>
      </x:c>
      <x:c r="D136" s="28" t="str">
        <x:v>приготовленный black salsify</x:v>
      </x:c>
      <x:c r="E136" s="28" t="str">
        <x:v>Прочее</x:v>
      </x:c>
      <x:c r="F136" s="28" t="str">
        <x:v>комплементарность ароматических семейств, вкусовой контраст и матричный эффект</x:v>
      </x:c>
      <x:c r="G13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Приготовленный black salsify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3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3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6" s="28" t="str">
        <x:v>напиток, соус, десерт или горячее блюдо после пробной дегустации</x:v>
      </x:c>
      <x:c r="K136" s="28" t="str">
        <x:v>Средняя</x:v>
      </x:c>
      <x:c r="L136" s="28" t="str">
        <x:v>The Art &amp; Science of Foodpairing.pdf</x:v>
      </x:c>
      <x:c r="M136" s="28" t="str">
        <x:v>The Art &amp; Science of Foodpairing.pdf: 260–261</x:v>
      </x:c>
    </x:row>
    <x:row r="137" ht="64" customHeight="1">
      <x:c r="A137" s="28" t="str">
        <x:v>STN-0188</x:v>
      </x:c>
      <x:c r="B137" s="28" t="str">
        <x:v>персик</x:v>
      </x:c>
      <x:c r="C137" s="28" t="str">
        <x:v>персик</x:v>
      </x:c>
      <x:c r="D137" s="28" t="str">
        <x:v>ревень</x:v>
      </x:c>
      <x:c r="E137" s="28" t="str">
        <x:v>Прочее</x:v>
      </x:c>
      <x:c r="F137" s="28" t="str">
        <x:v>комплементарность ароматических семейств, вкусовой контраст и матричный эффект</x:v>
      </x:c>
      <x:c r="G13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Ревень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3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3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7" s="28" t="str">
        <x:v>напиток, соус, десерт или горячее блюдо после пробной дегустации</x:v>
      </x:c>
      <x:c r="K137" s="28" t="str">
        <x:v>Гипотеза / практическая</x:v>
      </x:c>
      <x:c r="L137" s="28" t="str">
        <x:v>Таблица сочетания(1).pdf</x:v>
      </x:c>
      <x:c r="M137" s="28" t="str">
        <x:v>Таблица сочетания(1).pdf: 19</x:v>
      </x:c>
    </x:row>
    <x:row r="138" ht="64" customHeight="1">
      <x:c r="A138" s="28" t="str">
        <x:v>STN-0189</x:v>
      </x:c>
      <x:c r="B138" s="28" t="str">
        <x:v>персик</x:v>
      </x:c>
      <x:c r="C138" s="28" t="str">
        <x:v>персик</x:v>
      </x:c>
      <x:c r="D138" s="28" t="str">
        <x:v>роза</x:v>
      </x:c>
      <x:c r="E138" s="28" t="str">
        <x:v>Травы и цветы</x:v>
      </x:c>
      <x:c r="F138" s="28" t="str">
        <x:v>прямое или классовое перекрытие характерных одорантов + вкусовой баланс</x:v>
      </x:c>
      <x:c r="G13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Роза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3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3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8" s="28" t="str">
        <x:v>напиток, соус, десерт или горячее блюдо после пробной дегустации</x:v>
      </x:c>
      <x:c r="K138" s="28" t="str">
        <x:v>Гипотеза / практическая</x:v>
      </x:c>
      <x:c r="L138" s="28" t="str">
        <x:v>Таблица сочетания(1).pdf</x:v>
      </x:c>
      <x:c r="M138" s="28" t="str">
        <x:v>Таблица сочетания(1).pdf: 19</x:v>
      </x:c>
    </x:row>
    <x:row r="139" ht="64" customHeight="1">
      <x:c r="A139" s="28" t="str">
        <x:v>STN-0192</x:v>
      </x:c>
      <x:c r="B139" s="28" t="str">
        <x:v>персик</x:v>
      </x:c>
      <x:c r="C139" s="28" t="str">
        <x:v>персик</x:v>
      </x:c>
      <x:c r="D139" s="28" t="str">
        <x:v>свежий корень имбиря</x:v>
      </x:c>
      <x:c r="E139" s="28" t="str">
        <x:v>Специи</x:v>
      </x:c>
      <x:c r="F139" s="28" t="str">
        <x:v>комплементарность ароматических семейств, вкусовой контраст и матричный эффект</x:v>
      </x:c>
      <x:c r="G13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Свежий корень имбиря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пряный, иногда горький.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хорошо извлекаются спиртом и жиром.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3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3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9" s="28" t="str">
        <x:v>напиток, соус, десерт или горячее блюдо после пробной дегустации</x:v>
      </x:c>
      <x:c r="K139" s="28" t="str">
        <x:v>Средняя</x:v>
      </x:c>
      <x:c r="L139" s="28" t="str">
        <x:v>The Art &amp; Science of Foodpairing.pdf</x:v>
      </x:c>
      <x:c r="M139" s="28" t="str">
        <x:v>The Art &amp; Science of Foodpairing.pdf: 142 | The Art &amp; Science of Foodpairing.pdf: 143</x:v>
      </x:c>
    </x:row>
    <x:row r="140" ht="64" customHeight="1">
      <x:c r="A140" s="28" t="str">
        <x:v>STN-0193</x:v>
      </x:c>
      <x:c r="B140" s="28" t="str">
        <x:v>персик</x:v>
      </x:c>
      <x:c r="C140" s="28" t="str">
        <x:v>персик</x:v>
      </x:c>
      <x:c r="D140" s="28" t="str">
        <x:v>сельдерей</x:v>
      </x:c>
      <x:c r="E140" s="28" t="str">
        <x:v>Овощи и бобовые</x:v>
      </x:c>
      <x:c r="F140" s="28" t="str">
        <x:v>комплементарность ароматических семейств, вкусовой контраст и матричный эффект</x:v>
      </x:c>
      <x:c r="G14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Сельдерей относится к группе «Овощи и бобовые» и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варьирует от сладости до горечи, умами и крахмалистости.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водная, волокнистая или крахмальная.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H14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I14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0" s="28" t="str">
        <x:v>напиток, соус, десерт или горячее блюдо после пробной дегустации</x:v>
      </x:c>
      <x:c r="K140" s="28" t="str">
        <x:v>Средняя</x:v>
      </x:c>
      <x:c r="L140" s="28" t="str">
        <x:v>The Art &amp; Science of Foodpairing.pdf</x:v>
      </x:c>
      <x:c r="M140" s="28" t="str">
        <x:v>The Art &amp; Science of Foodpairing.pdf: 260–261</x:v>
      </x:c>
    </x:row>
    <x:row r="141" ht="64" customHeight="1">
      <x:c r="A141" s="28" t="str">
        <x:v>STN-0194</x:v>
      </x:c>
      <x:c r="B141" s="28" t="str">
        <x:v>персик</x:v>
      </x:c>
      <x:c r="C141" s="28" t="str">
        <x:v>персик</x:v>
      </x:c>
      <x:c r="D141" s="28" t="str">
        <x:v>скрэмбл</x:v>
      </x:c>
      <x:c r="E141" s="28" t="str">
        <x:v>Прочее</x:v>
      </x:c>
      <x:c r="F141" s="28" t="str">
        <x:v>комплементарность ароматических семейств, вкусовой контраст и матричный эффект</x:v>
      </x:c>
      <x:c r="G14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Скрэмбл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14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14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1" s="28" t="str">
        <x:v>напиток, соус, десерт или горячее блюдо после пробной дегустации</x:v>
      </x:c>
      <x:c r="K141" s="28" t="str">
        <x:v>Средняя</x:v>
      </x:c>
      <x:c r="L141" s="28" t="str">
        <x:v>The Art &amp; Science of Foodpairing.pdf</x:v>
      </x:c>
      <x:c r="M141" s="28" t="str">
        <x:v>The Art &amp; Science of Foodpairing.pdf: 260–261</x:v>
      </x:c>
    </x:row>
    <x:row r="142" ht="64" customHeight="1">
      <x:c r="A142" s="28" t="str">
        <x:v>STN-0195</x:v>
      </x:c>
      <x:c r="B142" s="28" t="str">
        <x:v>персик</x:v>
      </x:c>
      <x:c r="C142" s="28" t="str">
        <x:v>персик</x:v>
      </x:c>
      <x:c r="D142" s="28" t="str">
        <x:v>слива</x:v>
      </x:c>
      <x:c r="E142" s="28" t="str">
        <x:v>Косточковые фрукты</x:v>
      </x:c>
      <x:c r="F142" s="28" t="str">
        <x:v>прямое или классовое перекрытие характерных одорантов + вкусовой баланс</x:v>
      </x:c>
      <x:c r="G14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Слива относится к группе «Косточковые фрукты» и даёт профиль «винно-фруктовый, цветочный, зелёный, пряный, миндальный; от свежего до тёмно-джемового»; типичные соединения или классы: фруктовые эфиры, γ- и δ-лактоны, бензальдегид, линалоол, C6-альдегиды, дамасконы. В рабочих профилях пересекаются: бензальдегид,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 и заметная яблочно-лимонная кислотность; кожица часто терпкая.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сочная пектиновая мякоть; кожица богата полифенолами; аромат хорошо работает в воде, сахаре 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H14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I14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2" s="28" t="str">
        <x:v>напиток, соус, десерт или горячее блюдо после пробной дегустации</x:v>
      </x:c>
      <x:c r="K142" s="28" t="str">
        <x:v>Высокая</x:v>
      </x:c>
      <x:c r="L142" s="28" t="str">
        <x:v>The Art &amp; Science of Foodpairing.pdf | Таблица сочетания(1).pdf</x:v>
      </x:c>
      <x:c r="M142" s="28" t="str">
        <x:v>Таблица сочетания(1).pdf: 17 | The Art &amp; Science of Foodpairing.pdf: 260</x:v>
      </x:c>
    </x:row>
    <x:row r="143" ht="64" customHeight="1">
      <x:c r="A143" s="28" t="str">
        <x:v>STN-0196</x:v>
      </x:c>
      <x:c r="B143" s="28" t="str">
        <x:v>персик</x:v>
      </x:c>
      <x:c r="C143" s="28" t="str">
        <x:v>персик</x:v>
      </x:c>
      <x:c r="D143" s="28" t="str">
        <x:v>смородина</x:v>
      </x:c>
      <x:c r="E143" s="28" t="str">
        <x:v>Ягоды</x:v>
      </x:c>
      <x:c r="F143" s="28" t="str">
        <x:v>комплементарность ароматических семейств, вкусовой контраст и матричный эффект</x:v>
      </x:c>
      <x:c r="G14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4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4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3" s="28" t="str">
        <x:v>сорбет, салат, джем, кордиал, лимонад, коктейль или фруктовый соус</x:v>
      </x:c>
      <x:c r="K143" s="28" t="str">
        <x:v>Гипотеза / практическая</x:v>
      </x:c>
      <x:c r="L143" s="28" t="str">
        <x:v>Таблица сочетания(1).pdf</x:v>
      </x:c>
      <x:c r="M143" s="28" t="str">
        <x:v>Таблица сочетания(1).pdf: Таблица сочетаний: 15 | Таблица сочетания(1).pdf: 15</x:v>
      </x:c>
    </x:row>
    <x:row r="144" ht="64" customHeight="1">
      <x:c r="A144" s="28" t="str">
        <x:v>STN-0197</x:v>
      </x:c>
      <x:c r="B144" s="28" t="str">
        <x:v>персик</x:v>
      </x:c>
      <x:c r="C144" s="28" t="str">
        <x:v>персик</x:v>
      </x:c>
      <x:c r="D144" s="28" t="str">
        <x:v>сок яблока кешью</x:v>
      </x:c>
      <x:c r="E144" s="28" t="str">
        <x:v>Фрукты</x:v>
      </x:c>
      <x:c r="F144" s="28" t="str">
        <x:v>комплементарность ароматических семейств, вкусовой контраст и матричный эффект</x:v>
      </x:c>
      <x:c r="G14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Сок яблока кешью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4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4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4" s="28" t="str">
        <x:v>сорбет, салат, джем, кордиал, лимонад, коктейль или фруктовый соус</x:v>
      </x:c>
      <x:c r="K144" s="28" t="str">
        <x:v>Средняя</x:v>
      </x:c>
      <x:c r="L144" s="28" t="str">
        <x:v>The Art &amp; Science of Foodpairing.pdf</x:v>
      </x:c>
      <x:c r="M144" s="28" t="str">
        <x:v>The Art &amp; Science of Foodpairing.pdf: 260–261</x:v>
      </x:c>
    </x:row>
    <x:row r="145" ht="64" customHeight="1">
      <x:c r="A145" s="28" t="str">
        <x:v>STN-0198</x:v>
      </x:c>
      <x:c r="B145" s="28" t="str">
        <x:v>персик</x:v>
      </x:c>
      <x:c r="C145" s="28" t="str">
        <x:v>персик</x:v>
      </x:c>
      <x:c r="D145" s="28" t="str">
        <x:v>сушеная вешенка</x:v>
      </x:c>
      <x:c r="E145" s="28" t="str">
        <x:v>Прочее</x:v>
      </x:c>
      <x:c r="F145" s="28" t="str">
        <x:v>комплементарность ароматических семейств, вкусовой контраст и матричный эффект</x:v>
      </x:c>
      <x:c r="G14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Сушеная вешенка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14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14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5" s="28" t="str">
        <x:v>напиток, соус, десерт или горячее блюдо после пробной дегустации</x:v>
      </x:c>
      <x:c r="K145" s="28" t="str">
        <x:v>Средняя</x:v>
      </x:c>
      <x:c r="L145" s="28" t="str">
        <x:v>The Art &amp; Science of Foodpairing.pdf</x:v>
      </x:c>
      <x:c r="M145" s="28" t="str">
        <x:v>The Art &amp; Science of Foodpairing.pdf: 260–261</x:v>
      </x:c>
    </x:row>
    <x:row r="146" ht="64" customHeight="1">
      <x:c r="A146" s="28" t="str">
        <x:v>STN-0201</x:v>
      </x:c>
      <x:c r="B146" s="28" t="str">
        <x:v>персик</x:v>
      </x:c>
      <x:c r="C146" s="28" t="str">
        <x:v>персик</x:v>
      </x:c>
      <x:c r="D146" s="28" t="str">
        <x:v>сушеные листья тмина</x:v>
      </x:c>
      <x:c r="E146" s="28" t="str">
        <x:v>Прочее</x:v>
      </x:c>
      <x:c r="F146" s="28" t="str">
        <x:v>комплементарность ароматических семейств, вкусовой контраст и матричный эффект</x:v>
      </x:c>
      <x:c r="G14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листья тмина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14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14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6" s="28" t="str">
        <x:v>напиток, соус, десерт или горячее блюдо после пробной дегустации</x:v>
      </x:c>
      <x:c r="K146" s="28" t="str">
        <x:v>Средняя</x:v>
      </x:c>
      <x:c r="L146" s="28" t="str">
        <x:v>The Art &amp; Science of Foodpairing.pdf</x:v>
      </x:c>
      <x:c r="M146" s="28" t="str">
        <x:v>The Art &amp; Science of Foodpairing.pdf: 260–261</x:v>
      </x:c>
    </x:row>
    <x:row r="147" ht="64" customHeight="1">
      <x:c r="A147" s="28" t="str">
        <x:v>STN-0202</x:v>
      </x:c>
      <x:c r="B147" s="28" t="str">
        <x:v>персик</x:v>
      </x:c>
      <x:c r="C147" s="28" t="str">
        <x:v>персик</x:v>
      </x:c>
      <x:c r="D147" s="28" t="str">
        <x:v>сушеные семена черного тмина</x:v>
      </x:c>
      <x:c r="E147" s="28" t="str">
        <x:v>Специи и острые компоненты</x:v>
      </x:c>
      <x:c r="F147" s="28" t="str">
        <x:v>комплементарность ароматических семейств, вкусовой контраст и матричный эффект</x:v>
      </x:c>
      <x:c r="G14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семена черного тмина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147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147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47" s="28" t="str">
        <x:v>напиток, соус, десерт или горячее блюдо после пробной дегустации</x:v>
      </x:c>
      <x:c r="K147" s="28" t="str">
        <x:v>Средняя</x:v>
      </x:c>
      <x:c r="L147" s="28" t="str">
        <x:v>The Art &amp; Science of Foodpairing.pdf</x:v>
      </x:c>
      <x:c r="M147" s="28" t="str">
        <x:v>The Art &amp; Science of Foodpairing.pdf: 260–261</x:v>
      </x:c>
    </x:row>
    <x:row r="148" ht="64" customHeight="1">
      <x:c r="A148" s="28" t="str">
        <x:v>STN-0203</x:v>
      </x:c>
      <x:c r="B148" s="28" t="str">
        <x:v>персик</x:v>
      </x:c>
      <x:c r="C148" s="28" t="str">
        <x:v>персик</x:v>
      </x:c>
      <x:c r="D148" s="28" t="str">
        <x:v>сушеные цветы сакуры</x:v>
      </x:c>
      <x:c r="E148" s="28" t="str">
        <x:v>Травы, листья и цветы</x:v>
      </x:c>
      <x:c r="F148" s="28" t="str">
        <x:v>прямое или классовое перекрытие характерных одорантов + вкусовой баланс</x:v>
      </x:c>
      <x:c r="G14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цветы сакуры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148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14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8" s="28" t="str">
        <x:v>напиток, соус, десерт или горячее блюдо после пробной дегустации</x:v>
      </x:c>
      <x:c r="K148" s="28" t="str">
        <x:v>Средняя</x:v>
      </x:c>
      <x:c r="L148" s="28" t="str">
        <x:v>The Art &amp; Science of Foodpairing.pdf</x:v>
      </x:c>
      <x:c r="M148" s="28" t="str">
        <x:v>The Art &amp; Science of Foodpairing.pdf: 260–261</x:v>
      </x:c>
    </x:row>
    <x:row r="149" ht="64" customHeight="1">
      <x:c r="A149" s="28" t="str">
        <x:v>STN-0204</x:v>
      </x:c>
      <x:c r="B149" s="28" t="str">
        <x:v>персик</x:v>
      </x:c>
      <x:c r="C149" s="28" t="str">
        <x:v>персик</x:v>
      </x:c>
      <x:c r="D149" s="28" t="str">
        <x:v>сыр манчего</x:v>
      </x:c>
      <x:c r="E149" s="28" t="str">
        <x:v>Сыры и молочные продукты</x:v>
      </x:c>
      <x:c r="F149" s="28" t="str">
        <x:v>комплементарность ароматических семейств, вкусовой контраст и матричный эффект</x:v>
      </x:c>
      <x:c r="G14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Сыр манчего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Общие ароматические направления: сливочный.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 Обработка: 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H149" s="28" t="str">
        <x:v>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I149" s="28" t="str">
        <x:v>незрелый плод ароматически беден; перезрелый быстро окисляется; косточки не использовать без безопасной технологии. Избыток кислоты может свернуть молочную основу; фрукт и сыр проверяют при рабочей температуре.</x:v>
      </x:c>
      <x:c r="J149" s="28" t="str">
        <x:v>тарт, крем, мороженое, выпечка, сырная подача или начинка</x:v>
      </x:c>
      <x:c r="K149" s="28" t="str">
        <x:v>Средняя</x:v>
      </x:c>
      <x:c r="L149" s="28" t="str">
        <x:v>The Art &amp; Science of Foodpairing.pdf</x:v>
      </x:c>
      <x:c r="M149" s="28" t="str">
        <x:v>The Art &amp; Science of Foodpairing.pdf: 260–261</x:v>
      </x:c>
    </x:row>
    <x:row r="150" ht="64" customHeight="1">
      <x:c r="A150" s="28" t="str">
        <x:v>STN-0205</x:v>
      </x:c>
      <x:c r="B150" s="28" t="str">
        <x:v>персик</x:v>
      </x:c>
      <x:c r="C150" s="28" t="str">
        <x:v>персик</x:v>
      </x:c>
      <x:c r="D150" s="28" t="str">
        <x:v>сычуаньский перец</x:v>
      </x:c>
      <x:c r="E150" s="28" t="str">
        <x:v>Специи и острые компоненты</x:v>
      </x:c>
      <x:c r="F150" s="28" t="str">
        <x:v>комплементарность ароматических семейств, вкусовой контраст и матричный эффект</x:v>
      </x:c>
      <x:c r="G15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Сычуаньский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150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150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50" s="28" t="str">
        <x:v>напиток, соус, десерт или горячее блюдо после пробной дегустации</x:v>
      </x:c>
      <x:c r="K150" s="28" t="str">
        <x:v>Средняя</x:v>
      </x:c>
      <x:c r="L150" s="28" t="str">
        <x:v>The Art &amp; Science of Foodpairing.pdf</x:v>
      </x:c>
      <x:c r="M150" s="28" t="str">
        <x:v>The Art &amp; Science of Foodpairing.pdf: 260–261</x:v>
      </x:c>
    </x:row>
    <x:row r="151" ht="64" customHeight="1">
      <x:c r="A151" s="28" t="str">
        <x:v>STN-0206</x:v>
      </x:c>
      <x:c r="B151" s="28" t="str">
        <x:v>персик</x:v>
      </x:c>
      <x:c r="C151" s="28" t="str">
        <x:v>персик</x:v>
      </x:c>
      <x:c r="D151" s="28" t="str">
        <x:v>таитянская ваниль</x:v>
      </x:c>
      <x:c r="E151" s="28" t="str">
        <x:v>Прочее</x:v>
      </x:c>
      <x:c r="F151" s="28" t="str">
        <x:v>комплементарность ароматических семейств, вкусовой контраст и матричный эффект</x:v>
      </x:c>
      <x:c r="G15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Таитянская ваниль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5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5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1" s="28" t="str">
        <x:v>напиток, соус, десерт или горячее блюдо после пробной дегустации</x:v>
      </x:c>
      <x:c r="K151" s="28" t="str">
        <x:v>Средняя</x:v>
      </x:c>
      <x:c r="L151" s="28" t="str">
        <x:v>The Art &amp; Science of Foodpairing.pdf</x:v>
      </x:c>
      <x:c r="M151" s="28" t="str">
        <x:v>The Art &amp; Science of Foodpairing.pdf: 260–261</x:v>
      </x:c>
    </x:row>
    <x:row r="152" ht="64" customHeight="1">
      <x:c r="A152" s="28" t="str">
        <x:v>STN-0207</x:v>
      </x:c>
      <x:c r="B152" s="28" t="str">
        <x:v>персик</x:v>
      </x:c>
      <x:c r="C152" s="28" t="str">
        <x:v>персик</x:v>
      </x:c>
      <x:c r="D152" s="28" t="str">
        <x:v>темный шоколад</x:v>
      </x:c>
      <x:c r="E152" s="28" t="str">
        <x:v>Чай, кофе и какао</x:v>
      </x:c>
      <x:c r="F152" s="28" t="str">
        <x:v>комплементарность ароматических семейств, вкусовой контраст и матричный эффект</x:v>
      </x:c>
      <x:c r="G15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Темный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горечь, терпкость и жареная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водные настои извлекают полифенолы; жир и сахар смягчают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15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15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2" s="28" t="str">
        <x:v>напиток, соус, десерт или горячее блюдо после пробной дегустации</x:v>
      </x:c>
      <x:c r="K152" s="28" t="str">
        <x:v>Средняя</x:v>
      </x:c>
      <x:c r="L152" s="28" t="str">
        <x:v>The Art &amp; Science of Foodpairing.pdf</x:v>
      </x:c>
      <x:c r="M152" s="28" t="str">
        <x:v>The Art &amp; Science of Foodpairing.pdf: 260–261</x:v>
      </x:c>
    </x:row>
    <x:row r="153" ht="64" customHeight="1">
      <x:c r="A153" s="28" t="str">
        <x:v>STN-0208</x:v>
      </x:c>
      <x:c r="B153" s="28" t="str">
        <x:v>персик</x:v>
      </x:c>
      <x:c r="C153" s="28" t="str">
        <x:v>персик</x:v>
      </x:c>
      <x:c r="D153" s="28" t="str">
        <x:v>тертый сырой корень сельдерея</x:v>
      </x:c>
      <x:c r="E153" s="28" t="str">
        <x:v>Сыры и молочные продукты</x:v>
      </x:c>
      <x:c r="F153" s="28" t="str">
        <x:v>комплементарность ароматических семейств, вкусовой контраст и матричный эффект</x:v>
      </x:c>
      <x:c r="G15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Тертый сырой корень сельдерея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Общие ароматические направления: сливочный.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несёт зелёные и цветочные ноты; лактоны хорошо удерживаются жиром и этанолом. Жир и белок партнёра удерживают гидрофобные лактоны, но высокая фруктовая кислота может нарушить молочную эмульсию. Обработка: 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H153" s="28" t="str">
        <x:v>спелость резко увеличивает аромат; нагрев усиливает варенье, карамель и миндальные оттенки, но снижает свежую цветочность. Холодная сборка сохраняет фруктовые лактоны; при нагреве кислоту вводят постепенно, чтобы не расслоить молочную основу.</x:v>
      </x:c>
      <x:c r="I153" s="28" t="str">
        <x:v>незрелый плод ароматически беден; перезрелый быстро окисляется; косточки не использовать без безопасной технологии. Избыток кислоты может свернуть молочную основу; фрукт и сыр проверяют при рабочей температуре.</x:v>
      </x:c>
      <x:c r="J153" s="28" t="str">
        <x:v>тарт, крем, мороженое, выпечка, сырная подача или начинка</x:v>
      </x:c>
      <x:c r="K153" s="28" t="str">
        <x:v>Средняя</x:v>
      </x:c>
      <x:c r="L153" s="28" t="str">
        <x:v>The Art &amp; Science of Foodpairing.pdf</x:v>
      </x:c>
      <x:c r="M153" s="28" t="str">
        <x:v>The Art &amp; Science of Foodpairing.pdf: 260–261</x:v>
      </x:c>
    </x:row>
    <x:row r="154" ht="64" customHeight="1">
      <x:c r="A154" s="28" t="str">
        <x:v>STN-0211</x:v>
      </x:c>
      <x:c r="B154" s="28" t="str">
        <x:v>персик</x:v>
      </x:c>
      <x:c r="C154" s="28" t="str">
        <x:v>персик</x:v>
      </x:c>
      <x:c r="D154" s="28" t="str">
        <x:v>укроп</x:v>
      </x:c>
      <x:c r="E154" s="28" t="str">
        <x:v>Травы и цветы</x:v>
      </x:c>
      <x:c r="F154" s="28" t="str">
        <x:v>прямое или классовое перекрытие характерных одорантов + вкусовой баланс</x:v>
      </x:c>
      <x:c r="G15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5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5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4" s="28" t="str">
        <x:v>напиток, соус, десерт или горячее блюдо после пробной дегустации</x:v>
      </x:c>
      <x:c r="K154" s="28" t="str">
        <x:v>Средняя</x:v>
      </x:c>
      <x:c r="L154" s="28" t="str">
        <x:v>The Art &amp; Science of Foodpairing.pdf</x:v>
      </x:c>
      <x:c r="M154" s="28" t="str">
        <x:v>The Art &amp; Science of Foodpairing.pdf: 260–261</x:v>
      </x:c>
    </x:row>
    <x:row r="155" ht="64" customHeight="1">
      <x:c r="A155" s="28" t="str">
        <x:v>STN-0212</x:v>
      </x:c>
      <x:c r="B155" s="28" t="str">
        <x:v>персик</x:v>
      </x:c>
      <x:c r="C155" s="28" t="str">
        <x:v>персик</x:v>
      </x:c>
      <x:c r="D155" s="28" t="str">
        <x:v>фиалка</x:v>
      </x:c>
      <x:c r="E155" s="28" t="str">
        <x:v>Травы и цветы</x:v>
      </x:c>
      <x:c r="F155" s="28" t="str">
        <x:v>прямое или классовое перекрытие характерных одорантов + вкусовой баланс</x:v>
      </x:c>
      <x:c r="G15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Фиалка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5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5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5" s="28" t="str">
        <x:v>напиток, соус, десерт или горячее блюдо после пробной дегустации</x:v>
      </x:c>
      <x:c r="K155" s="28" t="str">
        <x:v>Гипотеза / практическая</x:v>
      </x:c>
      <x:c r="L155" s="28" t="str">
        <x:v>Таблица сочетания(1).pdf</x:v>
      </x:c>
      <x:c r="M155" s="28" t="str">
        <x:v>Таблица сочетания(1).pdf: 21</x:v>
      </x:c>
    </x:row>
    <x:row r="156" ht="64" customHeight="1">
      <x:c r="A156" s="28" t="str">
        <x:v>STN-0215</x:v>
      </x:c>
      <x:c r="B156" s="28" t="str">
        <x:v>персик</x:v>
      </x:c>
      <x:c r="C156" s="28" t="str">
        <x:v>персик</x:v>
      </x:c>
      <x:c r="D156" s="28" t="str">
        <x:v>фисташка</x:v>
      </x:c>
      <x:c r="E156" s="28" t="str">
        <x:v>Орехи и семена</x:v>
      </x:c>
      <x:c r="F156" s="28" t="str">
        <x:v>прямое или классовое перекрытие характерных одорантов + вкусовой баланс</x:v>
      </x:c>
      <x:c r="G15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Фисташка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15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156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56" s="28" t="str">
        <x:v>тарт, крем, мороженое, выпечка, сырная подача или начинка</x:v>
      </x:c>
      <x:c r="K156" s="28" t="str">
        <x:v>Высокая</x:v>
      </x:c>
      <x:c r="L156" s="28" t="str">
        <x:v>The Art &amp; Science of Foodpairing.pdf | Таблица сочетания(1).pdf</x:v>
      </x:c>
      <x:c r="M156" s="28" t="str">
        <x:v>Таблица сочетания(1).pdf: 15 | Таблица сочетания(1).pdf: 17 | The Art &amp; Science of Foodpairing.pdf: 260–261</x:v>
      </x:c>
    </x:row>
    <x:row r="157" ht="64" customHeight="1">
      <x:c r="A157" s="28" t="str">
        <x:v>STN-0216</x:v>
      </x:c>
      <x:c r="B157" s="28" t="str">
        <x:v>персик</x:v>
      </x:c>
      <x:c r="C157" s="28" t="str">
        <x:v>персик</x:v>
      </x:c>
      <x:c r="D157" s="28" t="str">
        <x:v>фундук</x:v>
      </x:c>
      <x:c r="E157" s="28" t="str">
        <x:v>Орехи и семена</x:v>
      </x:c>
      <x:c r="F157" s="28" t="str">
        <x:v>комплементарность ароматических семейств, вкусовой контраст и матричный эффект</x:v>
      </x:c>
      <x:c r="G15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Фундук относится к группе «Орехи и семена» и даёт профиль «жареный ореховый и маслянистый»; типичные соединения или классы: филбертон, пиразины. По доступным материалам нельзя уверенно свести совместимость к одной общей молекуле.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несёт зелёные и цветочные ноты; лактоны хорошо удерживаются жиром и этанолом. Ореховый жир удерживает лактоны и смягчает кислотность; обжарка добавляет пиразины.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15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157" s="28" t="str">
        <x:v>незрелый плод ароматически беден; перезрелый быстро окисляется; косточки не использовать без безопасной технологии. Сильная обжарка и прогорклый жир перекрывают цветочный профиль.</x:v>
      </x:c>
      <x:c r="J157" s="28" t="str">
        <x:v>тарт, крем, мороженое, выпечка, сырная подача или начинка</x:v>
      </x:c>
      <x:c r="K157" s="28" t="str">
        <x:v>Гипотеза / практическая</x:v>
      </x:c>
      <x:c r="L157" s="28" t="str">
        <x:v>Таблица сочетания(1).pdf</x:v>
      </x:c>
      <x:c r="M157" s="28" t="str">
        <x:v>Таблица сочетания(1).pdf: 15</x:v>
      </x:c>
    </x:row>
    <x:row r="158" ht="64" customHeight="1">
      <x:c r="A158" s="28" t="str">
        <x:v>STN-0217</x:v>
      </x:c>
      <x:c r="B158" s="28" t="str">
        <x:v>персик</x:v>
      </x:c>
      <x:c r="C158" s="28" t="str">
        <x:v>персик</x:v>
      </x:c>
      <x:c r="D158" s="28" t="str">
        <x:v>хвоя сосны</x:v>
      </x:c>
      <x:c r="E158" s="28" t="str">
        <x:v>Травы, листья и цветы</x:v>
      </x:c>
      <x:c r="F158" s="28" t="str">
        <x:v>прямое или классовое перекрытие характерных одорантов + вкусовой баланс</x:v>
      </x:c>
      <x:c r="G15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Хвоя сосны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158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15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8" s="28" t="str">
        <x:v>напиток, соус, десерт или горячее блюдо после пробной дегустации</x:v>
      </x:c>
      <x:c r="K158" s="28" t="str">
        <x:v>Средняя</x:v>
      </x:c>
      <x:c r="L158" s="28" t="str">
        <x:v>The Art &amp; Science of Foodpairing.pdf</x:v>
      </x:c>
      <x:c r="M158" s="28" t="str">
        <x:v>The Art &amp; Science of Foodpairing.pdf: 260–261</x:v>
      </x:c>
    </x:row>
    <x:row r="159" ht="64" customHeight="1">
      <x:c r="A159" s="28" t="str">
        <x:v>STN-0218</x:v>
      </x:c>
      <x:c r="B159" s="28" t="str">
        <x:v>персик</x:v>
      </x:c>
      <x:c r="C159" s="28" t="str">
        <x:v>персик</x:v>
      </x:c>
      <x:c r="D159" s="28" t="str">
        <x:v>цветы бузины</x:v>
      </x:c>
      <x:c r="E159" s="28" t="str">
        <x:v>Травы и цветы</x:v>
      </x:c>
      <x:c r="F159" s="28" t="str">
        <x:v>прямое или классовое перекрытие характерных одорантов + вкусовой баланс</x:v>
      </x:c>
      <x:c r="G15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Цветы бузины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5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5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9" s="28" t="str">
        <x:v>напиток, соус, десерт или горячее блюдо после пробной дегустации</x:v>
      </x:c>
      <x:c r="K159" s="28" t="str">
        <x:v>Средняя</x:v>
      </x:c>
      <x:c r="L159" s="28" t="str">
        <x:v>The Art &amp; Science of Foodpairing.pdf</x:v>
      </x:c>
      <x:c r="M159" s="28" t="str">
        <x:v>The Art &amp; Science of Foodpairing.pdf: 260–261</x:v>
      </x:c>
    </x:row>
    <x:row r="160" ht="64" customHeight="1">
      <x:c r="A160" s="28" t="str">
        <x:v>STN-0220</x:v>
      </x:c>
      <x:c r="B160" s="28" t="str">
        <x:v>персик</x:v>
      </x:c>
      <x:c r="C160" s="28" t="str">
        <x:v>персик</x:v>
      </x:c>
      <x:c r="D160" s="28" t="str">
        <x:v>цитрусовые</x:v>
      </x:c>
      <x:c r="E160" s="28" t="str">
        <x:v>Цитрусовые</x:v>
      </x:c>
      <x:c r="F160" s="28" t="str">
        <x:v>прямое или классовое перекрытие характерных одорантов + вкусовой баланс</x:v>
      </x:c>
      <x:c r="G16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Цитрусовые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 и кислый, цедра содержит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16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16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0" s="28" t="str">
        <x:v>сорбет, салат, джем, кордиал, лимонад, коктейль или фруктовый соус</x:v>
      </x:c>
      <x:c r="K160" s="28" t="str">
        <x:v>Гипотеза / практическая</x:v>
      </x:c>
      <x:c r="L160" s="28" t="str">
        <x:v>Таблица сочетания(1).pdf</x:v>
      </x:c>
      <x:c r="M160" s="28" t="str">
        <x:v>Таблица сочетания(1).pdf: Таблица сочетания(1).pdf: 15 | Таблица сочетания(1).pdf: 15</x:v>
      </x:c>
    </x:row>
    <x:row r="161" ht="64" customHeight="1">
      <x:c r="A161" s="28" t="str">
        <x:v>STN-0221</x:v>
      </x:c>
      <x:c r="B161" s="28" t="str">
        <x:v>персик</x:v>
      </x:c>
      <x:c r="C161" s="28" t="str">
        <x:v>персик</x:v>
      </x:c>
      <x:c r="D161" s="28" t="str">
        <x:v>цукаты из апельсиновой кожуры</x:v>
      </x:c>
      <x:c r="E161" s="28" t="str">
        <x:v>Цитрусовые</x:v>
      </x:c>
      <x:c r="F161" s="28" t="str">
        <x:v>комплементарность ароматических семейств, вкусовой контраст и матричный эффект</x:v>
      </x:c>
      <x:c r="G16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Цукаты из апельсиновой кожуры относится к группе «Цитрусовые» и даёт профиль «цитрусовый, сладко-фруктовый, цветочный, восковой»; типичные соединения или классы: лимонен, линалол, деканаль, октаналь, мирцен. По доступным материалам нельзя уверенно свести совместимость к одной общей молекуле.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водный; цедра и ликёры несут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Апельсиновый профиль строится на лимонене и альдегидах с восково-сладкой нотой..</x:v>
      </x:c>
      <x:c r="H16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Апельсиновый профиль строится на лимонене и альдегидах с восково-сладкой нотой..</x:v>
      </x:c>
      <x:c r="I16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1" s="28" t="str">
        <x:v>сорбет, салат, джем, кордиал, лимонад, коктейль или фруктовый соус</x:v>
      </x:c>
      <x:c r="K161" s="28" t="str">
        <x:v>Гипотеза / практическая</x:v>
      </x:c>
      <x:c r="L161" s="28" t="str">
        <x:v>The Art &amp; Science of Foodpairing.pdf</x:v>
      </x:c>
      <x:c r="M161" s="28" t="str">
        <x:v>The Art &amp; Science of Foodpairing.pdf: The Art &amp; Science of Foodpairing.pdf: 267</x:v>
      </x:c>
    </x:row>
    <x:row r="162" ht="64" customHeight="1">
      <x:c r="A162" s="28" t="str">
        <x:v>STN-0222</x:v>
      </x:c>
      <x:c r="B162" s="28" t="str">
        <x:v>персик</x:v>
      </x:c>
      <x:c r="C162" s="28" t="str">
        <x:v>персик</x:v>
      </x:c>
      <x:c r="D162" s="28" t="str">
        <x:v>черешня</x:v>
      </x:c>
      <x:c r="E162" s="28" t="str">
        <x:v>Ягоды и производные</x:v>
      </x:c>
      <x:c r="F162" s="28" t="str">
        <x:v>прямое или классовое перекрытие характерных одорантов + вкусовой баланс</x:v>
      </x:c>
      <x:c r="G16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Черешня относится к группе «Ягоды и производные» и даёт профиль «миндальный, сладко-фруктовый, цветочный»; типичные соединения или классы: бензальдегид, бета-дамасценон, эфиры. В рабочих профилях пересекаются: бензальдегид.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сладкий, умеренно кислый.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нежнее кислой вишни; легко становится приторной.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H16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I16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2" s="28" t="str">
        <x:v>напиток, соус, десерт или горячее блюдо после пробной дегустации</x:v>
      </x:c>
      <x:c r="K162" s="28" t="str">
        <x:v>Средняя</x:v>
      </x:c>
      <x:c r="L162" s="28" t="str">
        <x:v>The Art &amp; Science of Foodpairing.pdf</x:v>
      </x:c>
      <x:c r="M162" s="28" t="str">
        <x:v>The Art &amp; Science of Foodpairing.pdf: The Art &amp; Science of Foodpairing: 260, 261 | The Art &amp; Science of Foodpairing.pdf: 260–261</x:v>
      </x:c>
    </x:row>
    <x:row r="163" ht="64" customHeight="1">
      <x:c r="A163" s="28" t="str">
        <x:v>STN-0223</x:v>
      </x:c>
      <x:c r="B163" s="28" t="str">
        <x:v>персик</x:v>
      </x:c>
      <x:c r="C163" s="28" t="str">
        <x:v>персик</x:v>
      </x:c>
      <x:c r="D163" s="28" t="str">
        <x:v>черная смородина</x:v>
      </x:c>
      <x:c r="E163" s="28" t="str">
        <x:v>Ягоды</x:v>
      </x:c>
      <x:c r="F163" s="28" t="str">
        <x:v>комплементарность ароматических семейств, вкусовой контраст и матричный эффект</x:v>
      </x:c>
      <x:c r="G16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Черная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6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6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3" s="28" t="str">
        <x:v>сорбет, салат, джем, кордиал, лимонад, коктейль или фруктовый соус</x:v>
      </x:c>
      <x:c r="K163" s="28" t="str">
        <x:v>Гипотеза / практическая</x:v>
      </x:c>
      <x:c r="L163" s="28" t="str">
        <x:v>Таблица сочетания(1).pdf</x:v>
      </x:c>
      <x:c r="M163" s="28" t="str">
        <x:v>Таблица сочетания(1).pdf: Таблица сочетаний: 2 | Таблица сочетания(1).pdf: 2</x:v>
      </x:c>
    </x:row>
    <x:row r="164" ht="64" customHeight="1">
      <x:c r="A164" s="28" t="str">
        <x:v>STN-0224</x:v>
      </x:c>
      <x:c r="B164" s="28" t="str">
        <x:v>персик</x:v>
      </x:c>
      <x:c r="C164" s="28" t="str">
        <x:v>персик</x:v>
      </x:c>
      <x:c r="D164" s="28" t="str">
        <x:v>черника</x:v>
      </x:c>
      <x:c r="E164" s="28" t="str">
        <x:v>Ягоды</x:v>
      </x:c>
      <x:c r="F164" s="28" t="str">
        <x:v>комплементарность ароматических семейств, вкусовой контраст и матричный эффект</x:v>
      </x:c>
      <x:c r="G16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6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6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4" s="28" t="str">
        <x:v>сорбет, салат, джем, кордиал, лимонад, коктейль или фруктовый соус</x:v>
      </x:c>
      <x:c r="K164" s="28" t="str">
        <x:v>Средняя</x:v>
      </x:c>
      <x:c r="L164" s="28" t="str">
        <x:v>Тезариус вкусов (Ники Сегнит)(1).pdf</x:v>
      </x:c>
      <x:c r="M164" s="28" t="str">
        <x:v>Тезариус вкусов (Ники Сегнит)(1).pdf: Тезариус вкусов: 751, 905 | Тезариус вкусов (Ники Сегнит)(1).pdf: 751 | Тезариус вкусов (Ники Сегнит)(1).pdf: 905</x:v>
      </x:c>
    </x:row>
    <x:row r="165" ht="64" customHeight="1">
      <x:c r="A165" s="28" t="str">
        <x:v>STN-0225</x:v>
      </x:c>
      <x:c r="B165" s="28" t="str">
        <x:v>персик</x:v>
      </x:c>
      <x:c r="C165" s="28" t="str">
        <x:v>персик</x:v>
      </x:c>
      <x:c r="D165" s="28" t="str">
        <x:v>чернослив</x:v>
      </x:c>
      <x:c r="E165" s="28" t="str">
        <x:v>Сушёные косточковые фрукты</x:v>
      </x:c>
      <x:c r="F165" s="28" t="str">
        <x:v>прямое или классовое перекрытие характерных одорантов + вкусовой баланс</x:v>
      </x:c>
      <x:c r="G16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Чернослив относится к группе «Сушёные косточковые фрукты» и даёт профиль «тёмно-фруктовый, карамельный, винный, слегка дымный и миндальный»; типичные соединения или классы: фурфурол, 5-метилфурфурол, мальтол, лактоны, бензальдегид, продукты термического распада сахаров. В рабочих профилях пересекаются: бензальдегид.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маловодная, богатая сахарами, пектином и сорбитолом; хорошо удерживает специи и алкоголь.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H16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I16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5" s="28" t="str">
        <x:v>напиток, соус, десерт или горячее блюдо после пробной дегустации</x:v>
      </x:c>
      <x:c r="K165" s="28" t="str">
        <x:v>Средняя</x:v>
      </x:c>
      <x:c r="L165" s="28" t="str">
        <x:v>The Art &amp; Science of Foodpairing.pdf</x:v>
      </x:c>
      <x:c r="M165" s="28" t="str">
        <x:v>The Art &amp; Science of Foodpairing.pdf: 260 | The Art &amp; Science of Foodpairing.pdf: 260–261</x:v>
      </x:c>
    </x:row>
    <x:row r="166" ht="64" customHeight="1">
      <x:c r="A166" s="28" t="str">
        <x:v>STN-0227</x:v>
      </x:c>
      <x:c r="B166" s="28" t="str">
        <x:v>персик</x:v>
      </x:c>
      <x:c r="C166" s="28" t="str">
        <x:v>персик</x:v>
      </x:c>
      <x:c r="D166" s="28" t="str">
        <x:v>шиитаке</x:v>
      </x:c>
      <x:c r="E166" s="28" t="str">
        <x:v>Прочее</x:v>
      </x:c>
      <x:c r="F166" s="28" t="str">
        <x:v>комплементарность ароматических семейств, вкусовой контраст и матричный эффект</x:v>
      </x:c>
      <x:c r="G16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Шиитаке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6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6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6" s="28" t="str">
        <x:v>напиток, соус, десерт или горячее блюдо после пробной дегустации</x:v>
      </x:c>
      <x:c r="K166" s="28" t="str">
        <x:v>Средняя</x:v>
      </x:c>
      <x:c r="L166" s="28" t="str">
        <x:v>The Art &amp; Science of Foodpairing.pdf</x:v>
      </x:c>
      <x:c r="M166" s="28" t="str">
        <x:v>The Art &amp; Science of Foodpairing.pdf: 126</x:v>
      </x:c>
    </x:row>
    <x:row r="167" ht="64" customHeight="1">
      <x:c r="A167" s="28" t="str">
        <x:v>STN-0228</x:v>
      </x:c>
      <x:c r="B167" s="28" t="str">
        <x:v>персик</x:v>
      </x:c>
      <x:c r="C167" s="28" t="str">
        <x:v>персик</x:v>
      </x:c>
      <x:c r="D167" s="28" t="str">
        <x:v>шнитт-лук</x:v>
      </x:c>
      <x:c r="E167" s="28" t="str">
        <x:v>Травы, листья и цветы</x:v>
      </x:c>
      <x:c r="F167" s="28" t="str">
        <x:v>прямое или классовое перекрытие характерных одорантов + вкусовой баланс</x:v>
      </x:c>
      <x:c r="G16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Шнитт-лук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167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16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7" s="28" t="str">
        <x:v>напиток, соус, десерт или горячее блюдо после пробной дегустации</x:v>
      </x:c>
      <x:c r="K167" s="28" t="str">
        <x:v>Средняя</x:v>
      </x:c>
      <x:c r="L167" s="28" t="str">
        <x:v>The Art &amp; Science of Foodpairing.pdf</x:v>
      </x:c>
      <x:c r="M167" s="28" t="str">
        <x:v>The Art &amp; Science of Foodpairing.pdf: 260–261</x:v>
      </x:c>
    </x:row>
    <x:row r="168" ht="64" customHeight="1">
      <x:c r="A168" s="28" t="str">
        <x:v>STN-0229</x:v>
      </x:c>
      <x:c r="B168" s="28" t="str">
        <x:v>персик</x:v>
      </x:c>
      <x:c r="C168" s="28" t="str">
        <x:v>персик</x:v>
      </x:c>
      <x:c r="D168" s="28" t="str">
        <x:v>шоколад</x:v>
      </x:c>
      <x:c r="E168" s="28" t="str">
        <x:v>Чай, кофе и какао</x:v>
      </x:c>
      <x:c r="F168" s="28" t="str">
        <x:v>комплементарность ароматических семейств, вкусовой контраст и матричный эффект</x:v>
      </x:c>
      <x:c r="G16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горечь, терпкость и жареная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водные настои извлекают полифенолы; жир и сахар смягчают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16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16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8" s="28" t="str">
        <x:v>напиток, соус, десерт или горячее блюдо после пробной дегустации</x:v>
      </x:c>
      <x:c r="K168" s="28" t="str">
        <x:v>Высокая</x:v>
      </x:c>
      <x:c r="L168" s="28" t="str">
        <x:v>The Art &amp; Science of Foodpairing.pdf | Таблица сочетания(1).pdf</x:v>
      </x:c>
      <x:c r="M168" s="28" t="str">
        <x:v>Таблица сочетания(1).pdf: 15 | The Art &amp; Science of Foodpairing.pdf: 62</x:v>
      </x:c>
    </x:row>
    <x:row r="169" ht="64" customHeight="1">
      <x:c r="A169" s="28" t="str">
        <x:v>STN-0230</x:v>
      </x:c>
      <x:c r="B169" s="28" t="str">
        <x:v>персик</x:v>
      </x:c>
      <x:c r="C169" s="28" t="str">
        <x:v>персик</x:v>
      </x:c>
      <x:c r="D169" s="28" t="str">
        <x:v>эстрагон</x:v>
      </x:c>
      <x:c r="E169" s="28" t="str">
        <x:v>Травы и цветы</x:v>
      </x:c>
      <x:c r="F169" s="28" t="str">
        <x:v>прямое или классовое перекрытие характерных одорантов + вкусовой баланс</x:v>
      </x:c>
      <x:c r="G16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Эстрагон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горьковатый, свежий.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летучие масла чувствительны к нагреву.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6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6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9" s="28" t="str">
        <x:v>напиток, соус, десерт или горячее блюдо после пробной дегустации</x:v>
      </x:c>
      <x:c r="K169" s="28" t="str">
        <x:v>Средняя</x:v>
      </x:c>
      <x:c r="L169" s="28" t="str">
        <x:v>The Art &amp; Science of Foodpairing.pdf</x:v>
      </x:c>
      <x:c r="M169" s="28" t="str">
        <x:v>The Art &amp; Science of Foodpairing.pdf: 260–261</x:v>
      </x:c>
    </x:row>
    <x:row r="170" ht="64" customHeight="1">
      <x:c r="A170" s="28" t="str">
        <x:v>STN-0231</x:v>
      </x:c>
      <x:c r="B170" s="28" t="str">
        <x:v>персик</x:v>
      </x:c>
      <x:c r="C170" s="28" t="str">
        <x:v>персик</x:v>
      </x:c>
      <x:c r="D170" s="28" t="str">
        <x:v>ягоды</x:v>
      </x:c>
      <x:c r="E170" s="28" t="str">
        <x:v>Прочее</x:v>
      </x:c>
      <x:c r="F170" s="28" t="str">
        <x:v>комплементарность ароматических семейств, вкусовой контраст и матричный эффект</x:v>
      </x:c>
      <x:c r="G17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Ягоды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7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7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70" s="28" t="str">
        <x:v>напиток, соус, десерт или горячее блюдо после пробной дегустации</x:v>
      </x:c>
      <x:c r="K170" s="28" t="str">
        <x:v>Гипотеза / практическая</x:v>
      </x:c>
      <x:c r="L170" s="28" t="str">
        <x:v>Таблица сочетания(1).pdf</x:v>
      </x:c>
      <x:c r="M170" s="28" t="str">
        <x:v>Таблица сочетания(1).pdf: 15</x:v>
      </x:c>
    </x:row>
    <x:row r="171" ht="64" customHeight="1">
      <x:c r="A171" s="28" t="str">
        <x:v>STN-0232</x:v>
      </x:c>
      <x:c r="B171" s="28" t="str">
        <x:v>персик</x:v>
      </x:c>
      <x:c r="C171" s="28" t="str">
        <x:v>персик</x:v>
      </x:c>
      <x:c r="D171" s="28" t="str">
        <x:v>ягоды можжевельника</x:v>
      </x:c>
      <x:c r="E171" s="28" t="str">
        <x:v>Прочее</x:v>
      </x:c>
      <x:c r="F171" s="28" t="str">
        <x:v>комплементарность ароматических семейств, вкусовой контраст и матричный эффект</x:v>
      </x:c>
      <x:c r="G17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Ягоды можжевельника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7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7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71" s="28" t="str">
        <x:v>напиток, соус, десерт или горячее блюдо после пробной дегустации</x:v>
      </x:c>
      <x:c r="K171" s="28" t="str">
        <x:v>Гипотеза / практическая</x:v>
      </x:c>
      <x:c r="L171" s="28" t="str">
        <x:v>Таблица сочетания(1).pdf</x:v>
      </x:c>
      <x:c r="M171" s="28" t="str">
        <x:v>Таблица сочетания(1).pdf: 10</x:v>
      </x:c>
    </x:row>
    <x:row r="172" ht="64" customHeight="1">
      <x:c r="A172" s="28" t="str">
        <x:v>STN-0236</x:v>
      </x:c>
      <x:c r="B172" s="28" t="str">
        <x:v>нектарин</x:v>
      </x:c>
      <x:c r="C172" s="28" t="str">
        <x:v>нектарин</x:v>
      </x:c>
      <x:c r="D172" s="28" t="str">
        <x:v>авокадо</x:v>
      </x:c>
      <x:c r="E172" s="28" t="str">
        <x:v>Тропические фрукты и жирные матрицы</x:v>
      </x:c>
      <x:c r="F172" s="28" t="str">
        <x:v>комплементарность ароматических семейств, вкусовой контраст и матричный эффект</x:v>
      </x:c>
      <x:c r="G17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мягкий, жирный, почти несладкий; лёгкая растительная горечь.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высокожировая эмульсия; хорошо растворяет гидрофобные ароматические молекулы.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17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17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2" s="28" t="str">
        <x:v>напиток, соус, десерт или горячее блюдо после пробной дегустации</x:v>
      </x:c>
      <x:c r="K172" s="28" t="str">
        <x:v>Средняя</x:v>
      </x:c>
      <x:c r="L172" s="28" t="str">
        <x:v>The Art &amp; Science of Foodpairing.pdf</x:v>
      </x:c>
      <x:c r="M172" s="28" t="str">
        <x:v>The Art &amp; Science of Foodpairing.pdf: 260–261</x:v>
      </x:c>
    </x:row>
    <x:row r="173" ht="64" customHeight="1">
      <x:c r="A173" s="28" t="str">
        <x:v>STN-0237</x:v>
      </x:c>
      <x:c r="B173" s="28" t="str">
        <x:v>нектарин</x:v>
      </x:c>
      <x:c r="C173" s="28" t="str">
        <x:v>нектарин</x:v>
      </x:c>
      <x:c r="D173" s="28" t="str">
        <x:v>айва</x:v>
      </x:c>
      <x:c r="E173" s="28" t="str">
        <x:v>Семечковые фрукты</x:v>
      </x:c>
      <x:c r="F173" s="28" t="str">
        <x:v>прямое или классовое перекрытие характерных одорантов + вкусовой баланс</x:v>
      </x:c>
      <x:c r="G17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Айва относится к группе «Семечковые фрукты» и даёт профиль «цветочный, яблочно-грушевый, цитрусовый, медовый и слегка древесный»; типичные соединения или классы: эфиры жирных кислот, лактоны, линалоол, α-терпинеол, C6-альдегиды. В рабочих профилях пересекаются: линалоол, c6-альдегиды, эфиры.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кислотность и выраженная терпкость в сыром виде; после нагрева — сладко-фруктовый профиль.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плотная, пектиновая и малосочная; хорошо удерживает аромат в желе и сиропах.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сырая айва жёсткая и вяжущая; избыток дубильных веществ требует сахара, жира или длительного нагрева.</x:v>
      </x:c>
      <x:c r="H17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сырая айва жёсткая и вяжущая; избыток дубильных веществ требует сахара, жира или длительного нагрева.</x:v>
      </x:c>
      <x:c r="I17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3" s="28" t="str">
        <x:v>напиток, соус, десерт или горячее блюдо после пробной дегустации</x:v>
      </x:c>
      <x:c r="K173" s="28" t="str">
        <x:v>Гипотеза / практическая</x:v>
      </x:c>
      <x:c r="L173" s="28" t="str">
        <x:v>Таблица сочетания(1).pdf</x:v>
      </x:c>
      <x:c r="M173" s="28" t="str">
        <x:v>Таблица сочетания(1).pdf: Таблица сочетаний: 18 | Таблица сочетания(1).pdf: 18</x:v>
      </x:c>
    </x:row>
    <x:row r="174" ht="64" customHeight="1">
      <x:c r="A174" s="28" t="str">
        <x:v>STN-0239</x:v>
      </x:c>
      <x:c r="B174" s="28" t="str">
        <x:v>нектарин</x:v>
      </x:c>
      <x:c r="C174" s="28" t="str">
        <x:v>нектарин</x:v>
      </x:c>
      <x:c r="D174" s="28" t="str">
        <x:v>ананас</x:v>
      </x:c>
      <x:c r="E174" s="28" t="str">
        <x:v>Тропические фрукты</x:v>
      </x:c>
      <x:c r="F174" s="28" t="str">
        <x:v>комплементарность ароматических семейств, вкусовой контраст и матричный эффект</x:v>
      </x:c>
      <x:c r="G17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Ананас относится к группе «Тропические фрукты» и даёт профиль «яркий фруктовый, конфетный, цитрусовый, зелёный и слегка сернистый»; типичные соединения или классы: метилгексаноат, этилгексаноат, этилбутират, метил-3-(метилтио)пропионат и другие сернистые следы. По доступным материалам нельзя уверенно свести совместимость к одной общей молекуле. Общие ароматические направления: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выраженная сладость и кислотность; лёгкая терпкость сердцевины.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кислая; содержит протеазу бромелайн, разрушающую белки.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H17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I17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4" s="28" t="str">
        <x:v>напиток, соус, десерт или горячее блюдо после пробной дегустации</x:v>
      </x:c>
      <x:c r="K174" s="28" t="str">
        <x:v>Средняя</x:v>
      </x:c>
      <x:c r="L174" s="28" t="str">
        <x:v>The Art &amp; Science of Foodpairing.pdf</x:v>
      </x:c>
      <x:c r="M174" s="28" t="str">
        <x:v>The Art &amp; Science of Foodpairing.pdf: The Art &amp; Science of Foodpairing: 243 | The Art &amp; Science of Foodpairing.pdf: 243</x:v>
      </x:c>
    </x:row>
    <x:row r="175" ht="64" customHeight="1">
      <x:c r="A175" s="28" t="str">
        <x:v>STN-0240</x:v>
      </x:c>
      <x:c r="B175" s="28" t="str">
        <x:v>нектарин</x:v>
      </x:c>
      <x:c r="C175" s="28" t="str">
        <x:v>нектарин</x:v>
      </x:c>
      <x:c r="D175" s="28" t="str">
        <x:v>анис</x:v>
      </x:c>
      <x:c r="E175" s="28" t="str">
        <x:v>Специи и острые компоненты</x:v>
      </x:c>
      <x:c r="F175" s="28" t="str">
        <x:v>комплементарность ароматических семейств, вкусовой контраст и матричный эффект</x:v>
      </x:c>
      <x:c r="G17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Анис относится к группе «Специи и острые компоненты» и даёт профиль «сладкий лакричный и пряный»; типичные соединения или классы: анетол.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75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75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175" s="28" t="str">
        <x:v>напиток, соус, десерт или горячее блюдо после пробной дегустации</x:v>
      </x:c>
      <x:c r="K175" s="28" t="str">
        <x:v>Гипотеза / практическая</x:v>
      </x:c>
      <x:c r="L175" s="28" t="str">
        <x:v>Таблица сочетания(1).pdf</x:v>
      </x:c>
      <x:c r="M175" s="28" t="str">
        <x:v>Таблица сочетания(1).pdf: 14</x:v>
      </x:c>
    </x:row>
    <x:row r="176" ht="64" customHeight="1">
      <x:c r="A176" s="28" t="str">
        <x:v>STN-0241</x:v>
      </x:c>
      <x:c r="B176" s="28" t="str">
        <x:v>нектарин</x:v>
      </x:c>
      <x:c r="C176" s="28" t="str">
        <x:v>нектарин</x:v>
      </x:c>
      <x:c r="D176" s="28" t="str">
        <x:v>апельсин</x:v>
      </x:c>
      <x:c r="E176" s="28" t="str">
        <x:v>Цитрусовые</x:v>
      </x:c>
      <x:c r="F176" s="28" t="str">
        <x:v>прямое или классовое перекрытие характерных одорантов + вкусовой баланс</x:v>
      </x:c>
      <x:c r="G17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17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17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6" s="28" t="str">
        <x:v>сорбет, салат, джем, кордиал, лимонад, коктейль или фруктовый соус</x:v>
      </x:c>
      <x:c r="K176" s="28" t="str">
        <x:v>Гипотеза / практическая</x:v>
      </x:c>
      <x:c r="L176" s="28" t="str">
        <x:v>Таблица сочетания(1).pdf</x:v>
      </x:c>
      <x:c r="M176" s="28" t="str">
        <x:v>Таблица сочетания(1).pdf: Таблица сочетания(1).pdf: 14 | Таблица сочетания(1).pdf: 14</x:v>
      </x:c>
    </x:row>
    <x:row r="177" ht="64" customHeight="1">
      <x:c r="A177" s="28" t="str">
        <x:v>STN-0242</x:v>
      </x:c>
      <x:c r="B177" s="28" t="str">
        <x:v>нектарин</x:v>
      </x:c>
      <x:c r="C177" s="28" t="str">
        <x:v>нектарин</x:v>
      </x:c>
      <x:c r="D177" s="28" t="str">
        <x:v>артишок</x:v>
      </x:c>
      <x:c r="E177" s="28" t="str">
        <x:v>Овощи и грибы</x:v>
      </x:c>
      <x:c r="F177" s="28" t="str">
        <x:v>прямое или классовое перекрытие характерных одорантов + вкусовой баланс</x:v>
      </x:c>
      <x:c r="G17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Артишок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растительный, иногда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высокая доля воды; нагрев меняет зелёный профиль.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7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7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7" s="28" t="str">
        <x:v>напиток, соус, десерт или горячее блюдо после пробной дегустации</x:v>
      </x:c>
      <x:c r="K177" s="28" t="str">
        <x:v>Средняя</x:v>
      </x:c>
      <x:c r="L177" s="28" t="str">
        <x:v>The Art &amp; Science of Foodpairing.pdf</x:v>
      </x:c>
      <x:c r="M177" s="28" t="str">
        <x:v>The Art &amp; Science of Foodpairing.pdf: 329</x:v>
      </x:c>
    </x:row>
    <x:row r="178" ht="64" customHeight="1">
      <x:c r="A178" s="28" t="str">
        <x:v>STN-0243</x:v>
      </x:c>
      <x:c r="B178" s="28" t="str">
        <x:v>нектарин</x:v>
      </x:c>
      <x:c r="C178" s="28" t="str">
        <x:v>нектарин</x:v>
      </x:c>
      <x:c r="D178" s="28" t="str">
        <x:v>бадьян</x:v>
      </x:c>
      <x:c r="E178" s="28" t="str">
        <x:v>Специи и острые компоненты</x:v>
      </x:c>
      <x:c r="F178" s="28" t="str">
        <x:v>комплементарность ароматических семейств, вкусовой контраст и матричный эффект</x:v>
      </x:c>
      <x:c r="G17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Бадьян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78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78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178" s="28" t="str">
        <x:v>напиток, соус, десерт или горячее блюдо после пробной дегустации</x:v>
      </x:c>
      <x:c r="K178" s="28" t="str">
        <x:v>Средняя</x:v>
      </x:c>
      <x:c r="L178" s="28" t="str">
        <x:v>The Art &amp; Science of Foodpairing.pdf</x:v>
      </x:c>
      <x:c r="M178" s="28" t="str">
        <x:v>The Art &amp; Science of Foodpairing.pdf: 260–261</x:v>
      </x:c>
    </x:row>
    <x:row r="179" ht="64" customHeight="1">
      <x:c r="A179" s="28" t="str">
        <x:v>STN-0246</x:v>
      </x:c>
      <x:c r="B179" s="28" t="str">
        <x:v>нектарин</x:v>
      </x:c>
      <x:c r="C179" s="28" t="str">
        <x:v>нектарин</x:v>
      </x:c>
      <x:c r="D179" s="28" t="str">
        <x:v>бейгл</x:v>
      </x:c>
      <x:c r="E179" s="28" t="str">
        <x:v>Злаки и выпечка</x:v>
      </x:c>
      <x:c r="F179" s="28" t="str">
        <x:v>комплементарность ароматических семейств, вкусовой контраст и матричный эффект</x:v>
      </x:c>
      <x:c r="G17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Бейгл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крахмальная матрица приглушает кислоту и распределяет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17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17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79" s="28" t="str">
        <x:v>тарт, крем, мороженое, выпечка, сырная подача или начинка</x:v>
      </x:c>
      <x:c r="K179" s="28" t="str">
        <x:v>Средняя</x:v>
      </x:c>
      <x:c r="L179" s="28" t="str">
        <x:v>The Art &amp; Science of Foodpairing.pdf</x:v>
      </x:c>
      <x:c r="M179" s="28" t="str">
        <x:v>The Art &amp; Science of Foodpairing.pdf: 260–261</x:v>
      </x:c>
    </x:row>
    <x:row r="180" ht="64" customHeight="1">
      <x:c r="A180" s="28" t="str">
        <x:v>STN-0247</x:v>
      </x:c>
      <x:c r="B180" s="28" t="str">
        <x:v>нектарин</x:v>
      </x:c>
      <x:c r="C180" s="28" t="str">
        <x:v>нектарин</x:v>
      </x:c>
      <x:c r="D180" s="28" t="str">
        <x:v>белый перец</x:v>
      </x:c>
      <x:c r="E180" s="28" t="str">
        <x:v>Специи и острые компоненты</x:v>
      </x:c>
      <x:c r="F180" s="28" t="str">
        <x:v>комплементарность ароматических семейств, вкусовой контраст и матричный эффект</x:v>
      </x:c>
      <x:c r="G18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Белый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180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180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180" s="28" t="str">
        <x:v>напиток, соус, десерт или горячее блюдо после пробной дегустации</x:v>
      </x:c>
      <x:c r="K180" s="28" t="str">
        <x:v>Средняя</x:v>
      </x:c>
      <x:c r="L180" s="28" t="str">
        <x:v>The Art &amp; Science of Foodpairing.pdf</x:v>
      </x:c>
      <x:c r="M180" s="28" t="str">
        <x:v>The Art &amp; Science of Foodpairing.pdf: 273</x:v>
      </x:c>
    </x:row>
    <x:row r="181" ht="64" customHeight="1">
      <x:c r="A181" s="28" t="str">
        <x:v>STN-0248</x:v>
      </x:c>
      <x:c r="B181" s="28" t="str">
        <x:v>нектарин</x:v>
      </x:c>
      <x:c r="C181" s="28" t="str">
        <x:v>нектарин</x:v>
      </x:c>
      <x:c r="D181" s="28" t="str">
        <x:v>белый тостовый хлеб</x:v>
      </x:c>
      <x:c r="E181" s="28" t="str">
        <x:v>Злаки и выпечка</x:v>
      </x:c>
      <x:c r="F181" s="28" t="str">
        <x:v>комплементарность ароматических семейств, вкусовой контраст и матричный эффект</x:v>
      </x:c>
      <x:c r="G18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Белый тостовый хлеб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крахмальная матрица приглушает кислоту и распределяет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18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18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1" s="28" t="str">
        <x:v>тарт, крем, мороженое, выпечка, сырная подача или начинка</x:v>
      </x:c>
      <x:c r="K181" s="28" t="str">
        <x:v>Средняя</x:v>
      </x:c>
      <x:c r="L181" s="28" t="str">
        <x:v>The Art &amp; Science of Foodpairing.pdf</x:v>
      </x:c>
      <x:c r="M181" s="28" t="str">
        <x:v>The Art &amp; Science of Foodpairing.pdf: 260–261</x:v>
      </x:c>
    </x:row>
    <x:row r="182" ht="64" customHeight="1">
      <x:c r="A182" s="28" t="str">
        <x:v>STN-0249</x:v>
      </x:c>
      <x:c r="B182" s="28" t="str">
        <x:v>нектарин</x:v>
      </x:c>
      <x:c r="C182" s="28" t="str">
        <x:v>нектарин</x:v>
      </x:c>
      <x:c r="D182" s="28" t="str">
        <x:v>бергамот</x:v>
      </x:c>
      <x:c r="E182" s="28" t="str">
        <x:v>Цитрусовые</x:v>
      </x:c>
      <x:c r="F182" s="28" t="str">
        <x:v>прямое или классовое перекрытие характерных одорантов + вкусовой баланс</x:v>
      </x:c>
      <x:c r="G18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Бергамот относится к группе «Цитрусовые» и даёт профиль «зелёный, цветочный, цитрусовый»; типичные соединения или классы: лимонен, линалоол, цитраль.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вода и эфирные масла; цедра гидрофобна.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8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8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2" s="28" t="str">
        <x:v>сорбет, салат, джем, кордиал, лимонад, коктейль или фруктовый соус</x:v>
      </x:c>
      <x:c r="K182" s="28" t="str">
        <x:v>Средняя</x:v>
      </x:c>
      <x:c r="L182" s="28" t="str">
        <x:v>The Art &amp; Science of Foodpairing.pdf</x:v>
      </x:c>
      <x:c r="M182" s="28" t="str">
        <x:v>The Art &amp; Science of Foodpairing.pdf: 260–261</x:v>
      </x:c>
    </x:row>
    <x:row r="183" ht="64" customHeight="1">
      <x:c r="A183" s="28" t="str">
        <x:v>STN-0250</x:v>
      </x:c>
      <x:c r="B183" s="28" t="str">
        <x:v>нектарин</x:v>
      </x:c>
      <x:c r="C183" s="28" t="str">
        <x:v>нектарин</x:v>
      </x:c>
      <x:c r="D183" s="28" t="str">
        <x:v>бриошь</x:v>
      </x:c>
      <x:c r="E183" s="28" t="str">
        <x:v>Злаки, хлеб и выпечка</x:v>
      </x:c>
      <x:c r="F183" s="28" t="str">
        <x:v>комплементарность ароматических семейств, вкусовой контраст и матричный эффект</x:v>
      </x:c>
      <x:c r="G18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Бриошь относится к группе «Злаки, хлеб и выпечка» и даёт профиль «хлебный, зерновой, ореховый, жареный и карамельный»; типичные соединения или классы: 2-ацетил-1-пирролин, пиразины, фураны, мальтол.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крахмалистость, лёгкая сладость и жареная горечь.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 и клетчатка смягчают кислоту и поглощают ароматические соусы.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H18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I18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3" s="28" t="str">
        <x:v>напиток, соус, десерт или горячее блюдо после пробной дегустации</x:v>
      </x:c>
      <x:c r="K183" s="28" t="str">
        <x:v>Средняя</x:v>
      </x:c>
      <x:c r="L183" s="28" t="str">
        <x:v>The Art &amp; Science of Foodpairing.pdf</x:v>
      </x:c>
      <x:c r="M183" s="28" t="str">
        <x:v>The Art &amp; Science of Foodpairing.pdf: 260–261</x:v>
      </x:c>
    </x:row>
    <x:row r="184" ht="64" customHeight="1">
      <x:c r="A184" s="28" t="str">
        <x:v>STN-0252</x:v>
      </x:c>
      <x:c r="B184" s="28" t="str">
        <x:v>нектарин</x:v>
      </x:c>
      <x:c r="C184" s="28" t="str">
        <x:v>нектарин</x:v>
      </x:c>
      <x:c r="D184" s="28" t="str">
        <x:v>вишня</x:v>
      </x:c>
      <x:c r="E184" s="28" t="str">
        <x:v>Косточковые фрукты</x:v>
      </x:c>
      <x:c r="F184" s="28" t="str">
        <x:v>прямое или классовое перекрытие характерных одорантов + вкусовой баланс</x:v>
      </x:c>
      <x:c r="G18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линалоол, эфиры. Общие ароматические направления: цветочный, фруктовый, лактонный.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 и умеренная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пектиновая; кожица и косточка могут давать терпкость и миндальные ноты.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18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18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4" s="28" t="str">
        <x:v>напиток, соус, десерт или горячее блюдо после пробной дегустации</x:v>
      </x:c>
      <x:c r="K184" s="28" t="str">
        <x:v>Гипотеза / практическая</x:v>
      </x:c>
      <x:c r="L184" s="28" t="str">
        <x:v>Таблица сочетания(1).pdf</x:v>
      </x:c>
      <x:c r="M184" s="28" t="str">
        <x:v>Таблица сочетания(1).pdf: Таблица сочетаний: 4, 14 | Таблица сочетания(1).pdf: 4 | Таблица сочетания(1).pdf: 14</x:v>
      </x:c>
    </x:row>
    <x:row r="185" ht="64" customHeight="1">
      <x:c r="A185" s="28" t="str">
        <x:v>STN-0256</x:v>
      </x:c>
      <x:c r="B185" s="28" t="str">
        <x:v>нектарин</x:v>
      </x:c>
      <x:c r="C185" s="28" t="str">
        <x:v>нектарин</x:v>
      </x:c>
      <x:c r="D185" s="28" t="str">
        <x:v>голубика</x:v>
      </x:c>
      <x:c r="E185" s="28" t="str">
        <x:v>Ягоды</x:v>
      </x:c>
      <x:c r="F185" s="28" t="str">
        <x:v>прямое или классовое перекрытие характерных одорантов + вкусовой баланс</x:v>
      </x:c>
      <x:c r="G18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8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8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5" s="28" t="str">
        <x:v>сорбет, салат, джем, кордиал, лимонад, коктейль или фруктовый соус</x:v>
      </x:c>
      <x:c r="K185" s="28" t="str">
        <x:v>Высокая</x:v>
      </x:c>
      <x:c r="L185" s="28" t="str">
        <x:v>The Art &amp; Science of Foodpairing.pdf | Таблица сочетания(1).pdf</x:v>
      </x:c>
      <x:c r="M185" s="28" t="str">
        <x:v>Таблица сочетания(1).pdf: Таблица сочетаний: 14 | Таблица сочетания(1).pdf: 14 | The Art &amp; Science of Foodpairing.pdf: 202</x:v>
      </x:c>
    </x:row>
    <x:row r="186" ht="64" customHeight="1">
      <x:c r="A186" s="28" t="str">
        <x:v>STN-0257</x:v>
      </x:c>
      <x:c r="B186" s="28" t="str">
        <x:v>нектарин</x:v>
      </x:c>
      <x:c r="C186" s="28" t="str">
        <x:v>нектарин</x:v>
      </x:c>
      <x:c r="D186" s="28" t="str">
        <x:v>горгонзола</x:v>
      </x:c>
      <x:c r="E186" s="28" t="str">
        <x:v>Прочее</x:v>
      </x:c>
      <x:c r="F186" s="28" t="str">
        <x:v>комплементарность ароматических семейств, вкусовой контраст и матричный эффект</x:v>
      </x:c>
      <x:c r="G18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Горгонзола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важны вода, жир, белок, сахар и температура.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8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8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6" s="28" t="str">
        <x:v>напиток, соус, десерт или горячее блюдо после пробной дегустации</x:v>
      </x:c>
      <x:c r="K186" s="28" t="str">
        <x:v>Средняя</x:v>
      </x:c>
      <x:c r="L186" s="28" t="str">
        <x:v>The Art &amp; Science of Foodpairing.pdf</x:v>
      </x:c>
      <x:c r="M186" s="28" t="str">
        <x:v>The Art &amp; Science of Foodpairing.pdf: 260–261</x:v>
      </x:c>
    </x:row>
    <x:row r="187" ht="64" customHeight="1">
      <x:c r="A187" s="28" t="str">
        <x:v>STN-0258</x:v>
      </x:c>
      <x:c r="B187" s="28" t="str">
        <x:v>нектарин</x:v>
      </x:c>
      <x:c r="C187" s="28" t="str">
        <x:v>нектарин</x:v>
      </x:c>
      <x:c r="D187" s="28" t="str">
        <x:v>гранат</x:v>
      </x:c>
      <x:c r="E187" s="28" t="str">
        <x:v>Субтропические фрукты</x:v>
      </x:c>
      <x:c r="F187" s="28" t="str">
        <x:v>прямое или классовое перекрытие характерных одорантов + вкусовой баланс</x:v>
      </x:c>
      <x:c r="G18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Гранат относится к группе «Субтропические фрукты» и даёт профиль «красно-фруктовый, цветочный, зелёный и винный»; типичные соединения или классы: гексаналь, (E)-2-гексеналь, эфиры, терпены; нелетучие пуникалагины и антоцианы. В рабочих профилях пересекаются: эфиры. Общие ароматические направления: цветочный,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яркая кислотность, сладость и выраженная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водный сок с полифенолами; семена дают хруст и лёгкую горечь.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H18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I18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7" s="28" t="str">
        <x:v>напиток, соус, десерт или горячее блюдо после пробной дегустации</x:v>
      </x:c>
      <x:c r="K187" s="28" t="str">
        <x:v>Средняя</x:v>
      </x:c>
      <x:c r="L187" s="28" t="str">
        <x:v>The Art &amp; Science of Foodpairing.pdf</x:v>
      </x:c>
      <x:c r="M187" s="28" t="str">
        <x:v>The Art &amp; Science of Foodpairing.pdf: 260–261</x:v>
      </x:c>
    </x:row>
    <x:row r="188" ht="64" customHeight="1">
      <x:c r="A188" s="28" t="str">
        <x:v>STN-0259</x:v>
      </x:c>
      <x:c r="B188" s="28" t="str">
        <x:v>нектарин</x:v>
      </x:c>
      <x:c r="C188" s="28" t="str">
        <x:v>нектарин</x:v>
      </x:c>
      <x:c r="D188" s="28" t="str">
        <x:v>грейпфрут</x:v>
      </x:c>
      <x:c r="E188" s="28" t="str">
        <x:v>Цитрусовые</x:v>
      </x:c>
      <x:c r="F188" s="28" t="str">
        <x:v>прямое или классовое перекрытие характерных одорантов + вкусовой баланс</x:v>
      </x:c>
      <x:c r="G18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Грейпфрут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18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18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8" s="28" t="str">
        <x:v>сорбет, салат, джем, кордиал, лимонад, коктейль или фруктовый соус</x:v>
      </x:c>
      <x:c r="K188" s="28" t="str">
        <x:v>Средняя</x:v>
      </x:c>
      <x:c r="L188" s="28" t="str">
        <x:v>The Art &amp; Science of Foodpairing.pdf</x:v>
      </x:c>
      <x:c r="M188" s="28" t="str">
        <x:v>The Art &amp; Science of Foodpairing.pdf: 359</x:v>
      </x:c>
    </x:row>
    <x:row r="189" ht="64" customHeight="1">
      <x:c r="A189" s="28" t="str">
        <x:v>STN-0260</x:v>
      </x:c>
      <x:c r="B189" s="28" t="str">
        <x:v>нектарин</x:v>
      </x:c>
      <x:c r="C189" s="28" t="str">
        <x:v>нектарин</x:v>
      </x:c>
      <x:c r="D189" s="28" t="str">
        <x:v>груша</x:v>
      </x:c>
      <x:c r="E189" s="28" t="str">
        <x:v>Семечковые фрукты</x:v>
      </x:c>
      <x:c r="F189" s="28" t="str">
        <x:v>прямое или классовое перекрытие характерных одорантов + вкусовой баланс</x:v>
      </x:c>
      <x:c r="G18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Груша относится к группе «Семечковые фрукты» и даёт профиль «сочный фруктовый, цветочный, медовый, зелёный; у зрелых сортов — винный и пряный»; типичные соединения или классы: этил (E,Z)-2,4-декадиеноат («грушевый эфир»), гексилацетат, бутилацетат, гексаналь, линалоол. В рабочих профилях пересекаются: линалоол. Общие ароматические направления: цветочный,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мягкая сладость, умеренная кислотность, иногда лёгкая зернистость и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водная, богатая пектином и каменистыми клетками; летучие эфиры чувствительны к перегреву.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H18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I18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89" s="28" t="str">
        <x:v>напиток, соус, десерт или горячее блюдо после пробной дегустации</x:v>
      </x:c>
      <x:c r="K189" s="28" t="str">
        <x:v>Гипотеза / практическая</x:v>
      </x:c>
      <x:c r="L189" s="28" t="str">
        <x:v>The Art &amp; Science of Foodpairing.pdf</x:v>
      </x:c>
      <x:c r="M189" s="28" t="str">
        <x:v>The Art &amp; Science of Foodpairing.pdf: The Art &amp; Science of Foodpairing: 351</x:v>
      </x:c>
    </x:row>
    <x:row r="190" ht="64" customHeight="1">
      <x:c r="A190" s="28" t="str">
        <x:v>STN-0261</x:v>
      </x:c>
      <x:c r="B190" s="28" t="str">
        <x:v>нектарин</x:v>
      </x:c>
      <x:c r="C190" s="28" t="str">
        <x:v>нектарин</x:v>
      </x:c>
      <x:c r="D190" s="28" t="str">
        <x:v>груша conference</x:v>
      </x:c>
      <x:c r="E190" s="28" t="str">
        <x:v>Фрукты</x:v>
      </x:c>
      <x:c r="F190" s="28" t="str">
        <x:v>прямое или классовое перекрытие характерных одорантов + вкусовой баланс</x:v>
      </x:c>
      <x:c r="G19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Груша conference относится к группе «Фрукты» и даёт профиль «зелёный, фруктовый, цветочный»; типичные соединения или классы: лактоны, терпены, эфиры.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фруктовая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9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9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0" s="28" t="str">
        <x:v>сорбет, салат, джем, кордиал, лимонад, коктейль или фруктовый соус</x:v>
      </x:c>
      <x:c r="K190" s="28" t="str">
        <x:v>Средняя</x:v>
      </x:c>
      <x:c r="L190" s="28" t="str">
        <x:v>The Art &amp; Science of Foodpairing.pdf</x:v>
      </x:c>
      <x:c r="M190" s="28" t="str">
        <x:v>The Art &amp; Science of Foodpairing.pdf: 351</x:v>
      </x:c>
    </x:row>
    <x:row r="191" ht="64" customHeight="1">
      <x:c r="A191" s="28" t="str">
        <x:v>STN-0262</x:v>
      </x:c>
      <x:c r="B191" s="28" t="str">
        <x:v>нектарин</x:v>
      </x:c>
      <x:c r="C191" s="28" t="str">
        <x:v>нектарин</x:v>
      </x:c>
      <x:c r="D191" s="28" t="str">
        <x:v>грюйер</x:v>
      </x:c>
      <x:c r="E191" s="28" t="str">
        <x:v>Молочные продукты и сыры</x:v>
      </x:c>
      <x:c r="F191" s="28" t="str">
        <x:v>комплементарность ароматических семейств, вкусовой контраст и матричный эффект</x:v>
      </x:c>
      <x:c r="G19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Грюйер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жирный, кислый/солёный.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жировая и белковая матрица смягчает кислотность.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9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9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1" s="28" t="str">
        <x:v>напиток, соус, десерт или горячее блюдо после пробной дегустации</x:v>
      </x:c>
      <x:c r="K191" s="28" t="str">
        <x:v>Средняя</x:v>
      </x:c>
      <x:c r="L191" s="28" t="str">
        <x:v>The Art &amp; Science of Foodpairing.pdf</x:v>
      </x:c>
      <x:c r="M191" s="28" t="str">
        <x:v>The Art &amp; Science of Foodpairing.pdf: 260–261</x:v>
      </x:c>
    </x:row>
    <x:row r="192" ht="64" customHeight="1">
      <x:c r="A192" s="28" t="str">
        <x:v>STN-0264</x:v>
      </x:c>
      <x:c r="B192" s="28" t="str">
        <x:v>нектарин</x:v>
      </x:c>
      <x:c r="C192" s="28" t="str">
        <x:v>нектарин</x:v>
      </x:c>
      <x:c r="D192" s="28" t="str">
        <x:v>дыня ханидью</x:v>
      </x:c>
      <x:c r="E192" s="28" t="str">
        <x:v>Фрукты</x:v>
      </x:c>
      <x:c r="F192" s="28" t="str">
        <x:v>прямое или классовое перекрытие характерных одорантов + вкусовой баланс</x:v>
      </x:c>
      <x:c r="G19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Дыня ханидью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19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19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2" s="28" t="str">
        <x:v>сорбет, салат, джем, кордиал, лимонад, коктейль или фруктовый соус</x:v>
      </x:c>
      <x:c r="K192" s="28" t="str">
        <x:v>Средняя</x:v>
      </x:c>
      <x:c r="L192" s="28" t="str">
        <x:v>The Art &amp; Science of Foodpairing.pdf</x:v>
      </x:c>
      <x:c r="M192" s="28" t="str">
        <x:v>The Art &amp; Science of Foodpairing.pdf: 260–261</x:v>
      </x:c>
    </x:row>
    <x:row r="193" ht="64" customHeight="1">
      <x:c r="A193" s="28" t="str">
        <x:v>STN-0265</x:v>
      </x:c>
      <x:c r="B193" s="28" t="str">
        <x:v>нектарин</x:v>
      </x:c>
      <x:c r="C193" s="28" t="str">
        <x:v>нектарин</x:v>
      </x:c>
      <x:c r="D193" s="28" t="str">
        <x:v>ежевика</x:v>
      </x:c>
      <x:c r="E193" s="28" t="str">
        <x:v>Ягоды</x:v>
      </x:c>
      <x:c r="F193" s="28" t="str">
        <x:v>прямое или классовое перекрытие характерных одорантов + вкусовой баланс</x:v>
      </x:c>
      <x:c r="G19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Ежевика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9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9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3" s="28" t="str">
        <x:v>сорбет, салат, джем, кордиал, лимонад, коктейль или фруктовый соус</x:v>
      </x:c>
      <x:c r="K193" s="28" t="str">
        <x:v>Высокая</x:v>
      </x:c>
      <x:c r="L193" s="28" t="str">
        <x:v>The Art &amp; Science of Foodpairing.pdf | Таблица сочетания(1).pdf</x:v>
      </x:c>
      <x:c r="M193" s="28" t="str">
        <x:v>Таблица сочетания(1).pdf: Таблица сочетаний: 14 | Таблица сочетания(1).pdf: 14 | The Art &amp; Science of Foodpairing.pdf: 260–261</x:v>
      </x:c>
    </x:row>
    <x:row r="194" ht="64" customHeight="1">
      <x:c r="A194" s="28" t="str">
        <x:v>STN-0266</x:v>
      </x:c>
      <x:c r="B194" s="28" t="str">
        <x:v>нектарин</x:v>
      </x:c>
      <x:c r="C194" s="28" t="str">
        <x:v>нектарин</x:v>
      </x:c>
      <x:c r="D194" s="28" t="str">
        <x:v>жареное филе куриной грудки</x:v>
      </x:c>
      <x:c r="E194" s="28" t="str">
        <x:v>Прочее</x:v>
      </x:c>
      <x:c r="F194" s="28" t="str">
        <x:v>комплементарность ароматических семейств, вкусовой контраст и матричный эффект</x:v>
      </x:c>
      <x:c r="G19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Жареное филе куриной грудки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важны вода, жир, белок, сахар и температура.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9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9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4" s="28" t="str">
        <x:v>напиток, соус, десерт или горячее блюдо после пробной дегустации</x:v>
      </x:c>
      <x:c r="K194" s="28" t="str">
        <x:v>Средняя</x:v>
      </x:c>
      <x:c r="L194" s="28" t="str">
        <x:v>The Art &amp; Science of Foodpairing.pdf</x:v>
      </x:c>
      <x:c r="M194" s="28" t="str">
        <x:v>The Art &amp; Science of Foodpairing.pdf: 260–261</x:v>
      </x:c>
    </x:row>
    <x:row r="195" ht="64" customHeight="1">
      <x:c r="A195" s="28" t="str">
        <x:v>STN-0273</x:v>
      </x:c>
      <x:c r="B195" s="28" t="str">
        <x:v>нектарин</x:v>
      </x:c>
      <x:c r="C195" s="28" t="str">
        <x:v>нектарин</x:v>
      </x:c>
      <x:c r="D195" s="28" t="str">
        <x:v>изюм</x:v>
      </x:c>
      <x:c r="E195" s="28" t="str">
        <x:v>Фрукты</x:v>
      </x:c>
      <x:c r="F195" s="28" t="str">
        <x:v>прямое или классовое перекрытие характерных одорантов + вкусовой баланс</x:v>
      </x:c>
      <x:c r="G19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Изюм относится к группе «Фрукты» и даёт профиль «зелёный, фруктовый, цветочный»; типичные соединения или классы: лактоны, терпены, эфиры.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фруктовая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9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9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5" s="28" t="str">
        <x:v>сорбет, салат, джем, кордиал, лимонад, коктейль или фруктовый соус</x:v>
      </x:c>
      <x:c r="K195" s="28" t="str">
        <x:v>Средняя</x:v>
      </x:c>
      <x:c r="L195" s="28" t="str">
        <x:v>The Art &amp; Science of Foodpairing.pdf</x:v>
      </x:c>
      <x:c r="M195" s="28" t="str">
        <x:v>The Art &amp; Science of Foodpairing.pdf: 260–261</x:v>
      </x:c>
    </x:row>
    <x:row r="196" ht="64" customHeight="1">
      <x:c r="A196" s="28" t="str">
        <x:v>STN-0274</x:v>
      </x:c>
      <x:c r="B196" s="28" t="str">
        <x:v>нектарин</x:v>
      </x:c>
      <x:c r="C196" s="28" t="str">
        <x:v>нектарин</x:v>
      </x:c>
      <x:c r="D196" s="28" t="str">
        <x:v>инжир</x:v>
      </x:c>
      <x:c r="E196" s="28" t="str">
        <x:v>Субтропические фрукты</x:v>
      </x:c>
      <x:c r="F196" s="28" t="str">
        <x:v>прямое или классовое перекрытие характерных одорантов + вкусовой баланс</x:v>
      </x:c>
      <x:c r="G19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бензальдегид, линалоол. Общие ароматические направления: цветочный, лактонный,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сладость, низкая кислотность; семена дают хруст.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пектиновая и сахаристая; сушёный инжир концентрирует сахар, фенолы и карамельные ноты.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19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19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6" s="28" t="str">
        <x:v>напиток, соус, десерт или горячее блюдо после пробной дегустации</x:v>
      </x:c>
      <x:c r="K196" s="28" t="str">
        <x:v>Гипотеза / практическая</x:v>
      </x:c>
      <x:c r="L196" s="28" t="str">
        <x:v>Таблица сочетания(1).pdf</x:v>
      </x:c>
      <x:c r="M196" s="28" t="str">
        <x:v>Таблица сочетания(1).pdf: Таблица сочетаний: 14 | Таблица сочетания(1).pdf: 14</x:v>
      </x:c>
    </x:row>
    <x:row r="197" ht="64" customHeight="1">
      <x:c r="A197" s="28" t="str">
        <x:v>STN-0275</x:v>
      </x:c>
      <x:c r="B197" s="28" t="str">
        <x:v>нектарин</x:v>
      </x:c>
      <x:c r="C197" s="28" t="str">
        <x:v>нектарин</x:v>
      </x:c>
      <x:c r="D197" s="28" t="str">
        <x:v>канталупа</x:v>
      </x:c>
      <x:c r="E197" s="28" t="str">
        <x:v>Бахчевые</x:v>
      </x:c>
      <x:c r="F197" s="28" t="str">
        <x:v>прямое или классовое перекрытие характерных одорантов + вкусовой баланс</x:v>
      </x:c>
      <x:c r="G19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Канталупа относится к группе «Бахчевые» и даёт профиль «интенсивно сладкий, мускусный, цветочный и зелёный»; типичные соединения или классы: этил-2-метилбутират, этилбутират, C9-альдегиды, тиоэфиры. В рабочих профилях пересекаются: эфиры.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выраженная сладость и слабая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мягкая; аромат быстро улетучивается после нарезки.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H19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I19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7" s="28" t="str">
        <x:v>напиток, соус, десерт или горячее блюдо после пробной дегустации</x:v>
      </x:c>
      <x:c r="K197" s="28" t="str">
        <x:v>Средняя</x:v>
      </x:c>
      <x:c r="L197" s="28" t="str">
        <x:v>The Art &amp; Science of Foodpairing.pdf</x:v>
      </x:c>
      <x:c r="M197" s="28" t="str">
        <x:v>The Art &amp; Science of Foodpairing.pdf: 260–261</x:v>
      </x:c>
    </x:row>
    <x:row r="198" ht="64" customHeight="1">
      <x:c r="A198" s="28" t="str">
        <x:v>STN-0276</x:v>
      </x:c>
      <x:c r="B198" s="28" t="str">
        <x:v>нектарин</x:v>
      </x:c>
      <x:c r="C198" s="28" t="str">
        <x:v>нектарин</x:v>
      </x:c>
      <x:c r="D198" s="28" t="str">
        <x:v>карамель</x:v>
      </x:c>
      <x:c r="E198" s="28" t="str">
        <x:v>Сахара, мёд и кондитерские основы</x:v>
      </x:c>
      <x:c r="F198" s="28" t="str">
        <x:v>комплементарность ароматических семейств, вкусовой контраст и матричный эффект</x:v>
      </x:c>
      <x:c r="G19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вязкая сахарная; снижает летучесть и смягчает кислоту.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19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19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8" s="28" t="str">
        <x:v>напиток, соус, десерт или горячее блюдо после пробной дегустации</x:v>
      </x:c>
      <x:c r="K198" s="28" t="str">
        <x:v>Гипотеза / практическая</x:v>
      </x:c>
      <x:c r="L198" s="28" t="str">
        <x:v>Таблица сочетания(1).pdf</x:v>
      </x:c>
      <x:c r="M198" s="28" t="str">
        <x:v>Таблица сочетания(1).pdf: 14</x:v>
      </x:c>
    </x:row>
    <x:row r="199" ht="64" customHeight="1">
      <x:c r="A199" s="28" t="str">
        <x:v>STN-0277</x:v>
      </x:c>
      <x:c r="B199" s="28" t="str">
        <x:v>нектарин</x:v>
      </x:c>
      <x:c r="C199" s="28" t="str">
        <x:v>нектарин</x:v>
      </x:c>
      <x:c r="D199" s="28" t="str">
        <x:v>кардамон</x:v>
      </x:c>
      <x:c r="E199" s="28" t="str">
        <x:v>Специи и острые компоненты</x:v>
      </x:c>
      <x:c r="F199" s="28" t="str">
        <x:v>прямое или классовое перекрытие характерных одорантов + вкусовой баланс</x:v>
      </x:c>
      <x:c r="G19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Кардамон относится к группе «Специи и острые компоненты» и даёт профиль «цитрусовый, камфорный и цветочный»; типичные соединения или классы: 1,8-цинеол, α-терпинилацетат, линалоол. В рабочих профилях пересекаются: линалоол.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99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99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199" s="28" t="str">
        <x:v>напиток, соус, десерт или горячее блюдо после пробной дегустации</x:v>
      </x:c>
      <x:c r="K199" s="28" t="str">
        <x:v>Гипотеза / практическая</x:v>
      </x:c>
      <x:c r="L199" s="28" t="str">
        <x:v>Таблица сочетания(1).pdf</x:v>
      </x:c>
      <x:c r="M199" s="28" t="str">
        <x:v>Таблица сочетания(1).pdf: 14</x:v>
      </x:c>
    </x:row>
    <x:row r="200" ht="64" customHeight="1">
      <x:c r="A200" s="28" t="str">
        <x:v>STN-0278</x:v>
      </x:c>
      <x:c r="B200" s="28" t="str">
        <x:v>нектарин</x:v>
      </x:c>
      <x:c r="C200" s="28" t="str">
        <x:v>нектарин</x:v>
      </x:c>
      <x:c r="D200" s="28" t="str">
        <x:v>кедровый орех</x:v>
      </x:c>
      <x:c r="E200" s="28" t="str">
        <x:v>Орехи и семена</x:v>
      </x:c>
      <x:c r="F200" s="28" t="str">
        <x:v>прямое или классовое перекрытие характерных одорантов + вкусовой баланс</x:v>
      </x:c>
      <x:c r="G20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Кедровый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0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00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J200" s="28" t="str">
        <x:v>тарт, крем, мороженое, выпечка, сырная подача или начинка</x:v>
      </x:c>
      <x:c r="K200" s="28" t="str">
        <x:v>Средняя</x:v>
      </x:c>
      <x:c r="L200" s="28" t="str">
        <x:v>The Art &amp; Science of Foodpairing.pdf</x:v>
      </x:c>
      <x:c r="M200" s="28" t="str">
        <x:v>The Art &amp; Science of Foodpairing.pdf: 260–261</x:v>
      </x:c>
    </x:row>
    <x:row r="201" ht="64" customHeight="1">
      <x:c r="A201" s="28" t="str">
        <x:v>STN-0280</x:v>
      </x:c>
      <x:c r="B201" s="28" t="str">
        <x:v>нектарин</x:v>
      </x:c>
      <x:c r="C201" s="28" t="str">
        <x:v>нектарин</x:v>
      </x:c>
      <x:c r="D201" s="28" t="str">
        <x:v>кефир</x:v>
      </x:c>
      <x:c r="E201" s="28" t="str">
        <x:v>Сыры и молочные продукты</x:v>
      </x:c>
      <x:c r="F201" s="28" t="str">
        <x:v>комплементарность ароматических семейств, вкусовой контраст и матричный эффект</x:v>
      </x:c>
      <x:c r="G20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Кефир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 Обработка: 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H201" s="28" t="str">
        <x:v>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I201" s="28" t="str">
        <x:v>не перегревать и не переслащивать; иначе исчезает свежая фруктовая детализация. Избыток кислоты может свернуть молочную основу; фрукт и сыр проверяют при рабочей температуре.</x:v>
      </x:c>
      <x:c r="J201" s="28" t="str">
        <x:v>тарт, крем, мороженое, выпечка, сырная подача или начинка</x:v>
      </x:c>
      <x:c r="K201" s="28" t="str">
        <x:v>Средняя</x:v>
      </x:c>
      <x:c r="L201" s="28" t="str">
        <x:v>The Art &amp; Science of Foodpairing.pdf</x:v>
      </x:c>
      <x:c r="M201" s="28" t="str">
        <x:v>The Art &amp; Science of Foodpairing.pdf: 260–261</x:v>
      </x:c>
    </x:row>
    <x:row r="202" ht="64" customHeight="1">
      <x:c r="A202" s="28" t="str">
        <x:v>STN-0281</x:v>
      </x:c>
      <x:c r="B202" s="28" t="str">
        <x:v>нектарин</x:v>
      </x:c>
      <x:c r="C202" s="28" t="str">
        <x:v>нектарин</x:v>
      </x:c>
      <x:c r="D202" s="28" t="str">
        <x:v>киви</x:v>
      </x:c>
      <x:c r="E202" s="28" t="str">
        <x:v>Тропические и субтропические фрукты</x:v>
      </x:c>
      <x:c r="F202" s="28" t="str">
        <x:v>прямое или классовое перекрытие характерных одорантов + вкусовой баланс</x:v>
      </x:c>
      <x:c r="G20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Киви относится к группе «Тропические и субтропические фрукты» и даёт профиль «зелёный, травянистый, цитрусовый, фруктовый и слегка морской»; типичные соединения или классы: гексаналь, (E)-2-гексеналь, этилбутират, метилбутират, линалоол; фермент актинидин. В рабочих профилях пересекаются: линалоол. Общие ароматические направления: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кислотность, сладость и выраженная свежесть.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водная; содержит протеазу актинидин и кристаллы оксалата кальция.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H20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I20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2" s="28" t="str">
        <x:v>напиток, соус, десерт или горячее блюдо после пробной дегустации</x:v>
      </x:c>
      <x:c r="K202" s="28" t="str">
        <x:v>Средняя</x:v>
      </x:c>
      <x:c r="L202" s="28" t="str">
        <x:v>The Art &amp; Science of Foodpairing.pdf</x:v>
      </x:c>
      <x:c r="M202" s="28" t="str">
        <x:v>The Art &amp; Science of Foodpairing.pdf: 260–261</x:v>
      </x:c>
    </x:row>
    <x:row r="203" ht="64" customHeight="1">
      <x:c r="A203" s="28" t="str">
        <x:v>STN-0283</x:v>
      </x:c>
      <x:c r="B203" s="28" t="str">
        <x:v>нектарин</x:v>
      </x:c>
      <x:c r="C203" s="28" t="str">
        <x:v>нектарин</x:v>
      </x:c>
      <x:c r="D203" s="28" t="str">
        <x:v>кленовый сироп</x:v>
      </x:c>
      <x:c r="E203" s="28" t="str">
        <x:v>Сахара, мёд и кондитерские основы</x:v>
      </x:c>
      <x:c r="F203" s="28" t="str">
        <x:v>комплементарность ароматических семейств, вкусовой контраст и матричный эффект</x:v>
      </x:c>
      <x:c r="G20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вязкая сахарная; снижает летучесть и смягчает кислоту.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0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0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3" s="28" t="str">
        <x:v>напиток, соус, десерт или горячее блюдо после пробной дегустации</x:v>
      </x:c>
      <x:c r="K203" s="28" t="str">
        <x:v>Гипотеза / практическая</x:v>
      </x:c>
      <x:c r="L203" s="28" t="str">
        <x:v>Таблица сочетания(1).pdf</x:v>
      </x:c>
      <x:c r="M203" s="28" t="str">
        <x:v>Таблица сочетания(1).pdf: 14</x:v>
      </x:c>
    </x:row>
    <x:row r="204" ht="64" customHeight="1">
      <x:c r="A204" s="28" t="str">
        <x:v>STN-0284</x:v>
      </x:c>
      <x:c r="B204" s="28" t="str">
        <x:v>нектарин</x:v>
      </x:c>
      <x:c r="C204" s="28" t="str">
        <x:v>нектарин</x:v>
      </x:c>
      <x:c r="D204" s="28" t="str">
        <x:v>клубника</x:v>
      </x:c>
      <x:c r="E204" s="28" t="str">
        <x:v>Ягоды</x:v>
      </x:c>
      <x:c r="F204" s="28" t="str">
        <x:v>прямое или классовое перекрытие характерных одорантов + вкусовой баланс</x:v>
      </x:c>
      <x:c r="G20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0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0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4" s="28" t="str">
        <x:v>сорбет, салат, джем, кордиал, лимонад, коктейль или фруктовый соус</x:v>
      </x:c>
      <x:c r="K204" s="28" t="str">
        <x:v>Высокая</x:v>
      </x:c>
      <x:c r="L204" s="28" t="str">
        <x:v>The Art &amp; Science of Foodpairing.pdf | Таблица сочетания(1).pdf</x:v>
      </x:c>
      <x:c r="M204" s="28" t="str">
        <x:v>The Art &amp; Science of Foodpairing.pdf: The Art &amp; Science of Foodpairing: 70; Таблица сочетаний: 20 | Таблица сочетания(1).pdf: 20 | The Art &amp; Science of Foodpairing.pdf: 70</x:v>
      </x:c>
    </x:row>
    <x:row r="205" ht="64" customHeight="1">
      <x:c r="A205" s="28" t="str">
        <x:v>STN-0285</x:v>
      </x:c>
      <x:c r="B205" s="28" t="str">
        <x:v>нектарин</x:v>
      </x:c>
      <x:c r="C205" s="28" t="str">
        <x:v>нектарин</x:v>
      </x:c>
      <x:c r="D205" s="28" t="str">
        <x:v>клюква</x:v>
      </x:c>
      <x:c r="E205" s="28" t="str">
        <x:v>Ягоды</x:v>
      </x:c>
      <x:c r="F205" s="28" t="str">
        <x:v>прямое или классовое перекрытие характерных одорантов + вкусовой баланс</x:v>
      </x:c>
      <x:c r="G20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Клюква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0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0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5" s="28" t="str">
        <x:v>сорбет, салат, джем, кордиал, лимонад, коктейль или фруктовый соус</x:v>
      </x:c>
      <x:c r="K205" s="28" t="str">
        <x:v>Гипотеза / практическая</x:v>
      </x:c>
      <x:c r="L205" s="28" t="str">
        <x:v>Таблица сочетания(1).pdf</x:v>
      </x:c>
      <x:c r="M205" s="28" t="str">
        <x:v>Таблица сочетания(1).pdf: Таблица сочетаний: 14 | Таблица сочетания(1).pdf: 14</x:v>
      </x:c>
    </x:row>
    <x:row r="206" ht="64" customHeight="1">
      <x:c r="A206" s="28" t="str">
        <x:v>STN-0286</x:v>
      </x:c>
      <x:c r="B206" s="28" t="str">
        <x:v>нектарин</x:v>
      </x:c>
      <x:c r="C206" s="28" t="str">
        <x:v>нектарин</x:v>
      </x:c>
      <x:c r="D206" s="28" t="str">
        <x:v>кокос</x:v>
      </x:c>
      <x:c r="E206" s="28" t="str">
        <x:v>Тропические фрукты и жирные матрицы</x:v>
      </x:c>
      <x:c r="F206" s="28" t="str">
        <x:v>прямое или классовое перекрытие характерных одорантов + вкусовой баланс</x:v>
      </x:c>
      <x:c r="G20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В рабочих профилях пересекаются: декалактон.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богатая жиром эмульсия; хорошо растворяет гидрофобные терпены, специи и ароматические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20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20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6" s="28" t="str">
        <x:v>напиток, соус, десерт или горячее блюдо после пробной дегустации</x:v>
      </x:c>
      <x:c r="K206" s="28" t="str">
        <x:v>Гипотеза / практическая</x:v>
      </x:c>
      <x:c r="L206" s="28" t="str">
        <x:v>Таблица сочетания(1).pdf</x:v>
      </x:c>
      <x:c r="M206" s="28" t="str">
        <x:v>Таблица сочетания(1).pdf: Таблица сочетаний: 14 | Таблица сочетания(1).pdf: 14</x:v>
      </x:c>
    </x:row>
    <x:row r="207" ht="64" customHeight="1">
      <x:c r="A207" s="28" t="str">
        <x:v>STN-0287</x:v>
      </x:c>
      <x:c r="B207" s="28" t="str">
        <x:v>нектарин</x:v>
      </x:c>
      <x:c r="C207" s="28" t="str">
        <x:v>нектарин</x:v>
      </x:c>
      <x:c r="D207" s="28" t="str">
        <x:v>корица</x:v>
      </x:c>
      <x:c r="E207" s="28" t="str">
        <x:v>Специи и острые компоненты</x:v>
      </x:c>
      <x:c r="F207" s="28" t="str">
        <x:v>комплементарность ароматических семейств, вкусовой контраст и матричный эффект</x:v>
      </x:c>
      <x:c r="G20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07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07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07" s="28" t="str">
        <x:v>напиток, соус, десерт или горячее блюдо после пробной дегустации</x:v>
      </x:c>
      <x:c r="K207" s="28" t="str">
        <x:v>Гипотеза / практическая</x:v>
      </x:c>
      <x:c r="L207" s="28" t="str">
        <x:v>Таблица сочетания(1).pdf</x:v>
      </x:c>
      <x:c r="M207" s="28" t="str">
        <x:v>Таблица сочетания(1).pdf: 14</x:v>
      </x:c>
    </x:row>
    <x:row r="208" ht="64" customHeight="1">
      <x:c r="A208" s="28" t="str">
        <x:v>STN-0289</x:v>
      </x:c>
      <x:c r="B208" s="28" t="str">
        <x:v>нектарин</x:v>
      </x:c>
      <x:c r="C208" s="28" t="str">
        <x:v>нектарин</x:v>
      </x:c>
      <x:c r="D208" s="28" t="str">
        <x:v>лемонграсс</x:v>
      </x:c>
      <x:c r="E208" s="28" t="str">
        <x:v>Травы и цветы</x:v>
      </x:c>
      <x:c r="F208" s="28" t="str">
        <x:v>прямое или классовое перекрытие характерных одорантов + вкусовой баланс</x:v>
      </x:c>
      <x:c r="G20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Лемонграсс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0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0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8" s="28" t="str">
        <x:v>напиток, соус, десерт или горячее блюдо после пробной дегустации</x:v>
      </x:c>
      <x:c r="K208" s="28" t="str">
        <x:v>Средняя</x:v>
      </x:c>
      <x:c r="L208" s="28" t="str">
        <x:v>The Art &amp; Science of Foodpairing.pdf</x:v>
      </x:c>
      <x:c r="M208" s="28" t="str">
        <x:v>The Art &amp; Science of Foodpairing.pdf: 146</x:v>
      </x:c>
    </x:row>
    <x:row r="209" ht="64" customHeight="1">
      <x:c r="A209" s="28" t="str">
        <x:v>STN-0291</x:v>
      </x:c>
      <x:c r="B209" s="28" t="str">
        <x:v>нектарин</x:v>
      </x:c>
      <x:c r="C209" s="28" t="str">
        <x:v>нектарин</x:v>
      </x:c>
      <x:c r="D209" s="28" t="str">
        <x:v>лимон</x:v>
      </x:c>
      <x:c r="E209" s="28" t="str">
        <x:v>Цитрусовые</x:v>
      </x:c>
      <x:c r="F209" s="28" t="str">
        <x:v>комплементарность ароматических семейств, вкусовой контраст и матричный эффект</x:v>
      </x:c>
      <x:c r="G20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0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0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9" s="28" t="str">
        <x:v>сорбет, салат, джем, кордиал, лимонад, коктейль или фруктовый соус</x:v>
      </x:c>
      <x:c r="K209" s="28" t="str">
        <x:v>Гипотеза / практическая</x:v>
      </x:c>
      <x:c r="L209" s="28" t="str">
        <x:v>Таблица сочетания(1).pdf</x:v>
      </x:c>
      <x:c r="M209" s="28" t="str">
        <x:v>Таблица сочетания(1).pdf: Таблица сочетания(1).pdf: 14 | Таблица сочетания(1).pdf: 14</x:v>
      </x:c>
    </x:row>
    <x:row r="210" ht="64" customHeight="1">
      <x:c r="A210" s="28" t="str">
        <x:v>STN-0292</x:v>
      </x:c>
      <x:c r="B210" s="28" t="str">
        <x:v>нектарин</x:v>
      </x:c>
      <x:c r="C210" s="28" t="str">
        <x:v>нектарин</x:v>
      </x:c>
      <x:c r="D210" s="28" t="str">
        <x:v>лист шисо</x:v>
      </x:c>
      <x:c r="E210" s="28" t="str">
        <x:v>Травы, листья и цветы</x:v>
      </x:c>
      <x:c r="F210" s="28" t="str">
        <x:v>прямое или классовое перекрытие характерных одорантов + вкусовой баланс</x:v>
      </x:c>
      <x:c r="G21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Лист шисо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210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21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0" s="28" t="str">
        <x:v>напиток, соус, десерт или горячее блюдо после пробной дегустации</x:v>
      </x:c>
      <x:c r="K210" s="28" t="str">
        <x:v>Средняя</x:v>
      </x:c>
      <x:c r="L210" s="28" t="str">
        <x:v>The Art &amp; Science of Foodpairing.pdf</x:v>
      </x:c>
      <x:c r="M210" s="28" t="str">
        <x:v>The Art &amp; Science of Foodpairing.pdf: 260–261</x:v>
      </x:c>
    </x:row>
    <x:row r="211" ht="64" customHeight="1">
      <x:c r="A211" s="28" t="str">
        <x:v>STN-0293</x:v>
      </x:c>
      <x:c r="B211" s="28" t="str">
        <x:v>нектарин</x:v>
      </x:c>
      <x:c r="C211" s="28" t="str">
        <x:v>нектарин</x:v>
      </x:c>
      <x:c r="D211" s="28" t="str">
        <x:v>листья кориандра</x:v>
      </x:c>
      <x:c r="E211" s="28" t="str">
        <x:v>Травы/пряности</x:v>
      </x:c>
      <x:c r="F211" s="28" t="str">
        <x:v>комплементарность ароматических семейств, вкусовой контраст и матричный эффект</x:v>
      </x:c>
      <x:c r="G21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Листья кориандра относится к группе «Травы/пряности» и даёт профиль «цитрусовый, зелёный, цветочный»; типичные соединения или классы: линалол, деканаль, додеканаль.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травяной, слегка горький.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листья чувствительны к нагреву; семена устойчивее и слаще.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H21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I21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1" s="28" t="str">
        <x:v>напиток, соус, десерт или горячее блюдо после пробной дегустации</x:v>
      </x:c>
      <x:c r="K211" s="28" t="str">
        <x:v>Средняя</x:v>
      </x:c>
      <x:c r="L211" s="28" t="str">
        <x:v>The Art &amp; Science of Foodpairing.pdf</x:v>
      </x:c>
      <x:c r="M211" s="28" t="str">
        <x:v>The Art &amp; Science of Foodpairing.pdf: 99 | The Art &amp; Science of Foodpairing.pdf: 260–261</x:v>
      </x:c>
    </x:row>
    <x:row r="212" ht="64" customHeight="1">
      <x:c r="A212" s="28" t="str">
        <x:v>STN-0294</x:v>
      </x:c>
      <x:c r="B212" s="28" t="str">
        <x:v>нектарин</x:v>
      </x:c>
      <x:c r="C212" s="28" t="str">
        <x:v>нектарин</x:v>
      </x:c>
      <x:c r="D212" s="28" t="str">
        <x:v>листья пажитника</x:v>
      </x:c>
      <x:c r="E212" s="28" t="str">
        <x:v>Травы и цветы</x:v>
      </x:c>
      <x:c r="F212" s="28" t="str">
        <x:v>прямое или классовое перекрытие характерных одорантов + вкусовой баланс</x:v>
      </x:c>
      <x:c r="G21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Листья пажитника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1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1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2" s="28" t="str">
        <x:v>напиток, соус, десерт или горячее блюдо после пробной дегустации</x:v>
      </x:c>
      <x:c r="K212" s="28" t="str">
        <x:v>Средняя</x:v>
      </x:c>
      <x:c r="L212" s="28" t="str">
        <x:v>The Art &amp; Science of Foodpairing.pdf</x:v>
      </x:c>
      <x:c r="M212" s="28" t="str">
        <x:v>The Art &amp; Science of Foodpairing.pdf: 260–261</x:v>
      </x:c>
    </x:row>
    <x:row r="213" ht="64" customHeight="1">
      <x:c r="A213" s="28" t="str">
        <x:v>STN-0295</x:v>
      </x:c>
      <x:c r="B213" s="28" t="str">
        <x:v>нектарин</x:v>
      </x:c>
      <x:c r="C213" s="28" t="str">
        <x:v>нектарин</x:v>
      </x:c>
      <x:c r="D213" s="28" t="str">
        <x:v>личи</x:v>
      </x:c>
      <x:c r="E213" s="28" t="str">
        <x:v>Тропические фрукты</x:v>
      </x:c>
      <x:c r="F213" s="28" t="str">
        <x:v>прямое или классовое перекрытие характерных одорантов + вкусовой баланс</x:v>
      </x:c>
      <x:c r="G21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Личи относится к группе «Тропические фрукты» и даёт профиль «розовый, цветочный, виноградный и цитрусовый»; типичные соединения или классы: цис- и транс-розовый оксид, линалоол, гераниол, цитронеллол. В рабочих профилях пересекаются: линалоол.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чистая сладость, мягкая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водная; цветочные терпены чувствительны к нагреву.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H21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I21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3" s="28" t="str">
        <x:v>напиток, соус, десерт или горячее блюдо после пробной дегустации</x:v>
      </x:c>
      <x:c r="K213" s="28" t="str">
        <x:v>Средняя</x:v>
      </x:c>
      <x:c r="L213" s="28" t="str">
        <x:v>The Art &amp; Science of Foodpairing.pdf</x:v>
      </x:c>
      <x:c r="M213" s="28" t="str">
        <x:v>The Art &amp; Science of Foodpairing.pdf: 260–261</x:v>
      </x:c>
    </x:row>
    <x:row r="214" ht="64" customHeight="1">
      <x:c r="A214" s="28" t="str">
        <x:v>STN-0296</x:v>
      </x:c>
      <x:c r="B214" s="28" t="str">
        <x:v>нектарин</x:v>
      </x:c>
      <x:c r="C214" s="28" t="str">
        <x:v>нектарин</x:v>
      </x:c>
      <x:c r="D214" s="28" t="str">
        <x:v>малина</x:v>
      </x:c>
      <x:c r="E214" s="28" t="str">
        <x:v>Ягоды</x:v>
      </x:c>
      <x:c r="F214" s="28" t="str">
        <x:v>прямое или классовое перекрытие характерных одорантов + вкусовой баланс</x:v>
      </x:c>
      <x:c r="G21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1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1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4" s="28" t="str">
        <x:v>сорбет, салат, джем, кордиал, лимонад, коктейль или фруктовый соус</x:v>
      </x:c>
      <x:c r="K214" s="28" t="str">
        <x:v>Высокая</x:v>
      </x:c>
      <x:c r="L214" s="28" t="str">
        <x:v>The Art &amp; Science of Foodpairing.pdf | Таблица сочетания(1).pdf</x:v>
      </x:c>
      <x:c r="M214" s="28" t="str">
        <x:v>Таблица сочетания(1).pdf: Таблица сочетаний: 19 | Таблица сочетания(1).pdf: 19 | The Art &amp; Science of Foodpairing.pdf: 260–261</x:v>
      </x:c>
    </x:row>
    <x:row r="215" ht="64" customHeight="1">
      <x:c r="A215" s="28" t="str">
        <x:v>STN-0297</x:v>
      </x:c>
      <x:c r="B215" s="28" t="str">
        <x:v>нектарин</x:v>
      </x:c>
      <x:c r="C215" s="28" t="str">
        <x:v>нектарин</x:v>
      </x:c>
      <x:c r="D215" s="28" t="str">
        <x:v>мандарин</x:v>
      </x:c>
      <x:c r="E215" s="28" t="str">
        <x:v>Цитрусовые</x:v>
      </x:c>
      <x:c r="F215" s="28" t="str">
        <x:v>прямое или классовое перекрытие характерных одорантов + вкусовой баланс</x:v>
      </x:c>
      <x:c r="G21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Мандарин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1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1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5" s="28" t="str">
        <x:v>сорбет, салат, джем, кордиал, лимонад, коктейль или фруктовый соус</x:v>
      </x:c>
      <x:c r="K215" s="28" t="str">
        <x:v>Средняя</x:v>
      </x:c>
      <x:c r="L215" s="28" t="str">
        <x:v>The Art &amp; Science of Foodpairing.pdf</x:v>
      </x:c>
      <x:c r="M215" s="28" t="str">
        <x:v>The Art &amp; Science of Foodpairing.pdf: 260–261</x:v>
      </x:c>
    </x:row>
    <x:row r="216" ht="64" customHeight="1">
      <x:c r="A216" s="28" t="str">
        <x:v>STN-0298</x:v>
      </x:c>
      <x:c r="B216" s="28" t="str">
        <x:v>нектарин</x:v>
      </x:c>
      <x:c r="C216" s="28" t="str">
        <x:v>нектарин</x:v>
      </x:c>
      <x:c r="D216" s="28" t="str">
        <x:v>мед</x:v>
      </x:c>
      <x:c r="E216" s="28" t="str">
        <x:v>Сахара, мёд и кондитерские основы</x:v>
      </x:c>
      <x:c r="F216" s="28" t="str">
        <x:v>комплементарность ароматических семейств, вкусовой контраст и матричный эффект</x:v>
      </x:c>
      <x:c r="G21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вязкая сахарная; снижает летучесть и смягчает кислоту.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1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1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6" s="28" t="str">
        <x:v>напиток, соус, десерт или горячее блюдо после пробной дегустации</x:v>
      </x:c>
      <x:c r="K216" s="28" t="str">
        <x:v>Гипотеза / практическая</x:v>
      </x:c>
      <x:c r="L216" s="28" t="str">
        <x:v>Таблица сочетания(1).pdf</x:v>
      </x:c>
      <x:c r="M216" s="28" t="str">
        <x:v>Таблица сочетания(1).pdf: 14</x:v>
      </x:c>
    </x:row>
    <x:row r="217" ht="64" customHeight="1">
      <x:c r="A217" s="28" t="str">
        <x:v>STN-0299</x:v>
      </x:c>
      <x:c r="B217" s="28" t="str">
        <x:v>нектарин</x:v>
      </x:c>
      <x:c r="C217" s="28" t="str">
        <x:v>нектарин</x:v>
      </x:c>
      <x:c r="D217" s="28" t="str">
        <x:v>миндаль</x:v>
      </x:c>
      <x:c r="E217" s="28" t="str">
        <x:v>Орехи и семена</x:v>
      </x:c>
      <x:c r="F217" s="28" t="str">
        <x:v>прямое или классовое перекрытие характерных одорантов + вкусовой баланс</x:v>
      </x:c>
      <x:c r="G21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Миндаль относится к группе «Орехи и семена» и даёт профиль «марципановый и ореховый»; типичные соединения или классы: бензальдегид, пиразины после обжарки.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1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17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J217" s="28" t="str">
        <x:v>тарт, крем, мороженое, выпечка, сырная подача или начинка</x:v>
      </x:c>
      <x:c r="K217" s="28" t="str">
        <x:v>Высокая</x:v>
      </x:c>
      <x:c r="L217" s="28" t="str">
        <x:v>The Art &amp; Science of Foodpairing.pdf | Таблица сочетания(1).pdf</x:v>
      </x:c>
      <x:c r="M217" s="28" t="str">
        <x:v>Таблица сочетания(1).pdf: 14 | The Art &amp; Science of Foodpairing.pdf: 260–261</x:v>
      </x:c>
    </x:row>
    <x:row r="218" ht="64" customHeight="1">
      <x:c r="A218" s="28" t="str">
        <x:v>STN-0300</x:v>
      </x:c>
      <x:c r="B218" s="28" t="str">
        <x:v>нектарин</x:v>
      </x:c>
      <x:c r="C218" s="28" t="str">
        <x:v>нектарин</x:v>
      </x:c>
      <x:c r="D218" s="28" t="str">
        <x:v>момбин желтый</x:v>
      </x:c>
      <x:c r="E218" s="28" t="str">
        <x:v>Фрукты</x:v>
      </x:c>
      <x:c r="F218" s="28" t="str">
        <x:v>прямое или классовое перекрытие характерных одорантов + вкусовой баланс</x:v>
      </x:c>
      <x:c r="G21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Момбин желтый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1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1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8" s="28" t="str">
        <x:v>сорбет, салат, джем, кордиал, лимонад, коктейль или фруктовый соус</x:v>
      </x:c>
      <x:c r="K218" s="28" t="str">
        <x:v>Средняя</x:v>
      </x:c>
      <x:c r="L218" s="28" t="str">
        <x:v>The Art &amp; Science of Foodpairing.pdf</x:v>
      </x:c>
      <x:c r="M218" s="28" t="str">
        <x:v>The Art &amp; Science of Foodpairing.pdf: 260–261</x:v>
      </x:c>
    </x:row>
    <x:row r="219" ht="64" customHeight="1">
      <x:c r="A219" s="28" t="str">
        <x:v>STN-0301</x:v>
      </x:c>
      <x:c r="B219" s="28" t="str">
        <x:v>нектарин</x:v>
      </x:c>
      <x:c r="C219" s="28" t="str">
        <x:v>нектарин</x:v>
      </x:c>
      <x:c r="D219" s="28" t="str">
        <x:v>моцарелла из коровьего молока</x:v>
      </x:c>
      <x:c r="E219" s="28" t="str">
        <x:v>Сыры и молочные продукты</x:v>
      </x:c>
      <x:c r="F219" s="28" t="str">
        <x:v>комплементарность ароматических семейств, вкусовой контраст и матричный эффект</x:v>
      </x:c>
      <x:c r="G21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Моцарелла из коровьего молока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 Обработка: 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H219" s="28" t="str">
        <x:v>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I219" s="28" t="str">
        <x:v>не перегревать и не переслащивать; иначе исчезает свежая фруктовая детализация. Избыток кислоты может свернуть молочную основу; фрукт и сыр проверяют при рабочей температуре.</x:v>
      </x:c>
      <x:c r="J219" s="28" t="str">
        <x:v>тарт, крем, мороженое, выпечка, сырная подача или начинка</x:v>
      </x:c>
      <x:c r="K219" s="28" t="str">
        <x:v>Средняя</x:v>
      </x:c>
      <x:c r="L219" s="28" t="str">
        <x:v>The Art &amp; Science of Foodpairing.pdf</x:v>
      </x:c>
      <x:c r="M219" s="28" t="str">
        <x:v>The Art &amp; Science of Foodpairing.pdf: 260–261</x:v>
      </x:c>
    </x:row>
    <x:row r="220" ht="64" customHeight="1">
      <x:c r="A220" s="28" t="str">
        <x:v>STN-0302</x:v>
      </x:c>
      <x:c r="B220" s="28" t="str">
        <x:v>нектарин</x:v>
      </x:c>
      <x:c r="C220" s="28" t="str">
        <x:v>нектарин</x:v>
      </x:c>
      <x:c r="D220" s="28" t="str">
        <x:v>мускатный орех</x:v>
      </x:c>
      <x:c r="E220" s="28" t="str">
        <x:v>Орехи и семена</x:v>
      </x:c>
      <x:c r="F220" s="28" t="str">
        <x:v>прямое или классовое перекрытие характерных одорантов + вкусовой баланс</x:v>
      </x:c>
      <x:c r="G22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Мускатный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2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20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J220" s="28" t="str">
        <x:v>тарт, крем, мороженое, выпечка, сырная подача или начинка</x:v>
      </x:c>
      <x:c r="K220" s="28" t="str">
        <x:v>Средняя</x:v>
      </x:c>
      <x:c r="L220" s="28" t="str">
        <x:v>The Art &amp; Science of Foodpairing.pdf</x:v>
      </x:c>
      <x:c r="M220" s="28" t="str">
        <x:v>The Art &amp; Science of Foodpairing.pdf: 260–261</x:v>
      </x:c>
    </x:row>
    <x:row r="221" ht="64" customHeight="1">
      <x:c r="A221" s="28" t="str">
        <x:v>STN-0303</x:v>
      </x:c>
      <x:c r="B221" s="28" t="str">
        <x:v>нектарин</x:v>
      </x:c>
      <x:c r="C221" s="28" t="str">
        <x:v>нектарин</x:v>
      </x:c>
      <x:c r="D221" s="28" t="str">
        <x:v>мушмула японская</x:v>
      </x:c>
      <x:c r="E221" s="28" t="str">
        <x:v>Фрукты</x:v>
      </x:c>
      <x:c r="F221" s="28" t="str">
        <x:v>прямое или классовое перекрытие характерных одорантов + вкусовой баланс</x:v>
      </x:c>
      <x:c r="G22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Мушмула японская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2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2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1" s="28" t="str">
        <x:v>сорбет, салат, джем, кордиал, лимонад, коктейль или фруктовый соус</x:v>
      </x:c>
      <x:c r="K221" s="28" t="str">
        <x:v>Средняя</x:v>
      </x:c>
      <x:c r="L221" s="28" t="str">
        <x:v>The Art &amp; Science of Foodpairing.pdf</x:v>
      </x:c>
      <x:c r="M221" s="28" t="str">
        <x:v>The Art &amp; Science of Foodpairing.pdf: 260–261</x:v>
      </x:c>
    </x:row>
    <x:row r="222" ht="64" customHeight="1">
      <x:c r="A222" s="28" t="str">
        <x:v>STN-0304</x:v>
      </x:c>
      <x:c r="B222" s="28" t="str">
        <x:v>нектарин</x:v>
      </x:c>
      <x:c r="C222" s="28" t="str">
        <x:v>нектарин</x:v>
      </x:c>
      <x:c r="D222" s="28" t="str">
        <x:v>мята</x:v>
      </x:c>
      <x:c r="E222" s="28" t="str">
        <x:v>Травы и цветы</x:v>
      </x:c>
      <x:c r="F222" s="28" t="str">
        <x:v>комплементарность ароматических семейств, вкусовой контраст и матричный эффект</x:v>
      </x:c>
      <x:c r="G22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2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2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2" s="28" t="str">
        <x:v>напиток, соус, десерт или горячее блюдо после пробной дегустации</x:v>
      </x:c>
      <x:c r="K222" s="28" t="str">
        <x:v>Гипотеза / практическая</x:v>
      </x:c>
      <x:c r="L222" s="28" t="str">
        <x:v>Таблица сочетания(1).pdf</x:v>
      </x:c>
      <x:c r="M222" s="28" t="str">
        <x:v>Таблица сочетания(1).pdf: 14</x:v>
      </x:c>
    </x:row>
    <x:row r="223" ht="64" customHeight="1">
      <x:c r="A223" s="28" t="str">
        <x:v>STN-0305</x:v>
      </x:c>
      <x:c r="B223" s="28" t="str">
        <x:v>нектарин</x:v>
      </x:c>
      <x:c r="C223" s="28" t="str">
        <x:v>нектарин</x:v>
      </x:c>
      <x:c r="D223" s="28" t="str">
        <x:v>обжаренные миндальные лепестки</x:v>
      </x:c>
      <x:c r="E223" s="28" t="str">
        <x:v>Орехи и семена</x:v>
      </x:c>
      <x:c r="F223" s="28" t="str">
        <x:v>прямое или классовое перекрытие характерных одорантов + вкусовой баланс</x:v>
      </x:c>
      <x:c r="G22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Обжаренные миндальные лепестки относится к группе «Орехи и семена» и даёт профиль «ореховый, жареный, древесный, иногда миндальный»; типичные соединения или классы: бензальдегид, пиразины, фураны, лактоны и липидные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2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23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J223" s="28" t="str">
        <x:v>тарт, крем, мороженое, выпечка, сырная подача или начинка</x:v>
      </x:c>
      <x:c r="K223" s="28" t="str">
        <x:v>Средняя</x:v>
      </x:c>
      <x:c r="L223" s="28" t="str">
        <x:v>The Art &amp; Science of Foodpairing.pdf</x:v>
      </x:c>
      <x:c r="M223" s="28" t="str">
        <x:v>The Art &amp; Science of Foodpairing.pdf: 260–261</x:v>
      </x:c>
    </x:row>
    <x:row r="224" ht="64" customHeight="1">
      <x:c r="A224" s="28" t="str">
        <x:v>STN-0306</x:v>
      </x:c>
      <x:c r="B224" s="28" t="str">
        <x:v>нектарин</x:v>
      </x:c>
      <x:c r="C224" s="28" t="str">
        <x:v>нектарин</x:v>
      </x:c>
      <x:c r="D224" s="28" t="str">
        <x:v>обжаренный bacon</x:v>
      </x:c>
      <x:c r="E224" s="28" t="str">
        <x:v>Прочее</x:v>
      </x:c>
      <x:c r="F224" s="28" t="str">
        <x:v>комплементарность ароматических семейств, вкусовой контраст и матричный эффект</x:v>
      </x:c>
      <x:c r="G22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Обжаренный bacon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2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2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4" s="28" t="str">
        <x:v>напиток, соус, десерт или горячее блюдо после пробной дегустации</x:v>
      </x:c>
      <x:c r="K224" s="28" t="str">
        <x:v>Средняя</x:v>
      </x:c>
      <x:c r="L224" s="28" t="str">
        <x:v>The Art &amp; Science of Foodpairing.pdf</x:v>
      </x:c>
      <x:c r="M224" s="28" t="str">
        <x:v>The Art &amp; Science of Foodpairing.pdf: 260–261</x:v>
      </x:c>
    </x:row>
    <x:row r="225" ht="64" customHeight="1">
      <x:c r="A225" s="28" t="str">
        <x:v>STN-0307</x:v>
      </x:c>
      <x:c r="B225" s="28" t="str">
        <x:v>нектарин</x:v>
      </x:c>
      <x:c r="C225" s="28" t="str">
        <x:v>нектарин</x:v>
      </x:c>
      <x:c r="D225" s="28" t="str">
        <x:v>обжаренный duck breast</x:v>
      </x:c>
      <x:c r="E225" s="28" t="str">
        <x:v>Прочее</x:v>
      </x:c>
      <x:c r="F225" s="28" t="str">
        <x:v>комплементарность ароматических семейств, вкусовой контраст и матричный эффект</x:v>
      </x:c>
      <x:c r="G22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Обжаренный duck breast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2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2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5" s="28" t="str">
        <x:v>напиток, соус, десерт или горячее блюдо после пробной дегустации</x:v>
      </x:c>
      <x:c r="K225" s="28" t="str">
        <x:v>Средняя</x:v>
      </x:c>
      <x:c r="L225" s="28" t="str">
        <x:v>The Art &amp; Science of Foodpairing.pdf</x:v>
      </x:c>
      <x:c r="M225" s="28" t="str">
        <x:v>The Art &amp; Science of Foodpairing.pdf: 260–261</x:v>
      </x:c>
    </x:row>
    <x:row r="226" ht="64" customHeight="1">
      <x:c r="A226" s="28" t="str">
        <x:v>STN-0309</x:v>
      </x:c>
      <x:c r="B226" s="28" t="str">
        <x:v>нектарин</x:v>
      </x:c>
      <x:c r="C226" s="28" t="str">
        <x:v>нектарин</x:v>
      </x:c>
      <x:c r="D226" s="28" t="str">
        <x:v>оливковое масло</x:v>
      </x:c>
      <x:c r="E226" s="28" t="str">
        <x:v>Молочные продукты и сыры</x:v>
      </x:c>
      <x:c r="F226" s="28" t="str">
        <x:v>комплементарность ароматических семейств, вкусовой контраст и матричный эффект</x:v>
      </x:c>
      <x:c r="G22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жирный, кислый/солёный.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жировая и белковая матрица смягчает кислотность.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2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2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6" s="28" t="str">
        <x:v>напиток, соус, десерт или горячее блюдо после пробной дегустации</x:v>
      </x:c>
      <x:c r="K226" s="28" t="str">
        <x:v>Средняя</x:v>
      </x:c>
      <x:c r="L226" s="28" t="str">
        <x:v>The Art &amp; Science of Foodpairing.pdf</x:v>
      </x:c>
      <x:c r="M226" s="28" t="str">
        <x:v>The Art &amp; Science of Foodpairing.pdf: 172</x:v>
      </x:c>
    </x:row>
    <x:row r="227" ht="64" customHeight="1">
      <x:c r="A227" s="28" t="str">
        <x:v>STN-0310</x:v>
      </x:c>
      <x:c r="B227" s="28" t="str">
        <x:v>нектарин</x:v>
      </x:c>
      <x:c r="C227" s="28" t="str">
        <x:v>нектарин</x:v>
      </x:c>
      <x:c r="D227" s="28" t="str">
        <x:v>оливковое масло арбекина</x:v>
      </x:c>
      <x:c r="E227" s="28" t="str">
        <x:v>Прочее</x:v>
      </x:c>
      <x:c r="F227" s="28" t="str">
        <x:v>комплементарность ароматических семейств, вкусовой контраст и матричный эффект</x:v>
      </x:c>
      <x:c r="G22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Оливковое масло арбекина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баланс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матрица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2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2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7" s="28" t="str">
        <x:v>напиток, соус, десерт или горячее блюдо после пробной дегустации</x:v>
      </x:c>
      <x:c r="K227" s="28" t="str">
        <x:v>Средняя</x:v>
      </x:c>
      <x:c r="L227" s="28" t="str">
        <x:v>The Art &amp; Science of Foodpairing.pdf</x:v>
      </x:c>
      <x:c r="M227" s="28" t="str">
        <x:v>The Art &amp; Science of Foodpairing.pdf: 260–261</x:v>
      </x:c>
    </x:row>
    <x:row r="228" ht="64" customHeight="1">
      <x:c r="A228" s="28" t="str">
        <x:v>STN-0311</x:v>
      </x:c>
      <x:c r="B228" s="28" t="str">
        <x:v>нектарин</x:v>
      </x:c>
      <x:c r="C228" s="28" t="str">
        <x:v>нектарин</x:v>
      </x:c>
      <x:c r="D228" s="28" t="str">
        <x:v>отварная паста</x:v>
      </x:c>
      <x:c r="E228" s="28" t="str">
        <x:v>Злаки и выпечка</x:v>
      </x:c>
      <x:c r="F228" s="28" t="str">
        <x:v>комплементарность ароматических семейств, вкусовой контраст и матричный эффект</x:v>
      </x:c>
      <x:c r="G22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Отварная паста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крахмальная матрица приглушает кислоту и распределяет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2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2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8" s="28" t="str">
        <x:v>тарт, крем, мороженое, выпечка, сырная подача или начинка</x:v>
      </x:c>
      <x:c r="K228" s="28" t="str">
        <x:v>Средняя</x:v>
      </x:c>
      <x:c r="L228" s="28" t="str">
        <x:v>The Art &amp; Science of Foodpairing.pdf</x:v>
      </x:c>
      <x:c r="M228" s="28" t="str">
        <x:v>The Art &amp; Science of Foodpairing.pdf: 260–261</x:v>
      </x:c>
    </x:row>
    <x:row r="229" ht="64" customHeight="1">
      <x:c r="A229" s="28" t="str">
        <x:v>STN-0312</x:v>
      </x:c>
      <x:c r="B229" s="28" t="str">
        <x:v>нектарин</x:v>
      </x:c>
      <x:c r="C229" s="28" t="str">
        <x:v>нектарин</x:v>
      </x:c>
      <x:c r="D229" s="28" t="str">
        <x:v>отварная полба</x:v>
      </x:c>
      <x:c r="E229" s="28" t="str">
        <x:v>Злаки и выпечка</x:v>
      </x:c>
      <x:c r="F229" s="28" t="str">
        <x:v>комплементарность ароматических семейств, вкусовой контраст и матричный эффект</x:v>
      </x:c>
      <x:c r="G22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Отварная полба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крахмальная матрица приглушает кислоту и распределяет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2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2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9" s="28" t="str">
        <x:v>тарт, крем, мороженое, выпечка, сырная подача или начинка</x:v>
      </x:c>
      <x:c r="K229" s="28" t="str">
        <x:v>Средняя</x:v>
      </x:c>
      <x:c r="L229" s="28" t="str">
        <x:v>The Art &amp; Science of Foodpairing.pdf</x:v>
      </x:c>
      <x:c r="M229" s="28" t="str">
        <x:v>The Art &amp; Science of Foodpairing.pdf: 260–261</x:v>
      </x:c>
    </x:row>
    <x:row r="230" ht="64" customHeight="1">
      <x:c r="A230" s="28" t="str">
        <x:v>STN-0316</x:v>
      </x:c>
      <x:c r="B230" s="28" t="str">
        <x:v>нектарин</x:v>
      </x:c>
      <x:c r="C230" s="28" t="str">
        <x:v>нектарин</x:v>
      </x:c>
      <x:c r="D230" s="28" t="str">
        <x:v>отварной broccoli</x:v>
      </x:c>
      <x:c r="E230" s="28" t="str">
        <x:v>Прочее</x:v>
      </x:c>
      <x:c r="F230" s="28" t="str">
        <x:v>комплементарность ароматических семейств, вкусовой контраст и матричный эффект</x:v>
      </x:c>
      <x:c r="G23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Отварной broccoli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3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3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0" s="28" t="str">
        <x:v>напиток, соус, десерт или горячее блюдо после пробной дегустации</x:v>
      </x:c>
      <x:c r="K230" s="28" t="str">
        <x:v>Средняя</x:v>
      </x:c>
      <x:c r="L230" s="28" t="str">
        <x:v>The Art &amp; Science of Foodpairing.pdf</x:v>
      </x:c>
      <x:c r="M230" s="28" t="str">
        <x:v>The Art &amp; Science of Foodpairing.pdf: 260–261</x:v>
      </x:c>
    </x:row>
    <x:row r="231" ht="64" customHeight="1">
      <x:c r="A231" s="28" t="str">
        <x:v>STN-0318</x:v>
      </x:c>
      <x:c r="B231" s="28" t="str">
        <x:v>нектарин</x:v>
      </x:c>
      <x:c r="C231" s="28" t="str">
        <x:v>нектарин</x:v>
      </x:c>
      <x:c r="D231" s="28" t="str">
        <x:v>отварной рис басмати</x:v>
      </x:c>
      <x:c r="E231" s="28" t="str">
        <x:v>Злаки и выпечка</x:v>
      </x:c>
      <x:c r="F231" s="28" t="str">
        <x:v>комплементарность ароматических семейств, вкусовой контраст и матричный эффект</x:v>
      </x:c>
      <x:c r="G23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Отварной рис басмати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крахмал, сладость и соль.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крахмальная матрица приглушает кислоту и распределяет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3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3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1" s="28" t="str">
        <x:v>тарт, крем, мороженое, выпечка, сырная подача или начинка</x:v>
      </x:c>
      <x:c r="K231" s="28" t="str">
        <x:v>Средняя</x:v>
      </x:c>
      <x:c r="L231" s="28" t="str">
        <x:v>The Art &amp; Science of Foodpairing.pdf</x:v>
      </x:c>
      <x:c r="M231" s="28" t="str">
        <x:v>The Art &amp; Science of Foodpairing.pdf: 260–261</x:v>
      </x:c>
    </x:row>
    <x:row r="232" ht="64" customHeight="1">
      <x:c r="A232" s="28" t="str">
        <x:v>STN-0321</x:v>
      </x:c>
      <x:c r="B232" s="28" t="str">
        <x:v>нектарин</x:v>
      </x:c>
      <x:c r="C232" s="28" t="str">
        <x:v>нектарин</x:v>
      </x:c>
      <x:c r="D232" s="28" t="str">
        <x:v>пастернак</x:v>
      </x:c>
      <x:c r="E232" s="28" t="str">
        <x:v>Прочее</x:v>
      </x:c>
      <x:c r="F232" s="28" t="str">
        <x:v>комплементарность ароматических семейств, вкусовой контраст и матричный эффект</x:v>
      </x:c>
      <x:c r="G23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Пастернак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важны вода, жир, белок, сахар и температура.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23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23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2" s="28" t="str">
        <x:v>напиток, соус, десерт или горячее блюдо после пробной дегустации</x:v>
      </x:c>
      <x:c r="K232" s="28" t="str">
        <x:v>Средняя</x:v>
      </x:c>
      <x:c r="L232" s="28" t="str">
        <x:v>The Art &amp; Science of Foodpairing.pdf</x:v>
      </x:c>
      <x:c r="M232" s="28" t="str">
        <x:v>The Art &amp; Science of Foodpairing.pdf: 260–261</x:v>
      </x:c>
    </x:row>
    <x:row r="233" ht="64" customHeight="1">
      <x:c r="A233" s="28" t="str">
        <x:v>STN-0322</x:v>
      </x:c>
      <x:c r="B233" s="28" t="str">
        <x:v>нектарин</x:v>
      </x:c>
      <x:c r="C233" s="28" t="str">
        <x:v>нектарин</x:v>
      </x:c>
      <x:c r="D233" s="28" t="str">
        <x:v>пекан</x:v>
      </x:c>
      <x:c r="E233" s="28" t="str">
        <x:v>Орехи и семена</x:v>
      </x:c>
      <x:c r="F233" s="28" t="str">
        <x:v>прямое или классовое перекрытие характерных одорантов + вкусовой баланс</x:v>
      </x:c>
      <x:c r="G23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Пекан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3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33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J233" s="28" t="str">
        <x:v>тарт, крем, мороженое, выпечка, сырная подача или начинка</x:v>
      </x:c>
      <x:c r="K233" s="28" t="str">
        <x:v>Гипотеза / практическая</x:v>
      </x:c>
      <x:c r="L233" s="28" t="str">
        <x:v>Таблица сочетания(1).pdf</x:v>
      </x:c>
      <x:c r="M233" s="28" t="str">
        <x:v>Таблица сочетания(1).pdf: 14</x:v>
      </x:c>
    </x:row>
    <x:row r="234" ht="64" customHeight="1">
      <x:c r="A234" s="28" t="str">
        <x:v>STN-0323</x:v>
      </x:c>
      <x:c r="B234" s="28" t="str">
        <x:v>нектарин</x:v>
      </x:c>
      <x:c r="C234" s="28" t="str">
        <x:v>нектарин</x:v>
      </x:c>
      <x:c r="D234" s="28" t="str">
        <x:v>перец рокото</x:v>
      </x:c>
      <x:c r="E234" s="28" t="str">
        <x:v>Специи и острые компоненты</x:v>
      </x:c>
      <x:c r="F234" s="28" t="str">
        <x:v>комплементарность ароматических семейств, вкусовой контраст и матричный эффект</x:v>
      </x:c>
      <x:c r="G23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Перец рокото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234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234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34" s="28" t="str">
        <x:v>напиток, соус, десерт или горячее блюдо после пробной дегустации</x:v>
      </x:c>
      <x:c r="K234" s="28" t="str">
        <x:v>Средняя</x:v>
      </x:c>
      <x:c r="L234" s="28" t="str">
        <x:v>The Art &amp; Science of Foodpairing.pdf</x:v>
      </x:c>
      <x:c r="M234" s="28" t="str">
        <x:v>The Art &amp; Science of Foodpairing.pdf: 260–261</x:v>
      </x:c>
    </x:row>
    <x:row r="235" ht="64" customHeight="1">
      <x:c r="A235" s="28" t="str">
        <x:v>STN-0324</x:v>
      </x:c>
      <x:c r="B235" s="28" t="str">
        <x:v>нектарин</x:v>
      </x:c>
      <x:c r="C235" s="28" t="str">
        <x:v>нектарин</x:v>
      </x:c>
      <x:c r="D235" s="28" t="str">
        <x:v>перец урфа</x:v>
      </x:c>
      <x:c r="E235" s="28" t="str">
        <x:v>Специи и острые компоненты</x:v>
      </x:c>
      <x:c r="F235" s="28" t="str">
        <x:v>комплементарность ароматических семейств, вкусовой контраст и матричный эффект</x:v>
      </x:c>
      <x:c r="G23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Перец урфа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35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35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35" s="28" t="str">
        <x:v>напиток, соус, десерт или горячее блюдо после пробной дегустации</x:v>
      </x:c>
      <x:c r="K235" s="28" t="str">
        <x:v>Средняя</x:v>
      </x:c>
      <x:c r="L235" s="28" t="str">
        <x:v>The Art &amp; Science of Foodpairing.pdf</x:v>
      </x:c>
      <x:c r="M235" s="28" t="str">
        <x:v>The Art &amp; Science of Foodpairing.pdf: 260–261</x:v>
      </x:c>
    </x:row>
    <x:row r="236" ht="64" customHeight="1">
      <x:c r="A236" s="28" t="str">
        <x:v>STN-0325</x:v>
      </x:c>
      <x:c r="B236" s="28" t="str">
        <x:v>нектарин</x:v>
      </x:c>
      <x:c r="C236" s="28" t="str">
        <x:v>нектарин</x:v>
      </x:c>
      <x:c r="D236" s="28" t="str">
        <x:v>приготовленный black salsify</x:v>
      </x:c>
      <x:c r="E236" s="28" t="str">
        <x:v>Прочее</x:v>
      </x:c>
      <x:c r="F236" s="28" t="str">
        <x:v>комплементарность ароматических семейств, вкусовой контраст и матричный эффект</x:v>
      </x:c>
      <x:c r="G23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Приготовленный black salsify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3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3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6" s="28" t="str">
        <x:v>напиток, соус, десерт или горячее блюдо после пробной дегустации</x:v>
      </x:c>
      <x:c r="K236" s="28" t="str">
        <x:v>Средняя</x:v>
      </x:c>
      <x:c r="L236" s="28" t="str">
        <x:v>The Art &amp; Science of Foodpairing.pdf</x:v>
      </x:c>
      <x:c r="M236" s="28" t="str">
        <x:v>The Art &amp; Science of Foodpairing.pdf: 260–261</x:v>
      </x:c>
    </x:row>
    <x:row r="237" ht="64" customHeight="1">
      <x:c r="A237" s="28" t="str">
        <x:v>STN-0329</x:v>
      </x:c>
      <x:c r="B237" s="28" t="str">
        <x:v>нектарин</x:v>
      </x:c>
      <x:c r="C237" s="28" t="str">
        <x:v>нектарин</x:v>
      </x:c>
      <x:c r="D237" s="28" t="str">
        <x:v>розмарин</x:v>
      </x:c>
      <x:c r="E237" s="28" t="str">
        <x:v>Травы и цветы</x:v>
      </x:c>
      <x:c r="F237" s="28" t="str">
        <x:v>комплементарность ароматических семейств, вкусовой контраст и матричный эффект</x:v>
      </x:c>
      <x:c r="G23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Розмарин относится к группе «Травы и цветы» и даёт профиль «хвойный, камфорный и древесный»; типичные соединения или классы: 1,8-цинеол, камфора, α-пинен.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3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3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7" s="28" t="str">
        <x:v>напиток, соус, десерт или горячее блюдо после пробной дегустации</x:v>
      </x:c>
      <x:c r="K237" s="28" t="str">
        <x:v>Гипотеза / практическая</x:v>
      </x:c>
      <x:c r="L237" s="28" t="str">
        <x:v>Таблица сочетания(1).pdf</x:v>
      </x:c>
      <x:c r="M237" s="28" t="str">
        <x:v>Таблица сочетания(1).pdf: 14</x:v>
      </x:c>
    </x:row>
    <x:row r="238" ht="64" customHeight="1">
      <x:c r="A238" s="28" t="str">
        <x:v>STN-0331</x:v>
      </x:c>
      <x:c r="B238" s="28" t="str">
        <x:v>нектарин</x:v>
      </x:c>
      <x:c r="C238" s="28" t="str">
        <x:v>нектарин</x:v>
      </x:c>
      <x:c r="D238" s="28" t="str">
        <x:v>свиная корейка</x:v>
      </x:c>
      <x:c r="E238" s="28" t="str">
        <x:v>Прочее</x:v>
      </x:c>
      <x:c r="F238" s="28" t="str">
        <x:v>комплементарность ароматических семейств, вкусовой контраст и матричный эффект</x:v>
      </x:c>
      <x:c r="G23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баланс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матрица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3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3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8" s="28" t="str">
        <x:v>напиток, соус, десерт или горячее блюдо после пробной дегустации</x:v>
      </x:c>
      <x:c r="K238" s="28" t="str">
        <x:v>Средняя</x:v>
      </x:c>
      <x:c r="L238" s="28" t="str">
        <x:v>The Art &amp; Science of Foodpairing.pdf</x:v>
      </x:c>
      <x:c r="M238" s="28" t="str">
        <x:v>The Art &amp; Science of Foodpairing.pdf: 187 | The Art &amp; Science of Foodpairing.pdf: 189</x:v>
      </x:c>
    </x:row>
    <x:row r="239" ht="64" customHeight="1">
      <x:c r="A239" s="28" t="str">
        <x:v>STN-0332</x:v>
      </x:c>
      <x:c r="B239" s="28" t="str">
        <x:v>нектарин</x:v>
      </x:c>
      <x:c r="C239" s="28" t="str">
        <x:v>нектарин</x:v>
      </x:c>
      <x:c r="D239" s="28" t="str">
        <x:v>сельдерей</x:v>
      </x:c>
      <x:c r="E239" s="28" t="str">
        <x:v>Овощи и бобовые</x:v>
      </x:c>
      <x:c r="F239" s="28" t="str">
        <x:v>прямое или классовое перекрытие характерных одорантов + вкусовой баланс</x:v>
      </x:c>
      <x:c r="G23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Сельдерей относится к группе «Овощи и бобовые» и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варьирует от сладости до горечи, умами и крахмалистости.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водная, волокнистая или крахмальная.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H23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I23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9" s="28" t="str">
        <x:v>напиток, соус, десерт или горячее блюдо после пробной дегустации</x:v>
      </x:c>
      <x:c r="K239" s="28" t="str">
        <x:v>Средняя</x:v>
      </x:c>
      <x:c r="L239" s="28" t="str">
        <x:v>The Art &amp; Science of Foodpairing.pdf</x:v>
      </x:c>
      <x:c r="M239" s="28" t="str">
        <x:v>The Art &amp; Science of Foodpairing.pdf: 260–261</x:v>
      </x:c>
    </x:row>
    <x:row r="240" ht="64" customHeight="1">
      <x:c r="A240" s="28" t="str">
        <x:v>STN-0333</x:v>
      </x:c>
      <x:c r="B240" s="28" t="str">
        <x:v>нектарин</x:v>
      </x:c>
      <x:c r="C240" s="28" t="str">
        <x:v>нектарин</x:v>
      </x:c>
      <x:c r="D240" s="28" t="str">
        <x:v>семена кардамона</x:v>
      </x:c>
      <x:c r="E240" s="28" t="str">
        <x:v>Специи</x:v>
      </x:c>
      <x:c r="F240" s="28" t="str">
        <x:v>комплементарность ароматических семейств, вкусовой контраст и матричный эффект</x:v>
      </x:c>
      <x:c r="G24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Семена кардамона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пряный, иногда горький.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хорошо извлекаются спиртом и жиром.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4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4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0" s="28" t="str">
        <x:v>напиток, соус, десерт или горячее блюдо после пробной дегустации</x:v>
      </x:c>
      <x:c r="K240" s="28" t="str">
        <x:v>Средняя</x:v>
      </x:c>
      <x:c r="L240" s="28" t="str">
        <x:v>The Art &amp; Science of Foodpairing.pdf</x:v>
      </x:c>
      <x:c r="M240" s="28" t="str">
        <x:v>The Art &amp; Science of Foodpairing.pdf: 257</x:v>
      </x:c>
    </x:row>
    <x:row r="241" ht="64" customHeight="1">
      <x:c r="A241" s="28" t="str">
        <x:v>STN-0334</x:v>
      </x:c>
      <x:c r="B241" s="28" t="str">
        <x:v>нектарин</x:v>
      </x:c>
      <x:c r="C241" s="28" t="str">
        <x:v>нектарин</x:v>
      </x:c>
      <x:c r="D241" s="28" t="str">
        <x:v>скрэмбл</x:v>
      </x:c>
      <x:c r="E241" s="28" t="str">
        <x:v>Прочее</x:v>
      </x:c>
      <x:c r="F241" s="28" t="str">
        <x:v>комплементарность ароматических семейств, вкусовой контраст и матричный эффект</x:v>
      </x:c>
      <x:c r="G24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Скрэмбл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24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24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1" s="28" t="str">
        <x:v>напиток, соус, десерт или горячее блюдо после пробной дегустации</x:v>
      </x:c>
      <x:c r="K241" s="28" t="str">
        <x:v>Средняя</x:v>
      </x:c>
      <x:c r="L241" s="28" t="str">
        <x:v>The Art &amp; Science of Foodpairing.pdf</x:v>
      </x:c>
      <x:c r="M241" s="28" t="str">
        <x:v>The Art &amp; Science of Foodpairing.pdf: 260–261</x:v>
      </x:c>
    </x:row>
    <x:row r="242" ht="64" customHeight="1">
      <x:c r="A242" s="28" t="str">
        <x:v>STN-0335</x:v>
      </x:c>
      <x:c r="B242" s="28" t="str">
        <x:v>нектарин</x:v>
      </x:c>
      <x:c r="C242" s="28" t="str">
        <x:v>нектарин</x:v>
      </x:c>
      <x:c r="D242" s="28" t="str">
        <x:v>слива</x:v>
      </x:c>
      <x:c r="E242" s="28" t="str">
        <x:v>Косточковые фрукты</x:v>
      </x:c>
      <x:c r="F242" s="28" t="str">
        <x:v>прямое или классовое перекрытие характерных одорантов + вкусовой баланс</x:v>
      </x:c>
      <x:c r="G24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Слива относится к группе «Косточковые фрукты» и даёт профиль «винно-фруктовый, цветочный, зелёный, пряный, миндальный; от свежего до тёмно-джемового»; типичные соединения или классы: фруктовые эфиры, γ- и δ-лактоны, бензальдегид, линалоол, C6-альдегиды, дамасконы. В рабочих профилях пересекаются: бензальдегид, линалоол, c6-альдегиды, фруктовые эфиры. Общие ароматические направления: цветочный,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 и заметная яблочно-лимонная кислотность; кожица часто терпкая.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сочная пектиновая мякоть; кожица богата полифенолами; аромат хорошо работает в воде, сахаре 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H24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I24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2" s="28" t="str">
        <x:v>напиток, соус, десерт или горячее блюдо после пробной дегустации</x:v>
      </x:c>
      <x:c r="K242" s="28" t="str">
        <x:v>Гипотеза / практическая</x:v>
      </x:c>
      <x:c r="L242" s="28" t="str">
        <x:v>Таблица сочетания(1).pdf</x:v>
      </x:c>
      <x:c r="M242" s="28" t="str">
        <x:v>Таблица сочетания(1).pdf: 14 | Таблица сочетания(1).pdf: 17</x:v>
      </x:c>
    </x:row>
    <x:row r="243" ht="64" customHeight="1">
      <x:c r="A243" s="28" t="str">
        <x:v>STN-0336</x:v>
      </x:c>
      <x:c r="B243" s="28" t="str">
        <x:v>нектарин</x:v>
      </x:c>
      <x:c r="C243" s="28" t="str">
        <x:v>нектарин</x:v>
      </x:c>
      <x:c r="D243" s="28" t="str">
        <x:v>сок яблока кешью</x:v>
      </x:c>
      <x:c r="E243" s="28" t="str">
        <x:v>Фрукты</x:v>
      </x:c>
      <x:c r="F243" s="28" t="str">
        <x:v>прямое или классовое перекрытие характерных одорантов + вкусовой баланс</x:v>
      </x:c>
      <x:c r="G24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Сок яблока кешью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4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4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3" s="28" t="str">
        <x:v>сорбет, салат, джем, кордиал, лимонад, коктейль или фруктовый соус</x:v>
      </x:c>
      <x:c r="K243" s="28" t="str">
        <x:v>Средняя</x:v>
      </x:c>
      <x:c r="L243" s="28" t="str">
        <x:v>The Art &amp; Science of Foodpairing.pdf</x:v>
      </x:c>
      <x:c r="M243" s="28" t="str">
        <x:v>The Art &amp; Science of Foodpairing.pdf: 260–261</x:v>
      </x:c>
    </x:row>
    <x:row r="244" ht="64" customHeight="1">
      <x:c r="A244" s="28" t="str">
        <x:v>STN-0337</x:v>
      </x:c>
      <x:c r="B244" s="28" t="str">
        <x:v>нектарин</x:v>
      </x:c>
      <x:c r="C244" s="28" t="str">
        <x:v>нектарин</x:v>
      </x:c>
      <x:c r="D244" s="28" t="str">
        <x:v>сушеная вешенка</x:v>
      </x:c>
      <x:c r="E244" s="28" t="str">
        <x:v>Прочее</x:v>
      </x:c>
      <x:c r="F244" s="28" t="str">
        <x:v>комплементарность ароматических семейств, вкусовой контраст и матричный эффект</x:v>
      </x:c>
      <x:c r="G24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Сушеная вешенка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24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24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4" s="28" t="str">
        <x:v>напиток, соус, десерт или горячее блюдо после пробной дегустации</x:v>
      </x:c>
      <x:c r="K244" s="28" t="str">
        <x:v>Средняя</x:v>
      </x:c>
      <x:c r="L244" s="28" t="str">
        <x:v>The Art &amp; Science of Foodpairing.pdf</x:v>
      </x:c>
      <x:c r="M244" s="28" t="str">
        <x:v>The Art &amp; Science of Foodpairing.pdf: 260–261</x:v>
      </x:c>
    </x:row>
    <x:row r="245" ht="64" customHeight="1">
      <x:c r="A245" s="28" t="str">
        <x:v>STN-0340</x:v>
      </x:c>
      <x:c r="B245" s="28" t="str">
        <x:v>нектарин</x:v>
      </x:c>
      <x:c r="C245" s="28" t="str">
        <x:v>нектарин</x:v>
      </x:c>
      <x:c r="D245" s="28" t="str">
        <x:v>сушеные листья тмина</x:v>
      </x:c>
      <x:c r="E245" s="28" t="str">
        <x:v>Прочее</x:v>
      </x:c>
      <x:c r="F245" s="28" t="str">
        <x:v>комплементарность ароматических семейств, вкусовой контраст и матричный эффект</x:v>
      </x:c>
      <x:c r="G24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листья тмина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24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24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5" s="28" t="str">
        <x:v>напиток, соус, десерт или горячее блюдо после пробной дегустации</x:v>
      </x:c>
      <x:c r="K245" s="28" t="str">
        <x:v>Средняя</x:v>
      </x:c>
      <x:c r="L245" s="28" t="str">
        <x:v>The Art &amp; Science of Foodpairing.pdf</x:v>
      </x:c>
      <x:c r="M245" s="28" t="str">
        <x:v>The Art &amp; Science of Foodpairing.pdf: 260–261</x:v>
      </x:c>
    </x:row>
    <x:row r="246" ht="64" customHeight="1">
      <x:c r="A246" s="28" t="str">
        <x:v>STN-0341</x:v>
      </x:c>
      <x:c r="B246" s="28" t="str">
        <x:v>нектарин</x:v>
      </x:c>
      <x:c r="C246" s="28" t="str">
        <x:v>нектарин</x:v>
      </x:c>
      <x:c r="D246" s="28" t="str">
        <x:v>сушеные семена черного тмина</x:v>
      </x:c>
      <x:c r="E246" s="28" t="str">
        <x:v>Специи и острые компоненты</x:v>
      </x:c>
      <x:c r="F246" s="28" t="str">
        <x:v>комплементарность ароматических семейств, вкусовой контраст и матричный эффект</x:v>
      </x:c>
      <x:c r="G24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семена черного тмина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246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246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46" s="28" t="str">
        <x:v>напиток, соус, десерт или горячее блюдо после пробной дегустации</x:v>
      </x:c>
      <x:c r="K246" s="28" t="str">
        <x:v>Средняя</x:v>
      </x:c>
      <x:c r="L246" s="28" t="str">
        <x:v>The Art &amp; Science of Foodpairing.pdf</x:v>
      </x:c>
      <x:c r="M246" s="28" t="str">
        <x:v>The Art &amp; Science of Foodpairing.pdf: 260–261</x:v>
      </x:c>
    </x:row>
    <x:row r="247" ht="64" customHeight="1">
      <x:c r="A247" s="28" t="str">
        <x:v>STN-0342</x:v>
      </x:c>
      <x:c r="B247" s="28" t="str">
        <x:v>нектарин</x:v>
      </x:c>
      <x:c r="C247" s="28" t="str">
        <x:v>нектарин</x:v>
      </x:c>
      <x:c r="D247" s="28" t="str">
        <x:v>сушеные цветы сакуры</x:v>
      </x:c>
      <x:c r="E247" s="28" t="str">
        <x:v>Травы, листья и цветы</x:v>
      </x:c>
      <x:c r="F247" s="28" t="str">
        <x:v>прямое или классовое перекрытие характерных одорантов + вкусовой баланс</x:v>
      </x:c>
      <x:c r="G24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цветы сакуры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247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24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7" s="28" t="str">
        <x:v>напиток, соус, десерт или горячее блюдо после пробной дегустации</x:v>
      </x:c>
      <x:c r="K247" s="28" t="str">
        <x:v>Средняя</x:v>
      </x:c>
      <x:c r="L247" s="28" t="str">
        <x:v>The Art &amp; Science of Foodpairing.pdf</x:v>
      </x:c>
      <x:c r="M247" s="28" t="str">
        <x:v>The Art &amp; Science of Foodpairing.pdf: 260–261</x:v>
      </x:c>
    </x:row>
    <x:row r="248" ht="64" customHeight="1">
      <x:c r="A248" s="28" t="str">
        <x:v>STN-0343</x:v>
      </x:c>
      <x:c r="B248" s="28" t="str">
        <x:v>нектарин</x:v>
      </x:c>
      <x:c r="C248" s="28" t="str">
        <x:v>нектарин</x:v>
      </x:c>
      <x:c r="D248" s="28" t="str">
        <x:v>сыр манчего</x:v>
      </x:c>
      <x:c r="E248" s="28" t="str">
        <x:v>Сыры и молочные продукты</x:v>
      </x:c>
      <x:c r="F248" s="28" t="str">
        <x:v>комплементарность ароматических семейств, вкусовой контраст и матричный эффект</x:v>
      </x:c>
      <x:c r="G24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Сыр манчего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 Обработка: 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H248" s="28" t="str">
        <x:v>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I248" s="28" t="str">
        <x:v>не перегревать и не переслащивать; иначе исчезает свежая фруктовая детализация. Избыток кислоты может свернуть молочную основу; фрукт и сыр проверяют при рабочей температуре.</x:v>
      </x:c>
      <x:c r="J248" s="28" t="str">
        <x:v>тарт, крем, мороженое, выпечка, сырная подача или начинка</x:v>
      </x:c>
      <x:c r="K248" s="28" t="str">
        <x:v>Средняя</x:v>
      </x:c>
      <x:c r="L248" s="28" t="str">
        <x:v>The Art &amp; Science of Foodpairing.pdf</x:v>
      </x:c>
      <x:c r="M248" s="28" t="str">
        <x:v>The Art &amp; Science of Foodpairing.pdf: 260–261</x:v>
      </x:c>
    </x:row>
    <x:row r="249" ht="64" customHeight="1">
      <x:c r="A249" s="28" t="str">
        <x:v>STN-0344</x:v>
      </x:c>
      <x:c r="B249" s="28" t="str">
        <x:v>нектарин</x:v>
      </x:c>
      <x:c r="C249" s="28" t="str">
        <x:v>нектарин</x:v>
      </x:c>
      <x:c r="D249" s="28" t="str">
        <x:v>сычуаньский перец</x:v>
      </x:c>
      <x:c r="E249" s="28" t="str">
        <x:v>Специи и острые компоненты</x:v>
      </x:c>
      <x:c r="F249" s="28" t="str">
        <x:v>комплементарность ароматических семейств, вкусовой контраст и матричный эффект</x:v>
      </x:c>
      <x:c r="G24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Сычуаньский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249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249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49" s="28" t="str">
        <x:v>напиток, соус, десерт или горячее блюдо после пробной дегустации</x:v>
      </x:c>
      <x:c r="K249" s="28" t="str">
        <x:v>Средняя</x:v>
      </x:c>
      <x:c r="L249" s="28" t="str">
        <x:v>The Art &amp; Science of Foodpairing.pdf</x:v>
      </x:c>
      <x:c r="M249" s="28" t="str">
        <x:v>The Art &amp; Science of Foodpairing.pdf: 260–261</x:v>
      </x:c>
    </x:row>
    <x:row r="250" ht="64" customHeight="1">
      <x:c r="A250" s="28" t="str">
        <x:v>STN-0345</x:v>
      </x:c>
      <x:c r="B250" s="28" t="str">
        <x:v>нектарин</x:v>
      </x:c>
      <x:c r="C250" s="28" t="str">
        <x:v>нектарин</x:v>
      </x:c>
      <x:c r="D250" s="28" t="str">
        <x:v>таитянская ваниль</x:v>
      </x:c>
      <x:c r="E250" s="28" t="str">
        <x:v>Прочее</x:v>
      </x:c>
      <x:c r="F250" s="28" t="str">
        <x:v>комплементарность ароматических семейств, вкусовой контраст и матричный эффект</x:v>
      </x:c>
      <x:c r="G25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Таитянская ваниль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5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5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0" s="28" t="str">
        <x:v>напиток, соус, десерт или горячее блюдо после пробной дегустации</x:v>
      </x:c>
      <x:c r="K250" s="28" t="str">
        <x:v>Средняя</x:v>
      </x:c>
      <x:c r="L250" s="28" t="str">
        <x:v>The Art &amp; Science of Foodpairing.pdf</x:v>
      </x:c>
      <x:c r="M250" s="28" t="str">
        <x:v>The Art &amp; Science of Foodpairing.pdf: 260–261</x:v>
      </x:c>
    </x:row>
    <x:row r="251" ht="64" customHeight="1">
      <x:c r="A251" s="28" t="str">
        <x:v>STN-0346</x:v>
      </x:c>
      <x:c r="B251" s="28" t="str">
        <x:v>нектарин</x:v>
      </x:c>
      <x:c r="C251" s="28" t="str">
        <x:v>нектарин</x:v>
      </x:c>
      <x:c r="D251" s="28" t="str">
        <x:v>темный шоколад</x:v>
      </x:c>
      <x:c r="E251" s="28" t="str">
        <x:v>Чай, кофе и какао</x:v>
      </x:c>
      <x:c r="F251" s="28" t="str">
        <x:v>комплементарность ароматических семейств, вкусовой контраст и матричный эффект</x:v>
      </x:c>
      <x:c r="G25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Темный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горечь, терпкость и жареная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водные настои извлекают полифенолы; жир и сахар смягчают горечь.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25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25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1" s="28" t="str">
        <x:v>напиток, соус, десерт или горячее блюдо после пробной дегустации</x:v>
      </x:c>
      <x:c r="K251" s="28" t="str">
        <x:v>Высокая</x:v>
      </x:c>
      <x:c r="L251" s="28" t="str">
        <x:v>The Art &amp; Science of Foodpairing.pdf | Таблица сочетания(1).pdf</x:v>
      </x:c>
      <x:c r="M251" s="28" t="str">
        <x:v>Таблица сочетания(1).pdf: 14 | The Art &amp; Science of Foodpairing.pdf: 260–261</x:v>
      </x:c>
    </x:row>
    <x:row r="252" ht="64" customHeight="1">
      <x:c r="A252" s="28" t="str">
        <x:v>STN-0347</x:v>
      </x:c>
      <x:c r="B252" s="28" t="str">
        <x:v>нектарин</x:v>
      </x:c>
      <x:c r="C252" s="28" t="str">
        <x:v>нектарин</x:v>
      </x:c>
      <x:c r="D252" s="28" t="str">
        <x:v>тертый сырой корень сельдерея</x:v>
      </x:c>
      <x:c r="E252" s="28" t="str">
        <x:v>Сыры и молочные продукты</x:v>
      </x:c>
      <x:c r="F252" s="28" t="str">
        <x:v>комплементарность ароматических семейств, вкусовой контраст и матричный эффект</x:v>
      </x:c>
      <x:c r="G25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Тертый сырой корень сельдерея относится к группе «Сыры и молочные продукты» и даёт профиль «сливочный, молочный, ферментированный, иногда ореховый или пикантный»; типичные соединения или классы: лактоны, диацетил, жирные кислоты, сернистые и аминокислотные продукты ферментации.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водно-пектиновая; гидрофобные лактоны лучше проявляются в жире и этаноле. Жир и белок партнёра удерживают гидрофобные лактоны, но высокая фруктовая кислота может нарушить молочную эмульсию. Обработка: 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H252" s="28" t="str">
        <x:v>нагрев делает профиль джемовым и сглаживает различия между нектарином и персиком. Холодная сборка сохраняет фруктовые лактоны; при нагреве кислоту вводят постепенно, чтобы не расслоить молочную основу.</x:v>
      </x:c>
      <x:c r="I252" s="28" t="str">
        <x:v>не перегревать и не переслащивать; иначе исчезает свежая фруктовая детализация. Избыток кислоты может свернуть молочную основу; фрукт и сыр проверяют при рабочей температуре.</x:v>
      </x:c>
      <x:c r="J252" s="28" t="str">
        <x:v>тарт, крем, мороженое, выпечка, сырная подача или начинка</x:v>
      </x:c>
      <x:c r="K252" s="28" t="str">
        <x:v>Средняя</x:v>
      </x:c>
      <x:c r="L252" s="28" t="str">
        <x:v>The Art &amp; Science of Foodpairing.pdf</x:v>
      </x:c>
      <x:c r="M252" s="28" t="str">
        <x:v>The Art &amp; Science of Foodpairing.pdf: 260–261</x:v>
      </x:c>
    </x:row>
    <x:row r="253" ht="64" customHeight="1">
      <x:c r="A253" s="28" t="str">
        <x:v>STN-0350</x:v>
      </x:c>
      <x:c r="B253" s="28" t="str">
        <x:v>нектарин</x:v>
      </x:c>
      <x:c r="C253" s="28" t="str">
        <x:v>нектарин</x:v>
      </x:c>
      <x:c r="D253" s="28" t="str">
        <x:v>укроп</x:v>
      </x:c>
      <x:c r="E253" s="28" t="str">
        <x:v>Травы и цветы</x:v>
      </x:c>
      <x:c r="F253" s="28" t="str">
        <x:v>прямое или классовое перекрытие характерных одорантов + вкусовой баланс</x:v>
      </x:c>
      <x:c r="G25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5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5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3" s="28" t="str">
        <x:v>напиток, соус, десерт или горячее блюдо после пробной дегустации</x:v>
      </x:c>
      <x:c r="K253" s="28" t="str">
        <x:v>Средняя</x:v>
      </x:c>
      <x:c r="L253" s="28" t="str">
        <x:v>The Art &amp; Science of Foodpairing.pdf</x:v>
      </x:c>
      <x:c r="M253" s="28" t="str">
        <x:v>The Art &amp; Science of Foodpairing.pdf: 260–261</x:v>
      </x:c>
    </x:row>
    <x:row r="254" ht="64" customHeight="1">
      <x:c r="A254" s="28" t="str">
        <x:v>STN-0354</x:v>
      </x:c>
      <x:c r="B254" s="28" t="str">
        <x:v>нектарин</x:v>
      </x:c>
      <x:c r="C254" s="28" t="str">
        <x:v>нектарин</x:v>
      </x:c>
      <x:c r="D254" s="28" t="str">
        <x:v>финик</x:v>
      </x:c>
      <x:c r="E254" s="28" t="str">
        <x:v>Сухофрукты и тропические плоды</x:v>
      </x:c>
      <x:c r="F254" s="28" t="str">
        <x:v>комплементарность ароматических семейств, вкусовой контраст и матричный эффект</x:v>
      </x:c>
      <x:c r="G25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Финик относится к группе «Сухофрукты и тропические плоды» и даёт профиль «медовый, карамельный, сухофруктовый, ореховый и пряный»; типичные соединения или классы: фураны, альдегиды Стреккера, фенольные соединения и продукты карамелизации.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очень высокая сладость, низкая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плотная сахаристая и вязкая; хорошо связывает жир и специи.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H25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I25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4" s="28" t="str">
        <x:v>напиток, соус, десерт или горячее блюдо после пробной дегустации</x:v>
      </x:c>
      <x:c r="K254" s="28" t="str">
        <x:v>Гипотеза / практическая</x:v>
      </x:c>
      <x:c r="L254" s="28" t="str">
        <x:v>Таблица сочетания(1).pdf</x:v>
      </x:c>
      <x:c r="M254" s="28" t="str">
        <x:v>Таблица сочетания(1).pdf: Таблица сочетаний: 7 | Таблица сочетания(1).pdf: 7</x:v>
      </x:c>
    </x:row>
    <x:row r="255" ht="64" customHeight="1">
      <x:c r="A255" s="28" t="str">
        <x:v>STN-0355</x:v>
      </x:c>
      <x:c r="B255" s="28" t="str">
        <x:v>нектарин</x:v>
      </x:c>
      <x:c r="C255" s="28" t="str">
        <x:v>нектарин</x:v>
      </x:c>
      <x:c r="D255" s="28" t="str">
        <x:v>фисташка</x:v>
      </x:c>
      <x:c r="E255" s="28" t="str">
        <x:v>Орехи и семена</x:v>
      </x:c>
      <x:c r="F255" s="28" t="str">
        <x:v>прямое или классовое перекрытие характерных одорантов + вкусовой баланс</x:v>
      </x:c>
      <x:c r="G25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Фисташка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5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55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J255" s="28" t="str">
        <x:v>тарт, крем, мороженое, выпечка, сырная подача или начинка</x:v>
      </x:c>
      <x:c r="K255" s="28" t="str">
        <x:v>Высокая</x:v>
      </x:c>
      <x:c r="L255" s="28" t="str">
        <x:v>The Art &amp; Science of Foodpairing.pdf | Таблица сочетания(1).pdf</x:v>
      </x:c>
      <x:c r="M255" s="28" t="str">
        <x:v>Таблица сочетания(1).pdf: 14 | The Art &amp; Science of Foodpairing.pdf: 260–261</x:v>
      </x:c>
    </x:row>
    <x:row r="256" ht="64" customHeight="1">
      <x:c r="A256" s="28" t="str">
        <x:v>STN-0356</x:v>
      </x:c>
      <x:c r="B256" s="28" t="str">
        <x:v>нектарин</x:v>
      </x:c>
      <x:c r="C256" s="28" t="str">
        <x:v>нектарин</x:v>
      </x:c>
      <x:c r="D256" s="28" t="str">
        <x:v>фундук</x:v>
      </x:c>
      <x:c r="E256" s="28" t="str">
        <x:v>Орехи и семена</x:v>
      </x:c>
      <x:c r="F256" s="28" t="str">
        <x:v>комплементарность ароматических семейств, вкусовой контраст и матричный эффект</x:v>
      </x:c>
      <x:c r="G25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Фундук относится к группе «Орехи и семена» и даёт профиль «жареный ореховый и маслянистый»; типичные соединения или классы: филбертон, пиразины. По доступным материалам нельзя уверенно свести совместимость к одной общей молекуле. Жирность и жареная горечь ореха округляют кислотность фрукта; миндально-косточковый оттенок создаёт особенно связный профиль. Матрица пары: водно-пектиновая; гидрофобные лактоны лучше проявляются в жире и этаноле. Ореховый жир удерживает лактоны и смягчает кислотность; обжарка добавляет пиразины.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5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56" s="28" t="str">
        <x:v>не перегревать и не переслащивать; иначе исчезает свежая фруктовая детализация. Сильная обжарка и прогорклый жир перекрывают цветочный профиль.</x:v>
      </x:c>
      <x:c r="J256" s="28" t="str">
        <x:v>тарт, крем, мороженое, выпечка, сырная подача или начинка</x:v>
      </x:c>
      <x:c r="K256" s="28" t="str">
        <x:v>Высокая</x:v>
      </x:c>
      <x:c r="L256" s="28" t="str">
        <x:v>The Art &amp; Science of Foodpairing.pdf | Таблица сочетания(1).pdf</x:v>
      </x:c>
      <x:c r="M256" s="28" t="str">
        <x:v>Таблица сочетания(1).pdf: 14 | The Art &amp; Science of Foodpairing.pdf: 333</x:v>
      </x:c>
    </x:row>
    <x:row r="257" ht="64" customHeight="1">
      <x:c r="A257" s="28" t="str">
        <x:v>STN-0357</x:v>
      </x:c>
      <x:c r="B257" s="28" t="str">
        <x:v>нектарин</x:v>
      </x:c>
      <x:c r="C257" s="28" t="str">
        <x:v>нектарин</x:v>
      </x:c>
      <x:c r="D257" s="28" t="str">
        <x:v>хвоя сосны</x:v>
      </x:c>
      <x:c r="E257" s="28" t="str">
        <x:v>Травы, листья и цветы</x:v>
      </x:c>
      <x:c r="F257" s="28" t="str">
        <x:v>прямое или классовое перекрытие характерных одорантов + вкусовой баланс</x:v>
      </x:c>
      <x:c r="G25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Хвоя сосны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257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25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7" s="28" t="str">
        <x:v>напиток, соус, десерт или горячее блюдо после пробной дегустации</x:v>
      </x:c>
      <x:c r="K257" s="28" t="str">
        <x:v>Средняя</x:v>
      </x:c>
      <x:c r="L257" s="28" t="str">
        <x:v>The Art &amp; Science of Foodpairing.pdf</x:v>
      </x:c>
      <x:c r="M257" s="28" t="str">
        <x:v>The Art &amp; Science of Foodpairing.pdf: 260–261</x:v>
      </x:c>
    </x:row>
    <x:row r="258" ht="64" customHeight="1">
      <x:c r="A258" s="28" t="str">
        <x:v>STN-0358</x:v>
      </x:c>
      <x:c r="B258" s="28" t="str">
        <x:v>нектарин</x:v>
      </x:c>
      <x:c r="C258" s="28" t="str">
        <x:v>нектарин</x:v>
      </x:c>
      <x:c r="D258" s="28" t="str">
        <x:v>хурма</x:v>
      </x:c>
      <x:c r="E258" s="28" t="str">
        <x:v>Субтропические фрукты</x:v>
      </x:c>
      <x:c r="F258" s="28" t="str">
        <x:v>прямое или классовое перекрытие характерных одорантов + вкусовой баланс</x:v>
      </x:c>
      <x:c r="G25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Хурма относится к группе «Субтропические фрукты» и даёт профиль «медовый, абрикосовый, цветочный, пряный и слегка тыквенный»; типичные соединения или классы: каротиноидные норизопреноиды, фруктовые эфиры, линалоол, C6-альдегиды. В рабочих профилях пересекаются: линалоол, c6-альдегиды, фруктовые эфиры.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сладость; у вяжущих сортов много растворимых танинов.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пектиновая, мягкая и вязкая; зрелость резко меняет терпкость.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хурма сильно вяжет; с большим количеством дубильных партнёров сочетание становится сухим.</x:v>
      </x:c>
      <x:c r="H25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хурма сильно вяжет; с большим количеством дубильных партнёров сочетание становится сухим.</x:v>
      </x:c>
      <x:c r="I25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8" s="28" t="str">
        <x:v>напиток, соус, десерт или горячее блюдо после пробной дегустации</x:v>
      </x:c>
      <x:c r="K258" s="28" t="str">
        <x:v>Гипотеза / практическая</x:v>
      </x:c>
      <x:c r="L258" s="28" t="str">
        <x:v>Таблица сочетания(1).pdf</x:v>
      </x:c>
      <x:c r="M258" s="28" t="str">
        <x:v>Таблица сочетания(1).pdf: Таблица сочетаний: 16 | Таблица сочетания(1).pdf: 16</x:v>
      </x:c>
    </x:row>
    <x:row r="259" ht="64" customHeight="1">
      <x:c r="A259" s="28" t="str">
        <x:v>STN-0359</x:v>
      </x:c>
      <x:c r="B259" s="28" t="str">
        <x:v>нектарин</x:v>
      </x:c>
      <x:c r="C259" s="28" t="str">
        <x:v>нектарин</x:v>
      </x:c>
      <x:c r="D259" s="28" t="str">
        <x:v>цветы бузины</x:v>
      </x:c>
      <x:c r="E259" s="28" t="str">
        <x:v>Травы и цветы</x:v>
      </x:c>
      <x:c r="F259" s="28" t="str">
        <x:v>прямое или классовое перекрытие характерных одорантов + вкусовой баланс</x:v>
      </x:c>
      <x:c r="G25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Цветы бузины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5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5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9" s="28" t="str">
        <x:v>напиток, соус, десерт или горячее блюдо после пробной дегустации</x:v>
      </x:c>
      <x:c r="K259" s="28" t="str">
        <x:v>Средняя</x:v>
      </x:c>
      <x:c r="L259" s="28" t="str">
        <x:v>The Art &amp; Science of Foodpairing.pdf</x:v>
      </x:c>
      <x:c r="M259" s="28" t="str">
        <x:v>The Art &amp; Science of Foodpairing.pdf: 260–261</x:v>
      </x:c>
    </x:row>
    <x:row r="260" ht="64" customHeight="1">
      <x:c r="A260" s="28" t="str">
        <x:v>STN-0361</x:v>
      </x:c>
      <x:c r="B260" s="28" t="str">
        <x:v>нектарин</x:v>
      </x:c>
      <x:c r="C260" s="28" t="str">
        <x:v>нектарин</x:v>
      </x:c>
      <x:c r="D260" s="28" t="str">
        <x:v>черешня</x:v>
      </x:c>
      <x:c r="E260" s="28" t="str">
        <x:v>Ягоды и производные</x:v>
      </x:c>
      <x:c r="F260" s="28" t="str">
        <x:v>прямое или классовое перекрытие характерных одорантов + вкусовой баланс</x:v>
      </x:c>
      <x:c r="G26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Черешня относится к группе «Ягоды и производные» и даёт профиль «миндальный, сладко-фруктовый, цветочный»; типичные соединения или классы: бензальдегид, бета-дамасценон, эфиры. В рабочих профилях пересекаются: бензальдегид, эфиры. Общие ароматические направления: цветочный,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сладкий, умеренно кислый.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нежнее кислой вишни; легко становится приторной.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H26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I26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60" s="28" t="str">
        <x:v>напиток, соус, десерт или горячее блюдо после пробной дегустации</x:v>
      </x:c>
      <x:c r="K260" s="28" t="str">
        <x:v>Средняя</x:v>
      </x:c>
      <x:c r="L260" s="28" t="str">
        <x:v>The Art &amp; Science of Foodpairing.pdf</x:v>
      </x:c>
      <x:c r="M260" s="28" t="str">
        <x:v>The Art &amp; Science of Foodpairing.pdf: 260–261</x:v>
      </x:c>
    </x:row>
    <x:row r="261" ht="64" customHeight="1">
      <x:c r="A261" s="28" t="str">
        <x:v>STN-0362</x:v>
      </x:c>
      <x:c r="B261" s="28" t="str">
        <x:v>нектарин</x:v>
      </x:c>
      <x:c r="C261" s="28" t="str">
        <x:v>нектарин</x:v>
      </x:c>
      <x:c r="D261" s="28" t="str">
        <x:v>чернослив</x:v>
      </x:c>
      <x:c r="E261" s="28" t="str">
        <x:v>Сушёные косточковые фрукты</x:v>
      </x:c>
      <x:c r="F261" s="28" t="str">
        <x:v>прямое или классовое перекрытие характерных одорантов + вкусовой баланс</x:v>
      </x:c>
      <x:c r="G26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Чернослив относится к группе «Сушёные косточковые фрукты» и даёт профиль «тёмно-фруктовый, карамельный, винный, слегка дымный и миндальный»; типичные соединения или классы: фурфурол, 5-метилфурфурол, мальтол, лактоны, бензальдегид, продукты термического распада сахаров. В рабочих профилях пересекаются: бензальдегид. Общие ароматические направления: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маловодная, богатая сахарами, пектином и сорбитолом; хорошо удерживает специи и алкоголь.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H26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I26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61" s="28" t="str">
        <x:v>напиток, соус, десерт или горячее блюдо после пробной дегустации</x:v>
      </x:c>
      <x:c r="K261" s="28" t="str">
        <x:v>Средняя</x:v>
      </x:c>
      <x:c r="L261" s="28" t="str">
        <x:v>The Art &amp; Science of Foodpairing.pdf</x:v>
      </x:c>
      <x:c r="M261" s="28" t="str">
        <x:v>The Art &amp; Science of Foodpairing.pdf: 260–261</x:v>
      </x:c>
    </x:row>
    <x:row r="262" ht="64" customHeight="1">
      <x:c r="A262" s="28" t="str">
        <x:v>STN-0363</x:v>
      </x:c>
      <x:c r="B262" s="28" t="str">
        <x:v>нектарин</x:v>
      </x:c>
      <x:c r="C262" s="28" t="str">
        <x:v>нектарин</x:v>
      </x:c>
      <x:c r="D262" s="28" t="str">
        <x:v>шнитт-лук</x:v>
      </x:c>
      <x:c r="E262" s="28" t="str">
        <x:v>Травы, листья и цветы</x:v>
      </x:c>
      <x:c r="F262" s="28" t="str">
        <x:v>прямое или классовое перекрытие характерных одорантов + вкусовой баланс</x:v>
      </x:c>
      <x:c r="G26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Шнитт-лук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262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26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62" s="28" t="str">
        <x:v>напиток, соус, десерт или горячее блюдо после пробной дегустации</x:v>
      </x:c>
      <x:c r="K262" s="28" t="str">
        <x:v>Средняя</x:v>
      </x:c>
      <x:c r="L262" s="28" t="str">
        <x:v>The Art &amp; Science of Foodpairing.pdf</x:v>
      </x:c>
      <x:c r="M262" s="28" t="str">
        <x:v>The Art &amp; Science of Foodpairing.pdf: 260–261</x:v>
      </x:c>
    </x:row>
    <x:row r="263" ht="64" customHeight="1">
      <x:c r="A263" s="28" t="str">
        <x:v>STN-0364</x:v>
      </x:c>
      <x:c r="B263" s="28" t="str">
        <x:v>нектарин</x:v>
      </x:c>
      <x:c r="C263" s="28" t="str">
        <x:v>нектарин</x:v>
      </x:c>
      <x:c r="D263" s="28" t="str">
        <x:v>эстрагон</x:v>
      </x:c>
      <x:c r="E263" s="28" t="str">
        <x:v>Травы и цветы</x:v>
      </x:c>
      <x:c r="F263" s="28" t="str">
        <x:v>прямое или классовое перекрытие характерных одорантов + вкусовой баланс</x:v>
      </x:c>
      <x:c r="G26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Эстрагон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горьковатый, свежий.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летучие масла чувствительны к нагреву.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6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6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63" s="28" t="str">
        <x:v>напиток, соус, десерт или горячее блюдо после пробной дегустации</x:v>
      </x:c>
      <x:c r="K263" s="28" t="str">
        <x:v>Средняя</x:v>
      </x:c>
      <x:c r="L263" s="28" t="str">
        <x:v>The Art &amp; Science of Foodpairing.pdf</x:v>
      </x:c>
      <x:c r="M263" s="28" t="str">
        <x:v>The Art &amp; Science of Foodpairing.pdf: 260–261</x:v>
      </x:c>
    </x:row>
    <x:row r="264" ht="64" customHeight="1">
      <x:c r="A264" s="28" t="str">
        <x:v>STN-0365</x:v>
      </x:c>
      <x:c r="B264" s="28" t="str">
        <x:v>слива</x:v>
      </x:c>
      <x:c r="C264" s="28" t="str">
        <x:v>слива</x:v>
      </x:c>
      <x:c r="D264" s="28" t="str">
        <x:v>авокадо</x:v>
      </x:c>
      <x:c r="E264" s="28" t="str">
        <x:v>Тропические фрукты и жирные матрицы</x:v>
      </x:c>
      <x:c r="F264" s="28" t="str">
        <x:v>комплементарность ароматических семейств, вкусовой контраст и матричный эффект</x:v>
      </x:c>
      <x:c r="G26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Общие ароматические направления: зелёный. Базовый фрукт даёт: сладость и заметная яблочно-лимонная кислотность; кожица часто терпкая. Партнёр добавляет: мягкий, жирный, почти несладкий; лёгкая растительная горечь.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высокожировая эмульсия; хорошо растворяет гидрофобные ароматические молекулы.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264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264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64" s="28" t="str">
        <x:v>напиток, соус, десерт или горячее блюдо после пробной дегустации</x:v>
      </x:c>
      <x:c r="K264" s="28" t="str">
        <x:v>Гипотеза / практическая</x:v>
      </x:c>
      <x:c r="L264" s="28" t="str">
        <x:v>Таблица сочетания(1).pdf</x:v>
      </x:c>
      <x:c r="M264" s="28" t="str">
        <x:v>Таблица сочетания(1).pdf: Таблица сочетаний: 2 | Таблица сочетания(1).pdf: 2</x:v>
      </x:c>
    </x:row>
    <x:row r="265" ht="64" customHeight="1">
      <x:c r="A265" s="28" t="str">
        <x:v>STN-0366</x:v>
      </x:c>
      <x:c r="B265" s="28" t="str">
        <x:v>слива</x:v>
      </x:c>
      <x:c r="C265" s="28" t="str">
        <x:v>слива</x:v>
      </x:c>
      <x:c r="D265" s="28" t="str">
        <x:v>анис</x:v>
      </x:c>
      <x:c r="E265" s="28" t="str">
        <x:v>Специи и острые компоненты</x:v>
      </x:c>
      <x:c r="F265" s="28" t="str">
        <x:v>комплементарность ароматических семейств, вкусовой контраст и матричный эффект</x:v>
      </x:c>
      <x:c r="G26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Анис относится к группе «Специи и острые компоненты» и даёт профиль «сладкий лакричный и пряный»; типичные соединения или классы: анетол.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65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65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265" s="28" t="str">
        <x:v>напиток, соус, десерт или горячее блюдо после пробной дегустации</x:v>
      </x:c>
      <x:c r="K265" s="28" t="str">
        <x:v>Гипотеза / практическая</x:v>
      </x:c>
      <x:c r="L265" s="28" t="str">
        <x:v>Таблица сочетания(1).pdf</x:v>
      </x:c>
      <x:c r="M265" s="28" t="str">
        <x:v>Таблица сочетания(1).pdf: 17</x:v>
      </x:c>
    </x:row>
    <x:row r="266" ht="64" customHeight="1">
      <x:c r="A266" s="28" t="str">
        <x:v>STN-0367</x:v>
      </x:c>
      <x:c r="B266" s="28" t="str">
        <x:v>слива</x:v>
      </x:c>
      <x:c r="C266" s="28" t="str">
        <x:v>слива</x:v>
      </x:c>
      <x:c r="D266" s="28" t="str">
        <x:v>апельсин</x:v>
      </x:c>
      <x:c r="E266" s="28" t="str">
        <x:v>Цитрусовые</x:v>
      </x:c>
      <x:c r="F266" s="28" t="str">
        <x:v>прямое или классовое перекрытие характерных одорантов + вкусовой баланс</x:v>
      </x:c>
      <x:c r="G26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6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66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66" s="28" t="str">
        <x:v>сорбет, салат, джем, кордиал, лимонад, коктейль или фруктовый соус</x:v>
      </x:c>
      <x:c r="K266" s="28" t="str">
        <x:v>Средняя</x:v>
      </x:c>
      <x:c r="L266" s="28" t="str">
        <x:v>The Art &amp; Science of Foodpairing.pdf</x:v>
      </x:c>
      <x:c r="M266" s="28" t="str">
        <x:v>The Art &amp; Science of Foodpairing.pdf: 237</x:v>
      </x:c>
    </x:row>
    <x:row r="267" ht="64" customHeight="1">
      <x:c r="A267" s="28" t="str">
        <x:v>STN-0368</x:v>
      </x:c>
      <x:c r="B267" s="28" t="str">
        <x:v>слива</x:v>
      </x:c>
      <x:c r="C267" s="28" t="str">
        <x:v>слива</x:v>
      </x:c>
      <x:c r="D267" s="28" t="str">
        <x:v>бадьян</x:v>
      </x:c>
      <x:c r="E267" s="28" t="str">
        <x:v>Специи и острые компоненты</x:v>
      </x:c>
      <x:c r="F267" s="28" t="str">
        <x:v>комплементарность ароматических семейств, вкусовой контраст и матричный эффект</x:v>
      </x:c>
      <x:c r="G26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Бадьян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67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67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267" s="28" t="str">
        <x:v>напиток, соус, десерт или горячее блюдо после пробной дегустации</x:v>
      </x:c>
      <x:c r="K267" s="28" t="str">
        <x:v>Гипотеза / практическая</x:v>
      </x:c>
      <x:c r="L267" s="28" t="str">
        <x:v>Таблица сочетания(1).pdf</x:v>
      </x:c>
      <x:c r="M267" s="28" t="str">
        <x:v>Таблица сочетания(1).pdf: 20</x:v>
      </x:c>
    </x:row>
    <x:row r="268" ht="64" customHeight="1">
      <x:c r="A268" s="28" t="str">
        <x:v>STN-0369</x:v>
      </x:c>
      <x:c r="B268" s="28" t="str">
        <x:v>слива</x:v>
      </x:c>
      <x:c r="C268" s="28" t="str">
        <x:v>слива</x:v>
      </x:c>
      <x:c r="D268" s="28" t="str">
        <x:v>базилик</x:v>
      </x:c>
      <x:c r="E268" s="28" t="str">
        <x:v>Травы и цветы</x:v>
      </x:c>
      <x:c r="F268" s="28" t="str">
        <x:v>прямое или классовое перекрытие характерных одорантов + вкусовой баланс</x:v>
      </x:c>
      <x:c r="G26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В рабочих профилях пересекаются: линалоол. Общие ароматические направления: цветочный, зелёный, пряный. 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68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68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68" s="28" t="str">
        <x:v>напиток, соус, десерт или горячее блюдо после пробной дегустации</x:v>
      </x:c>
      <x:c r="K268" s="28" t="str">
        <x:v>Гипотеза / практическая</x:v>
      </x:c>
      <x:c r="L268" s="28" t="str">
        <x:v>Таблица сочетания(1).pdf</x:v>
      </x:c>
      <x:c r="M268" s="28" t="str">
        <x:v>Таблица сочетания(1).pdf: 17</x:v>
      </x:c>
    </x:row>
    <x:row r="269" ht="64" customHeight="1">
      <x:c r="A269" s="28" t="str">
        <x:v>STN-0370</x:v>
      </x:c>
      <x:c r="B269" s="28" t="str">
        <x:v>слива</x:v>
      </x:c>
      <x:c r="C269" s="28" t="str">
        <x:v>слива</x:v>
      </x:c>
      <x:c r="D269" s="28" t="str">
        <x:v>ваниль</x:v>
      </x:c>
      <x:c r="E269" s="28" t="str">
        <x:v>Специи и острые компоненты</x:v>
      </x:c>
      <x:c r="F269" s="28" t="str">
        <x:v>прямое или классовое перекрытие характерных одорантов + вкусовой баланс</x:v>
      </x:c>
      <x:c r="G26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Ваниль относится к группе «Специи и острые компоненты» и даёт профиль «сладкий, сливочный и древесный»; типичные соединения или классы: ванилин, п-гидроксибензальдегид. В рабочих профилях пересекаются: бензальдегид.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69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69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269" s="28" t="str">
        <x:v>напиток, соус, десерт или горячее блюдо после пробной дегустации</x:v>
      </x:c>
      <x:c r="K269" s="28" t="str">
        <x:v>Гипотеза / практическая</x:v>
      </x:c>
      <x:c r="L269" s="28" t="str">
        <x:v>Таблица сочетания(1).pdf</x:v>
      </x:c>
      <x:c r="M269" s="28" t="str">
        <x:v>Таблица сочетания(1).pdf: 17</x:v>
      </x:c>
    </x:row>
    <x:row r="270" ht="64" customHeight="1">
      <x:c r="A270" s="28" t="str">
        <x:v>STN-0371</x:v>
      </x:c>
      <x:c r="B270" s="28" t="str">
        <x:v>слива</x:v>
      </x:c>
      <x:c r="C270" s="28" t="str">
        <x:v>слива</x:v>
      </x:c>
      <x:c r="D270" s="28" t="str">
        <x:v>вишня</x:v>
      </x:c>
      <x:c r="E270" s="28" t="str">
        <x:v>Косточковые фрукты</x:v>
      </x:c>
      <x:c r="F270" s="28" t="str">
        <x:v>прямое или классовое перекрытие характерных одорантов + вкусовой баланс</x:v>
      </x:c>
      <x:c r="G27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линалоол, эфиры. Общие ароматические направления: цветочный, фруктовый, миндальный. Базовый фрукт даёт: сладость и заметная яблочно-лимонная кислотность; кожица часто терпкая. Партнёр добавляет: сладость и умеренная кислотность.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пектиновая; кожица и косточка могут давать терпкость и миндальные ноты.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270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270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70" s="28" t="str">
        <x:v>напиток, соус, десерт или горячее блюдо после пробной дегустации</x:v>
      </x:c>
      <x:c r="K270" s="28" t="str">
        <x:v>Гипотеза / практическая</x:v>
      </x:c>
      <x:c r="L270" s="28" t="str">
        <x:v>Таблица сочетания(1).pdf</x:v>
      </x:c>
      <x:c r="M270" s="28" t="str">
        <x:v>Таблица сочетания(1).pdf: Таблица сочетаний: 4, 17 | Таблица сочетания(1).pdf: 4 | Таблица сочетания(1).pdf: 17</x:v>
      </x:c>
    </x:row>
    <x:row r="271" ht="64" customHeight="1">
      <x:c r="A271" s="28" t="str">
        <x:v>STN-0372</x:v>
      </x:c>
      <x:c r="B271" s="28" t="str">
        <x:v>слива</x:v>
      </x:c>
      <x:c r="C271" s="28" t="str">
        <x:v>слива</x:v>
      </x:c>
      <x:c r="D271" s="28" t="str">
        <x:v>грейпфрут</x:v>
      </x:c>
      <x:c r="E271" s="28" t="str">
        <x:v>Цитрусовые</x:v>
      </x:c>
      <x:c r="F271" s="28" t="str">
        <x:v>прямое или классовое перекрытие характерных одорантов + вкусовой баланс</x:v>
      </x:c>
      <x:c r="G27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Грейпфрут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71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71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71" s="28" t="str">
        <x:v>сорбет, салат, джем, кордиал, лимонад, коктейль или фруктовый соус</x:v>
      </x:c>
      <x:c r="K271" s="28" t="str">
        <x:v>Средняя</x:v>
      </x:c>
      <x:c r="L271" s="28" t="str">
        <x:v>The Art &amp; Science of Foodpairing.pdf</x:v>
      </x:c>
      <x:c r="M271" s="28" t="str">
        <x:v>The Art &amp; Science of Foodpairing.pdf: 359</x:v>
      </x:c>
    </x:row>
    <x:row r="272" ht="64" customHeight="1">
      <x:c r="A272" s="28" t="str">
        <x:v>STN-0373</x:v>
      </x:c>
      <x:c r="B272" s="28" t="str">
        <x:v>слива</x:v>
      </x:c>
      <x:c r="C272" s="28" t="str">
        <x:v>слива</x:v>
      </x:c>
      <x:c r="D272" s="28" t="str">
        <x:v>грецкий орех</x:v>
      </x:c>
      <x:c r="E272" s="28" t="str">
        <x:v>Орехи и семена</x:v>
      </x:c>
      <x:c r="F272" s="28" t="str">
        <x:v>прямое или классовое перекрытие характерных одорантов + вкусовой баланс</x:v>
      </x:c>
      <x:c r="G27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Грецкий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7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72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J272" s="28" t="str">
        <x:v>тарт, крем, мороженое, выпечка, сырная подача или начинка</x:v>
      </x:c>
      <x:c r="K272" s="28" t="str">
        <x:v>Гипотеза / практическая</x:v>
      </x:c>
      <x:c r="L272" s="28" t="str">
        <x:v>Таблица сочетания(1).pdf</x:v>
      </x:c>
      <x:c r="M272" s="28" t="str">
        <x:v>Таблица сочетания(1).pdf: 17</x:v>
      </x:c>
    </x:row>
    <x:row r="273" ht="64" customHeight="1">
      <x:c r="A273" s="28" t="str">
        <x:v>STN-0374</x:v>
      </x:c>
      <x:c r="B273" s="28" t="str">
        <x:v>слива</x:v>
      </x:c>
      <x:c r="C273" s="28" t="str">
        <x:v>слива</x:v>
      </x:c>
      <x:c r="D273" s="28" t="str">
        <x:v>имбирь</x:v>
      </x:c>
      <x:c r="E273" s="28" t="str">
        <x:v>Специи и острые компоненты</x:v>
      </x:c>
      <x:c r="F273" s="28" t="str">
        <x:v>комплементарность ароматических семейств, вкусовой контраст и матричный эффект</x:v>
      </x:c>
      <x:c r="G27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73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73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273" s="28" t="str">
        <x:v>напиток, соус, десерт или горячее блюдо после пробной дегустации</x:v>
      </x:c>
      <x:c r="K273" s="28" t="str">
        <x:v>Гипотеза / практическая</x:v>
      </x:c>
      <x:c r="L273" s="28" t="str">
        <x:v>Таблица сочетания(1).pdf</x:v>
      </x:c>
      <x:c r="M273" s="28" t="str">
        <x:v>Таблица сочетания(1).pdf: 8 | Таблица сочетания(1).pdf: 17</x:v>
      </x:c>
    </x:row>
    <x:row r="274" ht="64" customHeight="1">
      <x:c r="A274" s="28" t="str">
        <x:v>STN-0375</x:v>
      </x:c>
      <x:c r="B274" s="28" t="str">
        <x:v>слива</x:v>
      </x:c>
      <x:c r="C274" s="28" t="str">
        <x:v>слива</x:v>
      </x:c>
      <x:c r="D274" s="28" t="str">
        <x:v>инжир</x:v>
      </x:c>
      <x:c r="E274" s="28" t="str">
        <x:v>Субтропические фрукты</x:v>
      </x:c>
      <x:c r="F274" s="28" t="str">
        <x:v>прямое или классовое перекрытие характерных одорантов + вкусовой баланс</x:v>
      </x:c>
      <x:c r="G27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бензальдегид, линалоол. Общие ароматические направления: цветочный, зелёный. Базовый фрукт даёт: сладость и заметная яблочно-лимонная кислотность; кожица часто терпкая. Партнёр добавляет: высокая сладость, низкая кислотность; семена дают хруст.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пектиновая и сахаристая; сушёный инжир концентрирует сахар, фенолы и карамельные ноты.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274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274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74" s="28" t="str">
        <x:v>напиток, соус, десерт или горячее блюдо после пробной дегустации</x:v>
      </x:c>
      <x:c r="K274" s="28" t="str">
        <x:v>Гипотеза / практическая</x:v>
      </x:c>
      <x:c r="L274" s="28" t="str">
        <x:v>Таблица сочетания(1).pdf</x:v>
      </x:c>
      <x:c r="M274" s="28" t="str">
        <x:v>Таблица сочетания(1).pdf: Таблица сочетаний: 17 | Таблица сочетания(1).pdf: 17</x:v>
      </x:c>
    </x:row>
    <x:row r="275" ht="64" customHeight="1">
      <x:c r="A275" s="28" t="str">
        <x:v>STN-0377</x:v>
      </x:c>
      <x:c r="B275" s="28" t="str">
        <x:v>слива</x:v>
      </x:c>
      <x:c r="C275" s="28" t="str">
        <x:v>слива</x:v>
      </x:c>
      <x:c r="D275" s="28" t="str">
        <x:v>кардамон</x:v>
      </x:c>
      <x:c r="E275" s="28" t="str">
        <x:v>Специи и острые компоненты</x:v>
      </x:c>
      <x:c r="F275" s="28" t="str">
        <x:v>прямое или классовое перекрытие характерных одорантов + вкусовой баланс</x:v>
      </x:c>
      <x:c r="G27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Кардамон относится к группе «Специи и острые компоненты» и даёт профиль «цитрусовый, камфорный и цветочный»; типичные соединения или классы: 1,8-цинеол, α-терпинилацетат, линалоол. В рабочих профилях пересекаются: линалоол.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75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75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275" s="28" t="str">
        <x:v>напиток, соус, десерт или горячее блюдо после пробной дегустации</x:v>
      </x:c>
      <x:c r="K275" s="28" t="str">
        <x:v>Гипотеза / практическая</x:v>
      </x:c>
      <x:c r="L275" s="28" t="str">
        <x:v>Таблица сочетания(1).pdf</x:v>
      </x:c>
      <x:c r="M275" s="28" t="str">
        <x:v>Таблица сочетания(1).pdf: 17</x:v>
      </x:c>
    </x:row>
    <x:row r="276" ht="64" customHeight="1">
      <x:c r="A276" s="28" t="str">
        <x:v>STN-0378</x:v>
      </x:c>
      <x:c r="B276" s="28" t="str">
        <x:v>слива</x:v>
      </x:c>
      <x:c r="C276" s="28" t="str">
        <x:v>слива</x:v>
      </x:c>
      <x:c r="D276" s="28" t="str">
        <x:v>каштан</x:v>
      </x:c>
      <x:c r="E276" s="28" t="str">
        <x:v>Прочее</x:v>
      </x:c>
      <x:c r="F276" s="28" t="str">
        <x:v>комплементарность ароматических семейств, вкусовой контраст и матричный эффект</x:v>
      </x:c>
      <x:c r="G27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Каштан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27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276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76" s="28" t="str">
        <x:v>напиток, соус, десерт или горячее блюдо после пробной дегустации</x:v>
      </x:c>
      <x:c r="K276" s="28" t="str">
        <x:v>Гипотеза / практическая</x:v>
      </x:c>
      <x:c r="L276" s="28" t="str">
        <x:v>Таблица сочетания(1).pdf</x:v>
      </x:c>
      <x:c r="M276" s="28" t="str">
        <x:v>Таблица сочетания(1).pdf: 17</x:v>
      </x:c>
    </x:row>
    <x:row r="277" ht="64" customHeight="1">
      <x:c r="A277" s="28" t="str">
        <x:v>STN-0379</x:v>
      </x:c>
      <x:c r="B277" s="28" t="str">
        <x:v>слива</x:v>
      </x:c>
      <x:c r="C277" s="28" t="str">
        <x:v>слива</x:v>
      </x:c>
      <x:c r="D277" s="28" t="str">
        <x:v>кедровый орех</x:v>
      </x:c>
      <x:c r="E277" s="28" t="str">
        <x:v>Орехи и семена</x:v>
      </x:c>
      <x:c r="F277" s="28" t="str">
        <x:v>прямое или классовое перекрытие характерных одорантов + вкусовой баланс</x:v>
      </x:c>
      <x:c r="G27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Кедровый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77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77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J277" s="28" t="str">
        <x:v>тарт, крем, мороженое, выпечка, сырная подача или начинка</x:v>
      </x:c>
      <x:c r="K277" s="28" t="str">
        <x:v>Гипотеза / практическая</x:v>
      </x:c>
      <x:c r="L277" s="28" t="str">
        <x:v>Таблица сочетания(1).pdf</x:v>
      </x:c>
      <x:c r="M277" s="28" t="str">
        <x:v>Таблица сочетания(1).pdf: 16</x:v>
      </x:c>
    </x:row>
    <x:row r="278" ht="64" customHeight="1">
      <x:c r="A278" s="28" t="str">
        <x:v>STN-0380</x:v>
      </x:c>
      <x:c r="B278" s="28" t="str">
        <x:v>слива</x:v>
      </x:c>
      <x:c r="C278" s="28" t="str">
        <x:v>слива</x:v>
      </x:c>
      <x:c r="D278" s="28" t="str">
        <x:v>клубника</x:v>
      </x:c>
      <x:c r="E278" s="28" t="str">
        <x:v>Ягоды</x:v>
      </x:c>
      <x:c r="F278" s="28" t="str">
        <x:v>прямое или классовое перекрытие характерных одорантов + вкусовой баланс</x:v>
      </x:c>
      <x:c r="G27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78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78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78" s="28" t="str">
        <x:v>сорбет, салат, джем, кордиал, лимонад, коктейль или фруктовый соус</x:v>
      </x:c>
      <x:c r="K278" s="28" t="str">
        <x:v>Гипотеза / практическая</x:v>
      </x:c>
      <x:c r="L278" s="28" t="str">
        <x:v>Таблица сочетания(1).pdf</x:v>
      </x:c>
      <x:c r="M278" s="28" t="str">
        <x:v>Таблица сочетания(1).pdf: Таблица сочетаний: 17 | Таблица сочетания(1).pdf: 17</x:v>
      </x:c>
    </x:row>
    <x:row r="279" ht="64" customHeight="1">
      <x:c r="A279" s="28" t="str">
        <x:v>STN-0381</x:v>
      </x:c>
      <x:c r="B279" s="28" t="str">
        <x:v>слива</x:v>
      </x:c>
      <x:c r="C279" s="28" t="str">
        <x:v>слива</x:v>
      </x:c>
      <x:c r="D279" s="28" t="str">
        <x:v>клюква</x:v>
      </x:c>
      <x:c r="E279" s="28" t="str">
        <x:v>Ягоды</x:v>
      </x:c>
      <x:c r="F279" s="28" t="str">
        <x:v>прямое или классовое перекрытие характерных одорантов + вкусовой баланс</x:v>
      </x:c>
      <x:c r="G27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Клюква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79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79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79" s="28" t="str">
        <x:v>сорбет, салат, джем, кордиал, лимонад, коктейль или фруктовый соус</x:v>
      </x:c>
      <x:c r="K279" s="28" t="str">
        <x:v>Гипотеза / практическая</x:v>
      </x:c>
      <x:c r="L279" s="28" t="str">
        <x:v>Таблица сочетания(1).pdf</x:v>
      </x:c>
      <x:c r="M279" s="28" t="str">
        <x:v>Таблица сочетания(1).pdf: Таблица сочетаний: 17 | Таблица сочетания(1).pdf: 17</x:v>
      </x:c>
    </x:row>
    <x:row r="280" ht="64" customHeight="1">
      <x:c r="A280" s="28" t="str">
        <x:v>STN-0382</x:v>
      </x:c>
      <x:c r="B280" s="28" t="str">
        <x:v>слива</x:v>
      </x:c>
      <x:c r="C280" s="28" t="str">
        <x:v>слива</x:v>
      </x:c>
      <x:c r="D280" s="28" t="str">
        <x:v>козий сыр</x:v>
      </x:c>
      <x:c r="E280" s="28" t="str">
        <x:v>Сыры и молочные продукты</x:v>
      </x:c>
      <x:c r="F280" s="28" t="str">
        <x:v>комплементарность ароматических семейств, вкусовой контраст и матричный эффект</x:v>
      </x:c>
      <x:c r="G28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Козий сыр относится к группе «Сыры и молочные продукты» и даёт профиль «молочный, травянистый и пикантный»; типичные соединения или классы: капроновая и каприловая кислоты, метилкетоны. По доступным материалам нельзя уверенно свести совместимость к одной общей молекуле. Фруктовая кислота и сладость освежают жирную молочную матрицу; соль и умами сыра усиливают воспринимаемую фруктовость. Матрица пары: сочная пектиновая мякоть; кожица богата полифенолами; аромат хорошо работает в воде, сахаре и этаноле. Жир и белок партнёра удерживают гидрофобные лактоны, но высокая фруктовая кислота может нарушить молочную эмульсию. Обработка: нагрев усиливает джем, сухофрукты, специи и карамель; ферментация создаёт винные и эфирные ноты.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H280" s="28" t="str">
        <x:v>нагрев усиливает джем, сухофрукты, специи и карамель; ферментация создаёт винные и эфирные ноты. Холодная сборка сохраняет фруктовые лактоны; при нагреве кислоту вводят постепенно, чтобы не расслоить молочную основу. Для партнёра важно: температура подачи критична: холод приглушает аромат, умеренное нагревание его высвобождает.</x:v>
      </x:c>
      <x:c r="I280" s="28" t="str">
        <x:v>избыток кожицы даёт грубую терпкость; косточки требуют осторожности. Избыток кислоты может свернуть молочную основу; фрукт и сыр проверяют при рабочей температуре.</x:v>
      </x:c>
      <x:c r="J280" s="28" t="str">
        <x:v>тарт, крем, мороженое, выпечка, сырная подача или начинка</x:v>
      </x:c>
      <x:c r="K280" s="28" t="str">
        <x:v>Средняя</x:v>
      </x:c>
      <x:c r="L280" s="28" t="str">
        <x:v>The Art &amp; Science of Foodpairing.pdf</x:v>
      </x:c>
      <x:c r="M280" s="28" t="str">
        <x:v>The Art &amp; Science of Foodpairing.pdf: 201</x:v>
      </x:c>
    </x:row>
    <x:row r="281" ht="64" customHeight="1">
      <x:c r="A281" s="28" t="str">
        <x:v>STN-0383</x:v>
      </x:c>
      <x:c r="B281" s="28" t="str">
        <x:v>слива</x:v>
      </x:c>
      <x:c r="C281" s="28" t="str">
        <x:v>слива</x:v>
      </x:c>
      <x:c r="D281" s="28" t="str">
        <x:v>корица</x:v>
      </x:c>
      <x:c r="E281" s="28" t="str">
        <x:v>Специи и острые компоненты</x:v>
      </x:c>
      <x:c r="F281" s="28" t="str">
        <x:v>комплементарность ароматических семейств, вкусовой контраст и матричный эффект</x:v>
      </x:c>
      <x:c r="G28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81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81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281" s="28" t="str">
        <x:v>напиток, соус, десерт или горячее блюдо после пробной дегустации</x:v>
      </x:c>
      <x:c r="K281" s="28" t="str">
        <x:v>Гипотеза / практическая</x:v>
      </x:c>
      <x:c r="L281" s="28" t="str">
        <x:v>Таблица сочетания(1).pdf</x:v>
      </x:c>
      <x:c r="M281" s="28" t="str">
        <x:v>Таблица сочетания(1).pdf: 17</x:v>
      </x:c>
    </x:row>
    <x:row r="282" ht="64" customHeight="1">
      <x:c r="A282" s="28" t="str">
        <x:v>STN-0384</x:v>
      </x:c>
      <x:c r="B282" s="28" t="str">
        <x:v>слива</x:v>
      </x:c>
      <x:c r="C282" s="28" t="str">
        <x:v>слива</x:v>
      </x:c>
      <x:c r="D282" s="28" t="str">
        <x:v>кумкват</x:v>
      </x:c>
      <x:c r="E282" s="28" t="str">
        <x:v>Цитрусовые</x:v>
      </x:c>
      <x:c r="F282" s="28" t="str">
        <x:v>прямое или классовое перекрытие характерных одорантов + вкусовой баланс</x:v>
      </x:c>
      <x:c r="G28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Кумкват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8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82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82" s="28" t="str">
        <x:v>сорбет, салат, джем, кордиал, лимонад, коктейль или фруктовый соус</x:v>
      </x:c>
      <x:c r="K282" s="28" t="str">
        <x:v>Гипотеза / практическая</x:v>
      </x:c>
      <x:c r="L282" s="28" t="str">
        <x:v>Таблица сочетания(1).pdf</x:v>
      </x:c>
      <x:c r="M282" s="28" t="str">
        <x:v>Таблица сочетания(1).pdf: Таблица сочетания(1).pdf: 10, 17 | Таблица сочетания(1).pdf: 10 | Таблица сочетания(1).pdf: 17</x:v>
      </x:c>
    </x:row>
    <x:row r="283" ht="64" customHeight="1">
      <x:c r="A283" s="28" t="str">
        <x:v>STN-0385</x:v>
      </x:c>
      <x:c r="B283" s="28" t="str">
        <x:v>слива</x:v>
      </x:c>
      <x:c r="C283" s="28" t="str">
        <x:v>слива</x:v>
      </x:c>
      <x:c r="D283" s="28" t="str">
        <x:v>лимон</x:v>
      </x:c>
      <x:c r="E283" s="28" t="str">
        <x:v>Цитрусовые</x:v>
      </x:c>
      <x:c r="F283" s="28" t="str">
        <x:v>комплементарность ароматических семейств, вкусовой контраст и матричный эффект</x:v>
      </x:c>
      <x:c r="G28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83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83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83" s="28" t="str">
        <x:v>сорбет, салат, джем, кордиал, лимонад, коктейль или фруктовый соус</x:v>
      </x:c>
      <x:c r="K283" s="28" t="str">
        <x:v>Гипотеза / практическая</x:v>
      </x:c>
      <x:c r="L283" s="28" t="str">
        <x:v>Таблица сочетания(1).pdf</x:v>
      </x:c>
      <x:c r="M283" s="28" t="str">
        <x:v>Таблица сочетания(1).pdf: Таблица сочетания(1).pdf: 17 | Таблица сочетания(1).pdf: 17</x:v>
      </x:c>
    </x:row>
    <x:row r="284" ht="64" customHeight="1">
      <x:c r="A284" s="28" t="str">
        <x:v>STN-0386</x:v>
      </x:c>
      <x:c r="B284" s="28" t="str">
        <x:v>слива</x:v>
      </x:c>
      <x:c r="C284" s="28" t="str">
        <x:v>слива</x:v>
      </x:c>
      <x:c r="D284" s="28" t="str">
        <x:v>листья кориандра</x:v>
      </x:c>
      <x:c r="E284" s="28" t="str">
        <x:v>Травы/пряности</x:v>
      </x:c>
      <x:c r="F284" s="28" t="str">
        <x:v>комплементарность ароматических семейств, вкусовой контраст и матричный эффект</x:v>
      </x:c>
      <x:c r="G28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Листья кориандра относится к группе «Травы/пряности» и даёт профиль «цитрусовый, зелёный, цветочный»; типичные соединения или классы: линалол, деканаль, додеканаль.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сладость и заметная яблочно-лимонная кислотность; кожица часто терпкая. Партнёр добавляет: травяной, слегка горький.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листья чувствительны к нагреву; семена устойчивее и слаще.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H284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I284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84" s="28" t="str">
        <x:v>напиток, соус, десерт или горячее блюдо после пробной дегустации</x:v>
      </x:c>
      <x:c r="K284" s="28" t="str">
        <x:v>Средняя</x:v>
      </x:c>
      <x:c r="L284" s="28" t="str">
        <x:v>The Art &amp; Science of Foodpairing.pdf</x:v>
      </x:c>
      <x:c r="M284" s="28" t="str">
        <x:v>The Art &amp; Science of Foodpairing.pdf: 98 | The Art &amp; Science of Foodpairing.pdf: 99</x:v>
      </x:c>
    </x:row>
    <x:row r="285" ht="64" customHeight="1">
      <x:c r="A285" s="28" t="str">
        <x:v>STN-0387</x:v>
      </x:c>
      <x:c r="B285" s="28" t="str">
        <x:v>слива</x:v>
      </x:c>
      <x:c r="C285" s="28" t="str">
        <x:v>слива</x:v>
      </x:c>
      <x:c r="D285" s="28" t="str">
        <x:v>макадамия</x:v>
      </x:c>
      <x:c r="E285" s="28" t="str">
        <x:v>Орехи и семена</x:v>
      </x:c>
      <x:c r="F285" s="28" t="str">
        <x:v>прямое или классовое перекрытие характерных одорантов + вкусовой баланс</x:v>
      </x:c>
      <x:c r="G28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Макадамия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85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85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J285" s="28" t="str">
        <x:v>тарт, крем, мороженое, выпечка, сырная подача или начинка</x:v>
      </x:c>
      <x:c r="K285" s="28" t="str">
        <x:v>Гипотеза / практическая</x:v>
      </x:c>
      <x:c r="L285" s="28" t="str">
        <x:v>Таблица сочетания(1).pdf</x:v>
      </x:c>
      <x:c r="M285" s="28" t="str">
        <x:v>Таблица сочетания(1).pdf: 12</x:v>
      </x:c>
    </x:row>
    <x:row r="286" ht="64" customHeight="1">
      <x:c r="A286" s="28" t="str">
        <x:v>STN-0388</x:v>
      </x:c>
      <x:c r="B286" s="28" t="str">
        <x:v>слива</x:v>
      </x:c>
      <x:c r="C286" s="28" t="str">
        <x:v>слива</x:v>
      </x:c>
      <x:c r="D286" s="28" t="str">
        <x:v>малина</x:v>
      </x:c>
      <x:c r="E286" s="28" t="str">
        <x:v>Ягоды</x:v>
      </x:c>
      <x:c r="F286" s="28" t="str">
        <x:v>прямое или классовое перекрытие характерных одорантов + вкусовой баланс</x:v>
      </x:c>
      <x:c r="G28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8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86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86" s="28" t="str">
        <x:v>сорбет, салат, джем, кордиал, лимонад, коктейль или фруктовый соус</x:v>
      </x:c>
      <x:c r="K286" s="28" t="str">
        <x:v>Гипотеза / практическая</x:v>
      </x:c>
      <x:c r="L286" s="28" t="str">
        <x:v>Таблица сочетания(1).pdf</x:v>
      </x:c>
      <x:c r="M286" s="28" t="str">
        <x:v>Таблица сочетания(1).pdf: Таблица сочетаний: 17, 19 | Таблица сочетания(1).pdf: 17 | Таблица сочетания(1).pdf: 19</x:v>
      </x:c>
    </x:row>
    <x:row r="287" ht="64" customHeight="1">
      <x:c r="A287" s="28" t="str">
        <x:v>STN-0389</x:v>
      </x:c>
      <x:c r="B287" s="28" t="str">
        <x:v>слива</x:v>
      </x:c>
      <x:c r="C287" s="28" t="str">
        <x:v>слива</x:v>
      </x:c>
      <x:c r="D287" s="28" t="str">
        <x:v>мед</x:v>
      </x:c>
      <x:c r="E287" s="28" t="str">
        <x:v>Сахара, мёд и кондитерские основы</x:v>
      </x:c>
      <x:c r="F287" s="28" t="str">
        <x:v>комплементарность ароматических семейств, вкусовой контраст и матричный эффект</x:v>
      </x:c>
      <x:c r="G28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сладость и заметная яблочно-лимонная кислотность; кожица часто терпкая. Партнёр добавляет: высокая сладость.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вязкая сахарная; снижает летучесть и смягчает кислоту.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87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87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87" s="28" t="str">
        <x:v>напиток, соус, десерт или горячее блюдо после пробной дегустации</x:v>
      </x:c>
      <x:c r="K287" s="28" t="str">
        <x:v>Гипотеза / практическая</x:v>
      </x:c>
      <x:c r="L287" s="28" t="str">
        <x:v>Таблица сочетания(1).pdf</x:v>
      </x:c>
      <x:c r="M287" s="28" t="str">
        <x:v>Таблица сочетания(1).pdf: 17</x:v>
      </x:c>
    </x:row>
    <x:row r="288" ht="64" customHeight="1">
      <x:c r="A288" s="28" t="str">
        <x:v>STN-0390</x:v>
      </x:c>
      <x:c r="B288" s="28" t="str">
        <x:v>слива</x:v>
      </x:c>
      <x:c r="C288" s="28" t="str">
        <x:v>слива</x:v>
      </x:c>
      <x:c r="D288" s="28" t="str">
        <x:v>миндаль</x:v>
      </x:c>
      <x:c r="E288" s="28" t="str">
        <x:v>Орехи и семена</x:v>
      </x:c>
      <x:c r="F288" s="28" t="str">
        <x:v>прямое или классовое перекрытие характерных одорантов + вкусовой баланс</x:v>
      </x:c>
      <x:c r="G28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Миндаль относится к группе «Орехи и семена» и даёт профиль «марципановый и ореховый»; типичные соединения или классы: бензальдегид, пиразины после обжарки.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88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88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J288" s="28" t="str">
        <x:v>тарт, крем, мороженое, выпечка, сырная подача или начинка</x:v>
      </x:c>
      <x:c r="K288" s="28" t="str">
        <x:v>Гипотеза / практическая</x:v>
      </x:c>
      <x:c r="L288" s="28" t="str">
        <x:v>Таблица сочетания(1).pdf</x:v>
      </x:c>
      <x:c r="M288" s="28" t="str">
        <x:v>Таблица сочетания(1).pdf: 1 | Таблица сочетания(1).pdf: 17</x:v>
      </x:c>
    </x:row>
    <x:row r="289" ht="64" customHeight="1">
      <x:c r="A289" s="28" t="str">
        <x:v>STN-0391</x:v>
      </x:c>
      <x:c r="B289" s="28" t="str">
        <x:v>слива</x:v>
      </x:c>
      <x:c r="C289" s="28" t="str">
        <x:v>слива</x:v>
      </x:c>
      <x:c r="D289" s="28" t="str">
        <x:v>мускатный орех</x:v>
      </x:c>
      <x:c r="E289" s="28" t="str">
        <x:v>Орехи и семена</x:v>
      </x:c>
      <x:c r="F289" s="28" t="str">
        <x:v>прямое или классовое перекрытие характерных одорантов + вкусовой баланс</x:v>
      </x:c>
      <x:c r="G28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Мускатный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89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89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J289" s="28" t="str">
        <x:v>тарт, крем, мороженое, выпечка, сырная подача или начинка</x:v>
      </x:c>
      <x:c r="K289" s="28" t="str">
        <x:v>Гипотеза / практическая</x:v>
      </x:c>
      <x:c r="L289" s="28" t="str">
        <x:v>Таблица сочетания(1).pdf</x:v>
      </x:c>
      <x:c r="M289" s="28" t="str">
        <x:v>Таблица сочетания(1).pdf: 17</x:v>
      </x:c>
    </x:row>
    <x:row r="290" ht="64" customHeight="1">
      <x:c r="A290" s="28" t="str">
        <x:v>STN-0392</x:v>
      </x:c>
      <x:c r="B290" s="28" t="str">
        <x:v>слива</x:v>
      </x:c>
      <x:c r="C290" s="28" t="str">
        <x:v>слива</x:v>
      </x:c>
      <x:c r="D290" s="28" t="str">
        <x:v>мята</x:v>
      </x:c>
      <x:c r="E290" s="28" t="str">
        <x:v>Травы и цветы</x:v>
      </x:c>
      <x:c r="F290" s="28" t="str">
        <x:v>комплементарность ароматических семейств, вкусовой контраст и матричный эффект</x:v>
      </x:c>
      <x:c r="G29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90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90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90" s="28" t="str">
        <x:v>напиток, соус, десерт или горячее блюдо после пробной дегустации</x:v>
      </x:c>
      <x:c r="K290" s="28" t="str">
        <x:v>Гипотеза / практическая</x:v>
      </x:c>
      <x:c r="L290" s="28" t="str">
        <x:v>Таблица сочетания(1).pdf</x:v>
      </x:c>
      <x:c r="M290" s="28" t="str">
        <x:v>Таблица сочетания(1).pdf: 13 | Таблица сочетания(1).pdf: 17</x:v>
      </x:c>
    </x:row>
    <x:row r="291" ht="64" customHeight="1">
      <x:c r="A291" s="28" t="str">
        <x:v>STN-0397</x:v>
      </x:c>
      <x:c r="B291" s="28" t="str">
        <x:v>слива</x:v>
      </x:c>
      <x:c r="C291" s="28" t="str">
        <x:v>слива</x:v>
      </x:c>
      <x:c r="D291" s="28" t="str">
        <x:v>ревень</x:v>
      </x:c>
      <x:c r="E291" s="28" t="str">
        <x:v>Прочее</x:v>
      </x:c>
      <x:c r="F291" s="28" t="str">
        <x:v>комплементарность ароматических семейств, вкусовой контраст и матричный эффект</x:v>
      </x:c>
      <x:c r="G29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Ревень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291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291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91" s="28" t="str">
        <x:v>напиток, соус, десерт или горячее блюдо после пробной дегустации</x:v>
      </x:c>
      <x:c r="K291" s="28" t="str">
        <x:v>Гипотеза / практическая</x:v>
      </x:c>
      <x:c r="L291" s="28" t="str">
        <x:v>Таблица сочетания(1).pdf</x:v>
      </x:c>
      <x:c r="M291" s="28" t="str">
        <x:v>Таблица сочетания(1).pdf: 17</x:v>
      </x:c>
    </x:row>
    <x:row r="292" ht="64" customHeight="1">
      <x:c r="A292" s="28" t="str">
        <x:v>STN-0398</x:v>
      </x:c>
      <x:c r="B292" s="28" t="str">
        <x:v>слива</x:v>
      </x:c>
      <x:c r="C292" s="28" t="str">
        <x:v>слива</x:v>
      </x:c>
      <x:c r="D292" s="28" t="str">
        <x:v>рубленый чеснок</x:v>
      </x:c>
      <x:c r="E292" s="28" t="str">
        <x:v>Прочее</x:v>
      </x:c>
      <x:c r="F292" s="28" t="str">
        <x:v>комплементарность ароматических семейств, вкусовой контраст и матричный эффект</x:v>
      </x:c>
      <x:c r="G29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Рубленый чеснок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баланс зависит от продукта.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матрица зависит от формы продукта.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H29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I292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92" s="28" t="str">
        <x:v>напиток, соус, десерт или горячее блюдо после пробной дегустации</x:v>
      </x:c>
      <x:c r="K292" s="28" t="str">
        <x:v>Средняя</x:v>
      </x:c>
      <x:c r="L292" s="28" t="str">
        <x:v>The Art &amp; Science of Foodpairing.pdf</x:v>
      </x:c>
      <x:c r="M292" s="28" t="str">
        <x:v>The Art &amp; Science of Foodpairing.pdf: 112</x:v>
      </x:c>
    </x:row>
    <x:row r="293" ht="64" customHeight="1">
      <x:c r="A293" s="28" t="str">
        <x:v>STN-0399</x:v>
      </x:c>
      <x:c r="B293" s="28" t="str">
        <x:v>слива</x:v>
      </x:c>
      <x:c r="C293" s="28" t="str">
        <x:v>слива</x:v>
      </x:c>
      <x:c r="D293" s="28" t="str">
        <x:v>семена кардамона</x:v>
      </x:c>
      <x:c r="E293" s="28" t="str">
        <x:v>Специи</x:v>
      </x:c>
      <x:c r="F293" s="28" t="str">
        <x:v>комплементарность ароматических семейств, вкусовой контраст и матричный эффект</x:v>
      </x:c>
      <x:c r="G29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Семена кардамона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Общие ароматические направления: пряный. Базовый фрукт даёт: сладость и заметная яблочно-лимонная кислотность; кожица часто терпкая. Партнёр добавляет: пряный, иногда горький.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хорошо извлекаются спиртом и жиром.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93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93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93" s="28" t="str">
        <x:v>напиток, соус, десерт или горячее блюдо после пробной дегустации</x:v>
      </x:c>
      <x:c r="K293" s="28" t="str">
        <x:v>Средняя</x:v>
      </x:c>
      <x:c r="L293" s="28" t="str">
        <x:v>The Art &amp; Science of Foodpairing.pdf</x:v>
      </x:c>
      <x:c r="M293" s="28" t="str">
        <x:v>The Art &amp; Science of Foodpairing.pdf: 256</x:v>
      </x:c>
    </x:row>
    <x:row r="294" ht="64" customHeight="1">
      <x:c r="A294" s="28" t="str">
        <x:v>STN-0401</x:v>
      </x:c>
      <x:c r="B294" s="28" t="str">
        <x:v>слива</x:v>
      </x:c>
      <x:c r="C294" s="28" t="str">
        <x:v>слива</x:v>
      </x:c>
      <x:c r="D294" s="28" t="str">
        <x:v>укроп</x:v>
      </x:c>
      <x:c r="E294" s="28" t="str">
        <x:v>Травы и цветы</x:v>
      </x:c>
      <x:c r="F294" s="28" t="str">
        <x:v>прямое или классовое перекрытие характерных одорантов + вкусовой баланс</x:v>
      </x:c>
      <x:c r="G29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94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94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94" s="28" t="str">
        <x:v>напиток, соус, десерт или горячее блюдо после пробной дегустации</x:v>
      </x:c>
      <x:c r="K294" s="28" t="str">
        <x:v>Гипотеза / практическая</x:v>
      </x:c>
      <x:c r="L294" s="28" t="str">
        <x:v>Таблица сочетания(1).pdf</x:v>
      </x:c>
      <x:c r="M294" s="28" t="str">
        <x:v>Таблица сочетания(1).pdf: 17</x:v>
      </x:c>
    </x:row>
    <x:row r="295" ht="64" customHeight="1">
      <x:c r="A295" s="28" t="str">
        <x:v>STN-0402</x:v>
      </x:c>
      <x:c r="B295" s="28" t="str">
        <x:v>слива</x:v>
      </x:c>
      <x:c r="C295" s="28" t="str">
        <x:v>слива</x:v>
      </x:c>
      <x:c r="D295" s="28" t="str">
        <x:v>фисташка</x:v>
      </x:c>
      <x:c r="E295" s="28" t="str">
        <x:v>Орехи и семена</x:v>
      </x:c>
      <x:c r="F295" s="28" t="str">
        <x:v>прямое или классовое перекрытие характерных одорантов + вкусовой баланс</x:v>
      </x:c>
      <x:c r="G29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Фисташка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95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95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J295" s="28" t="str">
        <x:v>тарт, крем, мороженое, выпечка, сырная подача или начинка</x:v>
      </x:c>
      <x:c r="K295" s="28" t="str">
        <x:v>Гипотеза / практическая</x:v>
      </x:c>
      <x:c r="L295" s="28" t="str">
        <x:v>Таблица сочетания(1).pdf</x:v>
      </x:c>
      <x:c r="M295" s="28" t="str">
        <x:v>Таблица сочетания(1).pdf: 17</x:v>
      </x:c>
    </x:row>
    <x:row r="296" ht="64" customHeight="1">
      <x:c r="A296" s="28" t="str">
        <x:v>STN-0403</x:v>
      </x:c>
      <x:c r="B296" s="28" t="str">
        <x:v>слива</x:v>
      </x:c>
      <x:c r="C296" s="28" t="str">
        <x:v>слива</x:v>
      </x:c>
      <x:c r="D296" s="28" t="str">
        <x:v>фундук</x:v>
      </x:c>
      <x:c r="E296" s="28" t="str">
        <x:v>Орехи и семена</x:v>
      </x:c>
      <x:c r="F296" s="28" t="str">
        <x:v>комплементарность ароматических семейств, вкусовой контраст и матричный эффект</x:v>
      </x:c>
      <x:c r="G29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Фундук относится к группе «Орехи и семена» и даёт профиль «жареный ореховый и маслянистый»; типичные соединения или классы: филбертон, пиразины. По доступным материалам нельзя уверенно свести совместимость к одной общей молекуле. Жирность и жареная горечь ореха округляют кислотность фрукта; миндально-косточковый оттенок создаёт особенно связный профиль. Матрица пары: сочная пектиновая мякоть; кожица богата полифенолами; аромат хорошо работает в воде, сахаре и этаноле. Ореховый жир удерживает лактоны и смягчает кислотность; обжарка добавляет пиразины.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29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296" s="28" t="str">
        <x:v>избыток кожицы даёт грубую терпкость; косточки требуют осторожности. Сильная обжарка и прогорклый жир перекрывают цветочный профиль.</x:v>
      </x:c>
      <x:c r="J296" s="28" t="str">
        <x:v>тарт, крем, мороженое, выпечка, сырная подача или начинка</x:v>
      </x:c>
      <x:c r="K296" s="28" t="str">
        <x:v>Гипотеза / практическая</x:v>
      </x:c>
      <x:c r="L296" s="28" t="str">
        <x:v>Таблица сочетания(1).pdf</x:v>
      </x:c>
      <x:c r="M296" s="28" t="str">
        <x:v>Таблица сочетания(1).pdf: 17</x:v>
      </x:c>
    </x:row>
    <x:row r="297" ht="64" customHeight="1">
      <x:c r="A297" s="28" t="str">
        <x:v>STN-0404</x:v>
      </x:c>
      <x:c r="B297" s="28" t="str">
        <x:v>слива</x:v>
      </x:c>
      <x:c r="C297" s="28" t="str">
        <x:v>слива</x:v>
      </x:c>
      <x:c r="D297" s="28" t="str">
        <x:v>черный перец</x:v>
      </x:c>
      <x:c r="E297" s="28" t="str">
        <x:v>Специи и острые компоненты</x:v>
      </x:c>
      <x:c r="F297" s="28" t="str">
        <x:v>комплементарность ароматических семейств, вкусовой контраст и матричный эффект</x:v>
      </x:c>
      <x:c r="G29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Черный перец относится к группе «Специи и острые компоненты» и даёт профиль «древесный, цитрусовый и пряный»; типичные соединения или классы: пиперин, лимонен, сабинен.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97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97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297" s="28" t="str">
        <x:v>напиток, соус, десерт или горячее блюдо после пробной дегустации</x:v>
      </x:c>
      <x:c r="K297" s="28" t="str">
        <x:v>Гипотеза / практическая</x:v>
      </x:c>
      <x:c r="L297" s="28" t="str">
        <x:v>Таблица сочетания(1).pdf</x:v>
      </x:c>
      <x:c r="M297" s="28" t="str">
        <x:v>Таблица сочетания(1).pdf: 17</x:v>
      </x:c>
    </x:row>
    <x:row r="298" ht="64" customHeight="1">
      <x:c r="A298" s="28" t="str">
        <x:v>STN-0405</x:v>
      </x:c>
      <x:c r="B298" s="28" t="str">
        <x:v>слива</x:v>
      </x:c>
      <x:c r="C298" s="28" t="str">
        <x:v>слива</x:v>
      </x:c>
      <x:c r="D298" s="28" t="str">
        <x:v>шелковица</x:v>
      </x:c>
      <x:c r="E298" s="28" t="str">
        <x:v>Ягоды</x:v>
      </x:c>
      <x:c r="F298" s="28" t="str">
        <x:v>прямое или классовое перекрытие характерных одорантов + вкусовой баланс</x:v>
      </x:c>
      <x:c r="G29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Шелковица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98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98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98" s="28" t="str">
        <x:v>сорбет, салат, джем, кордиал, лимонад, коктейль или фруктовый соус</x:v>
      </x:c>
      <x:c r="K298" s="28" t="str">
        <x:v>Гипотеза / практическая</x:v>
      </x:c>
      <x:c r="L298" s="28" t="str">
        <x:v>Таблица сочетания(1).pdf</x:v>
      </x:c>
      <x:c r="M298" s="28" t="str">
        <x:v>Таблица сочетания(1).pdf: Таблица сочетаний: 13 | Таблица сочетания(1).pdf: 13</x:v>
      </x:c>
    </x:row>
    <x:row r="299" ht="64" customHeight="1">
      <x:c r="A299" s="28" t="str">
        <x:v>STN-0406</x:v>
      </x:c>
      <x:c r="B299" s="28" t="str">
        <x:v>слива</x:v>
      </x:c>
      <x:c r="C299" s="28" t="str">
        <x:v>слива</x:v>
      </x:c>
      <x:c r="D299" s="28" t="str">
        <x:v>шоколад</x:v>
      </x:c>
      <x:c r="E299" s="28" t="str">
        <x:v>Чай, кофе и какао</x:v>
      </x:c>
      <x:c r="F299" s="28" t="str">
        <x:v>комплементарность ароматических семейств, вкусовой контраст и матричный эффект</x:v>
      </x:c>
      <x:c r="G29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яблочно-лимонная кислотность; кожица часто терпкая. Партнёр добавляет: горечь, терпкость и жареная сладость.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водные настои извлекают полифенолы; жир и сахар смягчают горечь.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299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299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299" s="28" t="str">
        <x:v>напиток, соус, десерт или горячее блюдо после пробной дегустации</x:v>
      </x:c>
      <x:c r="K299" s="28" t="str">
        <x:v>Гипотеза / практическая</x:v>
      </x:c>
      <x:c r="L299" s="28" t="str">
        <x:v>Таблица сочетания(1).pdf</x:v>
      </x:c>
      <x:c r="M299" s="28" t="str">
        <x:v>Таблица сочетания(1).pdf: 17</x:v>
      </x:c>
    </x:row>
    <x:row r="300" ht="64" customHeight="1">
      <x:c r="A300" s="28" t="str">
        <x:v>STN-0407</x:v>
      </x:c>
      <x:c r="B300" s="28" t="str">
        <x:v>слива</x:v>
      </x:c>
      <x:c r="C300" s="28" t="str">
        <x:v>слива</x:v>
      </x:c>
      <x:c r="D300" s="28" t="str">
        <x:v>ягоды можжевельника</x:v>
      </x:c>
      <x:c r="E300" s="28" t="str">
        <x:v>Прочее</x:v>
      </x:c>
      <x:c r="F300" s="28" t="str">
        <x:v>комплементарность ароматических семейств, вкусовой контраст и матричный эффект</x:v>
      </x:c>
      <x:c r="G30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Ягоды можжевельника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300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300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00" s="28" t="str">
        <x:v>напиток, соус, десерт или горячее блюдо после пробной дегустации</x:v>
      </x:c>
      <x:c r="K300" s="28" t="str">
        <x:v>Гипотеза / практическая</x:v>
      </x:c>
      <x:c r="L300" s="28" t="str">
        <x:v>Таблица сочетания(1).pdf</x:v>
      </x:c>
      <x:c r="M300" s="28" t="str">
        <x:v>Таблица сочетания(1).pdf: 10</x:v>
      </x:c>
    </x:row>
    <x:row r="301" ht="64" customHeight="1">
      <x:c r="A301" s="28" t="str">
        <x:v>STN-0408</x:v>
      </x:c>
      <x:c r="B301" s="28" t="str">
        <x:v>чернослив</x:v>
      </x:c>
      <x:c r="C301" s="28" t="str">
        <x:v>чернослив</x:v>
      </x:c>
      <x:c r="D301" s="28" t="str">
        <x:v>авокадо</x:v>
      </x:c>
      <x:c r="E301" s="28" t="str">
        <x:v>Тропические фрукты и жирные матрицы</x:v>
      </x:c>
      <x:c r="F301" s="28" t="str">
        <x:v>комплементарность ароматических семейств, вкусовой контраст и матричный эффект</x:v>
      </x:c>
      <x:c r="G30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мягкий, жирный, почти несладкий; лёгкая растительная горечь.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высокожировая эмульсия; хорошо растворяет гидрофобные ароматические молекулы.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301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301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01" s="28" t="str">
        <x:v>напиток, соус, десерт или горячее блюдо после пробной дегустации</x:v>
      </x:c>
      <x:c r="K301" s="28" t="str">
        <x:v>Средняя</x:v>
      </x:c>
      <x:c r="L301" s="28" t="str">
        <x:v>The Art &amp; Science of Foodpairing.pdf</x:v>
      </x:c>
      <x:c r="M301" s="28" t="str">
        <x:v>The Art &amp; Science of Foodpairing.pdf: 354</x:v>
      </x:c>
    </x:row>
    <x:row r="302" ht="64" customHeight="1">
      <x:c r="A302" s="28" t="str">
        <x:v>STN-0409</x:v>
      </x:c>
      <x:c r="B302" s="28" t="str">
        <x:v>чернослив</x:v>
      </x:c>
      <x:c r="C302" s="28" t="str">
        <x:v>чернослив</x:v>
      </x:c>
      <x:c r="D302" s="28" t="str">
        <x:v>ананас</x:v>
      </x:c>
      <x:c r="E302" s="28" t="str">
        <x:v>Тропические фрукты</x:v>
      </x:c>
      <x:c r="F302" s="28" t="str">
        <x:v>комплементарность ароматических семейств, вкусовой контраст и матричный эффект</x:v>
      </x:c>
      <x:c r="G30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Ананас относится к группе «Тропические фрукты» и даёт профиль «яркий фруктовый, конфетный, цитрусовый, зелёный и слегка сернистый»; типичные соединения или классы: метилгексаноат, этилгексаноат, этилбутират, метил-3-(метилтио)пропионат и другие сернистые следы.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выраженная сладость и кислотность; лёгкая терпкость сердцевины.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водная и кислая; содержит протеазу бромелайн, разрушающую белки.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H302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I302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02" s="28" t="str">
        <x:v>напиток, соус, десерт или горячее блюдо после пробной дегустации</x:v>
      </x:c>
      <x:c r="K302" s="28" t="str">
        <x:v>Средняя</x:v>
      </x:c>
      <x:c r="L302" s="28" t="str">
        <x:v>The Art &amp; Science of Foodpairing.pdf</x:v>
      </x:c>
      <x:c r="M302" s="28" t="str">
        <x:v>The Art &amp; Science of Foodpairing.pdf: 242</x:v>
      </x:c>
    </x:row>
    <x:row r="303" ht="64" customHeight="1">
      <x:c r="A303" s="28" t="str">
        <x:v>STN-0410</x:v>
      </x:c>
      <x:c r="B303" s="28" t="str">
        <x:v>чернослив</x:v>
      </x:c>
      <x:c r="C303" s="28" t="str">
        <x:v>чернослив</x:v>
      </x:c>
      <x:c r="D303" s="28" t="str">
        <x:v>анис</x:v>
      </x:c>
      <x:c r="E303" s="28" t="str">
        <x:v>Специи и острые компоненты</x:v>
      </x:c>
      <x:c r="F303" s="28" t="str">
        <x:v>комплементарность ароматических семейств, вкусовой контраст и матричный эффект</x:v>
      </x:c>
      <x:c r="G30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Анис относится к группе «Специи и острые компоненты» и даёт профиль «сладкий лакричный и пряный»; типичные соединения или классы: анетол.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03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03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303" s="28" t="str">
        <x:v>напиток, соус, десерт или горячее блюдо после пробной дегустации</x:v>
      </x:c>
      <x:c r="K303" s="28" t="str">
        <x:v>Гипотеза / практическая</x:v>
      </x:c>
      <x:c r="L303" s="28" t="str">
        <x:v>Таблица сочетания(1).pdf</x:v>
      </x:c>
      <x:c r="M303" s="28" t="str">
        <x:v>Таблица сочетания(1).pdf: 18</x:v>
      </x:c>
    </x:row>
    <x:row r="304" ht="64" customHeight="1">
      <x:c r="A304" s="28" t="str">
        <x:v>STN-0411</x:v>
      </x:c>
      <x:c r="B304" s="28" t="str">
        <x:v>чернослив</x:v>
      </x:c>
      <x:c r="C304" s="28" t="str">
        <x:v>чернослив</x:v>
      </x:c>
      <x:c r="D304" s="28" t="str">
        <x:v>апельсин</x:v>
      </x:c>
      <x:c r="E304" s="28" t="str">
        <x:v>Цитрусовые</x:v>
      </x:c>
      <x:c r="F304" s="28" t="str">
        <x:v>комплементарность ароматических семейств, вкусовой контраст и матричный эффект</x:v>
      </x:c>
      <x:c r="G30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сок водный и кислый, цедра содержит гидрофобные эфирные масла.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0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04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04" s="28" t="str">
        <x:v>сорбет, салат, джем, кордиал, лимонад, коктейль или фруктовый соус</x:v>
      </x:c>
      <x:c r="K304" s="28" t="str">
        <x:v>Гипотеза / практическая</x:v>
      </x:c>
      <x:c r="L304" s="28" t="str">
        <x:v>Таблица сочетания(1).pdf</x:v>
      </x:c>
      <x:c r="M304" s="28" t="str">
        <x:v>Таблица сочетания(1).pdf: Таблица сочетания(1).pdf: 18 | Таблица сочетания(1).pdf: 18</x:v>
      </x:c>
    </x:row>
    <x:row r="305" ht="64" customHeight="1">
      <x:c r="A305" s="28" t="str">
        <x:v>STN-0412</x:v>
      </x:c>
      <x:c r="B305" s="28" t="str">
        <x:v>чернослив</x:v>
      </x:c>
      <x:c r="C305" s="28" t="str">
        <x:v>чернослив</x:v>
      </x:c>
      <x:c r="D305" s="28" t="str">
        <x:v>артишок</x:v>
      </x:c>
      <x:c r="E305" s="28" t="str">
        <x:v>Овощи и грибы</x:v>
      </x:c>
      <x:c r="F305" s="28" t="str">
        <x:v>комплементарность ароматических семейств, вкусовой контраст и матричный эффект</x:v>
      </x:c>
      <x:c r="G305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Артишок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растительный, иногда умами.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высокая доля воды; нагрев меняет зелёный профиль.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05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05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05" s="28" t="str">
        <x:v>напиток, соус, десерт или горячее блюдо после пробной дегустации</x:v>
      </x:c>
      <x:c r="K305" s="28" t="str">
        <x:v>Средняя</x:v>
      </x:c>
      <x:c r="L305" s="28" t="str">
        <x:v>The Art &amp; Science of Foodpairing.pdf</x:v>
      </x:c>
      <x:c r="M305" s="28" t="str">
        <x:v>The Art &amp; Science of Foodpairing.pdf: 328</x:v>
      </x:c>
    </x:row>
    <x:row r="306" ht="64" customHeight="1">
      <x:c r="A306" s="28" t="str">
        <x:v>STN-0413</x:v>
      </x:c>
      <x:c r="B306" s="28" t="str">
        <x:v>чернослив</x:v>
      </x:c>
      <x:c r="C306" s="28" t="str">
        <x:v>чернослив</x:v>
      </x:c>
      <x:c r="D306" s="28" t="str">
        <x:v>базилик</x:v>
      </x:c>
      <x:c r="E306" s="28" t="str">
        <x:v>Травы и цветы</x:v>
      </x:c>
      <x:c r="F306" s="28" t="str">
        <x:v>комплементарность ароматических семейств, вкусовой контраст и матричный эффект</x:v>
      </x:c>
      <x:c r="G306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06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06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06" s="28" t="str">
        <x:v>напиток, соус, десерт или горячее блюдо после пробной дегустации</x:v>
      </x:c>
      <x:c r="K306" s="28" t="str">
        <x:v>Средняя</x:v>
      </x:c>
      <x:c r="L306" s="28" t="str">
        <x:v>The Art &amp; Science of Foodpairing.pdf</x:v>
      </x:c>
      <x:c r="M306" s="28" t="str">
        <x:v>The Art &amp; Science of Foodpairing.pdf: 75</x:v>
      </x:c>
    </x:row>
    <x:row r="307" ht="64" customHeight="1">
      <x:c r="A307" s="28" t="str">
        <x:v>STN-0414</x:v>
      </x:c>
      <x:c r="B307" s="28" t="str">
        <x:v>чернослив</x:v>
      </x:c>
      <x:c r="C307" s="28" t="str">
        <x:v>чернослив</x:v>
      </x:c>
      <x:c r="D307" s="28" t="str">
        <x:v>бри</x:v>
      </x:c>
      <x:c r="E307" s="28" t="str">
        <x:v>Прочее</x:v>
      </x:c>
      <x:c r="F307" s="28" t="str">
        <x:v>комплементарность ароматических семейств, вкусовой контраст и матричный эффект</x:v>
      </x:c>
      <x:c r="G307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Бри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важны вода, жир, белок, сахар и температура.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307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307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07" s="28" t="str">
        <x:v>напиток, соус, десерт или горячее блюдо после пробной дегустации</x:v>
      </x:c>
      <x:c r="K307" s="28" t="str">
        <x:v>Средняя</x:v>
      </x:c>
      <x:c r="L307" s="28" t="str">
        <x:v>The Art &amp; Science of Foodpairing.pdf</x:v>
      </x:c>
      <x:c r="M307" s="28" t="str">
        <x:v>The Art &amp; Science of Foodpairing.pdf: 336</x:v>
      </x:c>
    </x:row>
    <x:row r="308" ht="64" customHeight="1">
      <x:c r="A308" s="28" t="str">
        <x:v>STN-0415</x:v>
      </x:c>
      <x:c r="B308" s="28" t="str">
        <x:v>чернослив</x:v>
      </x:c>
      <x:c r="C308" s="28" t="str">
        <x:v>чернослив</x:v>
      </x:c>
      <x:c r="D308" s="28" t="str">
        <x:v>гвоздика</x:v>
      </x:c>
      <x:c r="E308" s="28" t="str">
        <x:v>Специи и острые компоненты</x:v>
      </x:c>
      <x:c r="F308" s="28" t="str">
        <x:v>комплементарность ароматических семейств, вкусовой контраст и матричный эффект</x:v>
      </x:c>
      <x:c r="G308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Гвоздика относится к группе «Специи и острые компоненты» и даёт профиль «тёплый, фенольный и пряный»; типичные соединения или классы: эвгенол, эвгенилацетат.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08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08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308" s="28" t="str">
        <x:v>напиток, соус, десерт или горячее блюдо после пробной дегустации</x:v>
      </x:c>
      <x:c r="K308" s="28" t="str">
        <x:v>Гипотеза / практическая</x:v>
      </x:c>
      <x:c r="L308" s="28" t="str">
        <x:v>Таблица сочетания(1).pdf</x:v>
      </x:c>
      <x:c r="M308" s="28" t="str">
        <x:v>Таблица сочетания(1).pdf: 5 | Таблица сочетания(1).pdf: 18</x:v>
      </x:c>
    </x:row>
    <x:row r="309" ht="64" customHeight="1">
      <x:c r="A309" s="28" t="str">
        <x:v>STN-0416</x:v>
      </x:c>
      <x:c r="B309" s="28" t="str">
        <x:v>чернослив</x:v>
      </x:c>
      <x:c r="C309" s="28" t="str">
        <x:v>чернослив</x:v>
      </x:c>
      <x:c r="D309" s="28" t="str">
        <x:v>грецкий орех</x:v>
      </x:c>
      <x:c r="E309" s="28" t="str">
        <x:v>Орехи и семена</x:v>
      </x:c>
      <x:c r="F309" s="28" t="str">
        <x:v>прямое или классовое перекрытие характерных одорантов + вкусовой баланс</x:v>
      </x:c>
      <x:c r="G30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Грецкий орех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09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09" s="28" t="str">
        <x:v>легко сделать вкус тяжёлым и приторным; нужна кислота, соль, горечь или умами. Сильная обжарка и прогорклый жир перекрывают цветочный профиль.</x:v>
      </x:c>
      <x:c r="J309" s="28" t="str">
        <x:v>тарт, крем, мороженое, выпечка, сырная подача или начинка</x:v>
      </x:c>
      <x:c r="K309" s="28" t="str">
        <x:v>Гипотеза / практическая</x:v>
      </x:c>
      <x:c r="L309" s="28" t="str">
        <x:v>Таблица сочетания(1).pdf</x:v>
      </x:c>
      <x:c r="M309" s="28" t="str">
        <x:v>Таблица сочетания(1).pdf: 18</x:v>
      </x:c>
    </x:row>
    <x:row r="310" ht="64" customHeight="1">
      <x:c r="A310" s="28" t="str">
        <x:v>STN-0417</x:v>
      </x:c>
      <x:c r="B310" s="28" t="str">
        <x:v>чернослив</x:v>
      </x:c>
      <x:c r="C310" s="28" t="str">
        <x:v>чернослив</x:v>
      </x:c>
      <x:c r="D310" s="28" t="str">
        <x:v>груша</x:v>
      </x:c>
      <x:c r="E310" s="28" t="str">
        <x:v>Семечковые фрукты</x:v>
      </x:c>
      <x:c r="F310" s="28" t="str">
        <x:v>комплементарность ароматических семейств, вкусовой контраст и матричный эффект</x:v>
      </x:c>
      <x:c r="G31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Груша относится к группе «Семечковые фрукты» и даёт профиль «сочный фруктовый, цветочный, медовый, зелёный; у зрелых сортов — винный и пряный»; типичные соединения или классы: этил (E,Z)-2,4-декадиеноат («грушевый эфир»), гексилацетат, бутилацетат, гексаналь, линалоол. По доступным материалам нельзя уверенно свести совместимость к одной общей молекуле. Общие ароматические направления: фруктовый, винный. Базовый фрукт даёт: высокая сладость, мягкая кислотность и плотная сухофруктовая насыщенность. Партнёр добавляет: мягкая сладость, умеренная кислотность, иногда лёгкая зернистость и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водная, богатая пектином и каменистыми клетками; летучие эфиры чувствительны к перегреву.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H310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I310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10" s="28" t="str">
        <x:v>напиток, соус, десерт или горячее блюдо после пробной дегустации</x:v>
      </x:c>
      <x:c r="K310" s="28" t="str">
        <x:v>Гипотеза / практическая</x:v>
      </x:c>
      <x:c r="L310" s="28" t="str">
        <x:v>Таблица сочетания(1).pdf</x:v>
      </x:c>
      <x:c r="M310" s="28" t="str">
        <x:v>Таблица сочетания(1).pdf: Таблица сочетаний: 18 | Таблица сочетания(1).pdf: 18</x:v>
      </x:c>
    </x:row>
    <x:row r="311" ht="64" customHeight="1">
      <x:c r="A311" s="28" t="str">
        <x:v>STN-0419</x:v>
      </x:c>
      <x:c r="B311" s="28" t="str">
        <x:v>чернослив</x:v>
      </x:c>
      <x:c r="C311" s="28" t="str">
        <x:v>чернослив</x:v>
      </x:c>
      <x:c r="D311" s="28" t="str">
        <x:v>изюм</x:v>
      </x:c>
      <x:c r="E311" s="28" t="str">
        <x:v>Фрукты</x:v>
      </x:c>
      <x:c r="F311" s="28" t="str">
        <x:v>комплементарность ароматических семейств, вкусовой контраст и матричный эффект</x:v>
      </x:c>
      <x:c r="G31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Изюм относится к группе «Фрукты» и даёт профиль «зелёный, фруктовый, цветочный»; типичные соединения или классы: лактоны, терпены, эфиры. По доступным материалам нельзя уверенно свести совместимость к одной общей молекуле. Общие ароматические направления: фруктовый.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водная фруктовая матрица.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11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11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11" s="28" t="str">
        <x:v>сорбет, салат, джем, кордиал, лимонад, коктейль или фруктовый соус</x:v>
      </x:c>
      <x:c r="K311" s="28" t="str">
        <x:v>Гипотеза / практическая</x:v>
      </x:c>
      <x:c r="L311" s="28" t="str">
        <x:v>Таблица сочетания(1).pdf</x:v>
      </x:c>
      <x:c r="M311" s="28" t="str">
        <x:v>Таблица сочетания(1).pdf: 18</x:v>
      </x:c>
    </x:row>
    <x:row r="312" ht="64" customHeight="1">
      <x:c r="A312" s="28" t="str">
        <x:v>STN-0420</x:v>
      </x:c>
      <x:c r="B312" s="28" t="str">
        <x:v>чернослив</x:v>
      </x:c>
      <x:c r="C312" s="28" t="str">
        <x:v>чернослив</x:v>
      </x:c>
      <x:c r="D312" s="28" t="str">
        <x:v>имбирь</x:v>
      </x:c>
      <x:c r="E312" s="28" t="str">
        <x:v>Специи и острые компоненты</x:v>
      </x:c>
      <x:c r="F312" s="28" t="str">
        <x:v>комплементарность ароматических семейств, вкусовой контраст и матричный эффект</x:v>
      </x:c>
      <x:c r="G31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12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12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312" s="28" t="str">
        <x:v>напиток, соус, десерт или горячее блюдо после пробной дегустации</x:v>
      </x:c>
      <x:c r="K312" s="28" t="str">
        <x:v>Гипотеза / практическая</x:v>
      </x:c>
      <x:c r="L312" s="28" t="str">
        <x:v>Таблица сочетания(1).pdf</x:v>
      </x:c>
      <x:c r="M312" s="28" t="str">
        <x:v>Таблица сочетания(1).pdf: 18</x:v>
      </x:c>
    </x:row>
    <x:row r="313" ht="64" customHeight="1">
      <x:c r="A313" s="28" t="str">
        <x:v>STN-0421</x:v>
      </x:c>
      <x:c r="B313" s="28" t="str">
        <x:v>чернослив</x:v>
      </x:c>
      <x:c r="C313" s="28" t="str">
        <x:v>чернослив</x:v>
      </x:c>
      <x:c r="D313" s="28" t="str">
        <x:v>инжир</x:v>
      </x:c>
      <x:c r="E313" s="28" t="str">
        <x:v>Субтропические фрукты</x:v>
      </x:c>
      <x:c r="F313" s="28" t="str">
        <x:v>прямое или классовое перекрытие характерных одорантов + вкусовой баланс</x:v>
      </x:c>
      <x:c r="G31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бензальдегид. Базовый фрукт даёт: высокая сладость, мягкая кислотность и плотная сухофруктовая насыщенность. Партнёр добавляет: высокая сладость, низкая кислотность; семена дают хруст.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пектиновая и сахаристая; сушёный инжир концентрирует сахар, фенолы и карамельные ноты.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313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313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13" s="28" t="str">
        <x:v>напиток, соус, десерт или горячее блюдо после пробной дегустации</x:v>
      </x:c>
      <x:c r="K313" s="28" t="str">
        <x:v>Гипотеза / практическая</x:v>
      </x:c>
      <x:c r="L313" s="28" t="str">
        <x:v>Таблица сочетания(1).pdf</x:v>
      </x:c>
      <x:c r="M313" s="28" t="str">
        <x:v>Таблица сочетания(1).pdf: Таблица сочетаний: 18, 8 | Таблица сочетания(1).pdf: 8 | Таблица сочетания(1).pdf: 18</x:v>
      </x:c>
    </x:row>
    <x:row r="314" ht="64" customHeight="1">
      <x:c r="A314" s="28" t="str">
        <x:v>STN-0422</x:v>
      </x:c>
      <x:c r="B314" s="28" t="str">
        <x:v>чернослив</x:v>
      </x:c>
      <x:c r="C314" s="28" t="str">
        <x:v>чернослив</x:v>
      </x:c>
      <x:c r="D314" s="28" t="str">
        <x:v>карамель</x:v>
      </x:c>
      <x:c r="E314" s="28" t="str">
        <x:v>Сахара, мёд и кондитерские основы</x:v>
      </x:c>
      <x:c r="F314" s="28" t="str">
        <x:v>прямое или классовое перекрытие характерных одорантов + вкусовой баланс</x:v>
      </x:c>
      <x:c r="G31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В рабочих профилях пересекаются: фурфурол, мальтол. 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31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314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14" s="28" t="str">
        <x:v>напиток, соус, десерт или горячее блюдо после пробной дегустации</x:v>
      </x:c>
      <x:c r="K314" s="28" t="str">
        <x:v>Гипотеза / практическая</x:v>
      </x:c>
      <x:c r="L314" s="28" t="str">
        <x:v>Таблица сочетания(1).pdf</x:v>
      </x:c>
      <x:c r="M314" s="28" t="str">
        <x:v>Таблица сочетания(1).pdf: 18</x:v>
      </x:c>
    </x:row>
    <x:row r="315" ht="64" customHeight="1">
      <x:c r="A315" s="28" t="str">
        <x:v>STN-0423</x:v>
      </x:c>
      <x:c r="B315" s="28" t="str">
        <x:v>чернослив</x:v>
      </x:c>
      <x:c r="C315" s="28" t="str">
        <x:v>чернослив</x:v>
      </x:c>
      <x:c r="D315" s="28" t="str">
        <x:v>картофель фри</x:v>
      </x:c>
      <x:c r="E315" s="28" t="str">
        <x:v>Злаки и выпечка</x:v>
      </x:c>
      <x:c r="F315" s="28" t="str">
        <x:v>прямое или классовое перекрытие характерных одорантов + вкусовой баланс</x:v>
      </x:c>
      <x:c r="G315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Картофель фри относится к группе «Злаки и выпечка» и даёт профиль «жареный, зерновой, солодовый»; типичные соединения или классы: мальтол, пиразины, фураны. В рабочих профилях пересекаются: мальтол. Базовый фрукт даёт: высокая сладость, мягкая кислотность и плотная сухофруктовая насыщенность. Партнёр добавляет: крахмалистый, сладковатый.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крахмал и сухая пористая матрица.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15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15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15" s="28" t="str">
        <x:v>тарт, крем, мороженое, выпечка, сырная подача или начинка</x:v>
      </x:c>
      <x:c r="K315" s="28" t="str">
        <x:v>Средняя</x:v>
      </x:c>
      <x:c r="L315" s="28" t="str">
        <x:v>The Art &amp; Science of Foodpairing.pdf</x:v>
      </x:c>
      <x:c r="M315" s="28" t="str">
        <x:v>The Art &amp; Science of Foodpairing.pdf: 196</x:v>
      </x:c>
    </x:row>
    <x:row r="316" ht="64" customHeight="1">
      <x:c r="A316" s="28" t="str">
        <x:v>STN-0424</x:v>
      </x:c>
      <x:c r="B316" s="28" t="str">
        <x:v>чернослив</x:v>
      </x:c>
      <x:c r="C316" s="28" t="str">
        <x:v>чернослив</x:v>
      </x:c>
      <x:c r="D316" s="28" t="str">
        <x:v>каштан</x:v>
      </x:c>
      <x:c r="E316" s="28" t="str">
        <x:v>Прочее</x:v>
      </x:c>
      <x:c r="F316" s="28" t="str">
        <x:v>комплементарность ароматических семейств, вкусовой контраст и матричный эффект</x:v>
      </x:c>
      <x:c r="G316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Каштан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важны вода, жир, белок, сахар и температура.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316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316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16" s="28" t="str">
        <x:v>напиток, соус, десерт или горячее блюдо после пробной дегустации</x:v>
      </x:c>
      <x:c r="K316" s="28" t="str">
        <x:v>Гипотеза / практическая</x:v>
      </x:c>
      <x:c r="L316" s="28" t="str">
        <x:v>Таблица сочетания(1).pdf</x:v>
      </x:c>
      <x:c r="M316" s="28" t="str">
        <x:v>Таблица сочетания(1).pdf: 4 | Таблица сочетания(1).pdf: 18</x:v>
      </x:c>
    </x:row>
    <x:row r="317" ht="64" customHeight="1">
      <x:c r="A317" s="28" t="str">
        <x:v>STN-0425</x:v>
      </x:c>
      <x:c r="B317" s="28" t="str">
        <x:v>чернослив</x:v>
      </x:c>
      <x:c r="C317" s="28" t="str">
        <x:v>чернослив</x:v>
      </x:c>
      <x:c r="D317" s="28" t="str">
        <x:v>кленовый сироп</x:v>
      </x:c>
      <x:c r="E317" s="28" t="str">
        <x:v>Сахара, мёд и кондитерские основы</x:v>
      </x:c>
      <x:c r="F317" s="28" t="str">
        <x:v>прямое или классовое перекрытие характерных одорантов + вкусовой баланс</x:v>
      </x:c>
      <x:c r="G317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В рабочих профилях пересекаются: фурфурол, мальтол. Общие ароматические направления: карамельный. 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317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317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17" s="28" t="str">
        <x:v>напиток, соус, десерт или горячее блюдо после пробной дегустации</x:v>
      </x:c>
      <x:c r="K317" s="28" t="str">
        <x:v>Гипотеза / практическая</x:v>
      </x:c>
      <x:c r="L317" s="28" t="str">
        <x:v>Таблица сочетания(1).pdf</x:v>
      </x:c>
      <x:c r="M317" s="28" t="str">
        <x:v>Таблица сочетания(1).pdf: 18</x:v>
      </x:c>
    </x:row>
    <x:row r="318" ht="64" customHeight="1">
      <x:c r="A318" s="28" t="str">
        <x:v>STN-0426</x:v>
      </x:c>
      <x:c r="B318" s="28" t="str">
        <x:v>чернослив</x:v>
      </x:c>
      <x:c r="C318" s="28" t="str">
        <x:v>чернослив</x:v>
      </x:c>
      <x:c r="D318" s="28" t="str">
        <x:v>кокос</x:v>
      </x:c>
      <x:c r="E318" s="28" t="str">
        <x:v>Тропические фрукты и жирные матрицы</x:v>
      </x:c>
      <x:c r="F318" s="28" t="str">
        <x:v>комплементарность ароматических семейств, вкусовой контраст и матричный эффект</x:v>
      </x:c>
      <x:c r="G318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богатая жиром эмульсия; хорошо растворяет гидрофобные терпены, специи и ароматические масла.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318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318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18" s="28" t="str">
        <x:v>напиток, соус, десерт или горячее блюдо после пробной дегустации</x:v>
      </x:c>
      <x:c r="K318" s="28" t="str">
        <x:v>Средняя</x:v>
      </x:c>
      <x:c r="L318" s="28" t="str">
        <x:v>The Art &amp; Science of Foodpairing.pdf</x:v>
      </x:c>
      <x:c r="M318" s="28" t="str">
        <x:v>The Art &amp; Science of Foodpairing.pdf: 135</x:v>
      </x:c>
    </x:row>
    <x:row r="319" ht="64" customHeight="1">
      <x:c r="A319" s="28" t="str">
        <x:v>STN-0427</x:v>
      </x:c>
      <x:c r="B319" s="28" t="str">
        <x:v>чернослив</x:v>
      </x:c>
      <x:c r="C319" s="28" t="str">
        <x:v>чернослив</x:v>
      </x:c>
      <x:c r="D319" s="28" t="str">
        <x:v>корица</x:v>
      </x:c>
      <x:c r="E319" s="28" t="str">
        <x:v>Специи и острые компоненты</x:v>
      </x:c>
      <x:c r="F319" s="28" t="str">
        <x:v>комплементарность ароматических семейств, вкусовой контраст и матричный эффект</x:v>
      </x:c>
      <x:c r="G31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19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19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319" s="28" t="str">
        <x:v>напиток, соус, десерт или горячее блюдо после пробной дегустации</x:v>
      </x:c>
      <x:c r="K319" s="28" t="str">
        <x:v>Гипотеза / практическая</x:v>
      </x:c>
      <x:c r="L319" s="28" t="str">
        <x:v>Таблица сочетания(1).pdf</x:v>
      </x:c>
      <x:c r="M319" s="28" t="str">
        <x:v>Таблица сочетания(1).pdf: 18</x:v>
      </x:c>
    </x:row>
    <x:row r="320" ht="64" customHeight="1">
      <x:c r="A320" s="28" t="str">
        <x:v>STN-0428</x:v>
      </x:c>
      <x:c r="B320" s="28" t="str">
        <x:v>чернослив</x:v>
      </x:c>
      <x:c r="C320" s="28" t="str">
        <x:v>чернослив</x:v>
      </x:c>
      <x:c r="D320" s="28" t="str">
        <x:v>лимон</x:v>
      </x:c>
      <x:c r="E320" s="28" t="str">
        <x:v>Цитрусовые</x:v>
      </x:c>
      <x:c r="F320" s="28" t="str">
        <x:v>комплементарность ароматических семейств, вкусовой контраст и матричный эффект</x:v>
      </x:c>
      <x:c r="G32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сок водный и кислый, цедра содержит гидрофобные эфирные масла.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20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20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20" s="28" t="str">
        <x:v>сорбет, салат, джем, кордиал, лимонад, коктейль или фруктовый соус</x:v>
      </x:c>
      <x:c r="K320" s="28" t="str">
        <x:v>Гипотеза / практическая</x:v>
      </x:c>
      <x:c r="L320" s="28" t="str">
        <x:v>Таблица сочетания(1).pdf</x:v>
      </x:c>
      <x:c r="M320" s="28" t="str">
        <x:v>Таблица сочетания(1).pdf: Таблица сочетания(1).pdf: 18 | Таблица сочетания(1).pdf: 18</x:v>
      </x:c>
    </x:row>
    <x:row r="321" ht="64" customHeight="1">
      <x:c r="A321" s="28" t="str">
        <x:v>STN-0429</x:v>
      </x:c>
      <x:c r="B321" s="28" t="str">
        <x:v>чернослив</x:v>
      </x:c>
      <x:c r="C321" s="28" t="str">
        <x:v>чернослив</x:v>
      </x:c>
      <x:c r="D321" s="28" t="str">
        <x:v>мед</x:v>
      </x:c>
      <x:c r="E321" s="28" t="str">
        <x:v>Сахара, мёд и кондитерские основы</x:v>
      </x:c>
      <x:c r="F321" s="28" t="str">
        <x:v>комплементарность ароматических семейств, вкусовой контраст и матричный эффект</x:v>
      </x:c>
      <x:c r="G32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карамельный. 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321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321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21" s="28" t="str">
        <x:v>напиток, соус, десерт или горячее блюдо после пробной дегустации</x:v>
      </x:c>
      <x:c r="K321" s="28" t="str">
        <x:v>Гипотеза / практическая</x:v>
      </x:c>
      <x:c r="L321" s="28" t="str">
        <x:v>Таблица сочетания(1).pdf</x:v>
      </x:c>
      <x:c r="M321" s="28" t="str">
        <x:v>Таблица сочетания(1).pdf: 18</x:v>
      </x:c>
    </x:row>
    <x:row r="322" ht="64" customHeight="1">
      <x:c r="A322" s="28" t="str">
        <x:v>STN-0430</x:v>
      </x:c>
      <x:c r="B322" s="28" t="str">
        <x:v>чернослив</x:v>
      </x:c>
      <x:c r="C322" s="28" t="str">
        <x:v>чернослив</x:v>
      </x:c>
      <x:c r="D322" s="28" t="str">
        <x:v>миндаль</x:v>
      </x:c>
      <x:c r="E322" s="28" t="str">
        <x:v>Орехи и семена</x:v>
      </x:c>
      <x:c r="F322" s="28" t="str">
        <x:v>прямое или классовое перекрытие характерных одорантов + вкусовой баланс</x:v>
      </x:c>
      <x:c r="G32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Миндаль относится к группе «Орехи и семена» и даёт профиль «марципановый и ореховый»; типичные соединения или классы: бензальдегид, пиразины после обжарки. В рабочих профилях пересекаются: бензальдегид. Жирность и жареная горечь ореха округляют кислотность фрукта; миндально-косточковый оттенок создаёт особенно связный профиль. Матрица пары: 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22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22" s="28" t="str">
        <x:v>легко сделать вкус тяжёлым и приторным; нужна кислота, соль, горечь или умами. Сильная обжарка и прогорклый жир перекрывают цветочный профиль.</x:v>
      </x:c>
      <x:c r="J322" s="28" t="str">
        <x:v>тарт, крем, мороженое, выпечка, сырная подача или начинка</x:v>
      </x:c>
      <x:c r="K322" s="28" t="str">
        <x:v>Гипотеза / практическая</x:v>
      </x:c>
      <x:c r="L322" s="28" t="str">
        <x:v>Таблица сочетания(1).pdf</x:v>
      </x:c>
      <x:c r="M322" s="28" t="str">
        <x:v>Таблица сочетания(1).pdf: 18</x:v>
      </x:c>
    </x:row>
    <x:row r="323" ht="64" customHeight="1">
      <x:c r="A323" s="28" t="str">
        <x:v>STN-0431</x:v>
      </x:c>
      <x:c r="B323" s="28" t="str">
        <x:v>чернослив</x:v>
      </x:c>
      <x:c r="C323" s="28" t="str">
        <x:v>чернослив</x:v>
      </x:c>
      <x:c r="D323" s="28" t="str">
        <x:v>мята</x:v>
      </x:c>
      <x:c r="E323" s="28" t="str">
        <x:v>Травы и цветы</x:v>
      </x:c>
      <x:c r="F323" s="28" t="str">
        <x:v>комплементарность ароматических семейств, вкусовой контраст и матричный эффект</x:v>
      </x:c>
      <x:c r="G32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23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23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23" s="28" t="str">
        <x:v>напиток, соус, десерт или горячее блюдо после пробной дегустации</x:v>
      </x:c>
      <x:c r="K323" s="28" t="str">
        <x:v>Гипотеза / практическая</x:v>
      </x:c>
      <x:c r="L323" s="28" t="str">
        <x:v>Таблица сочетания(1).pdf</x:v>
      </x:c>
      <x:c r="M323" s="28" t="str">
        <x:v>Таблица сочетания(1).pdf: 18</x:v>
      </x:c>
    </x:row>
    <x:row r="324" ht="64" customHeight="1">
      <x:c r="A324" s="28" t="str">
        <x:v>STN-0432</x:v>
      </x:c>
      <x:c r="B324" s="28" t="str">
        <x:v>чернослив</x:v>
      </x:c>
      <x:c r="C324" s="28" t="str">
        <x:v>чернослив</x:v>
      </x:c>
      <x:c r="D324" s="28" t="str">
        <x:v>пекан</x:v>
      </x:c>
      <x:c r="E324" s="28" t="str">
        <x:v>Орехи и семена</x:v>
      </x:c>
      <x:c r="F324" s="28" t="str">
        <x:v>прямое или классовое перекрытие характерных одорантов + вкусовой баланс</x:v>
      </x:c>
      <x:c r="G32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Пекан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2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24" s="28" t="str">
        <x:v>легко сделать вкус тяжёлым и приторным; нужна кислота, соль, горечь или умами. Сильная обжарка и прогорклый жир перекрывают цветочный профиль.</x:v>
      </x:c>
      <x:c r="J324" s="28" t="str">
        <x:v>тарт, крем, мороженое, выпечка, сырная подача или начинка</x:v>
      </x:c>
      <x:c r="K324" s="28" t="str">
        <x:v>Гипотеза / практическая</x:v>
      </x:c>
      <x:c r="L324" s="28" t="str">
        <x:v>Таблица сочетания(1).pdf</x:v>
      </x:c>
      <x:c r="M324" s="28" t="str">
        <x:v>Таблица сочетания(1).pdf: 18</x:v>
      </x:c>
    </x:row>
    <x:row r="325" ht="64" customHeight="1">
      <x:c r="A325" s="28" t="str">
        <x:v>STN-0433</x:v>
      </x:c>
      <x:c r="B325" s="28" t="str">
        <x:v>чернослив</x:v>
      </x:c>
      <x:c r="C325" s="28" t="str">
        <x:v>чернослив</x:v>
      </x:c>
      <x:c r="D325" s="28" t="str">
        <x:v>розмарин</x:v>
      </x:c>
      <x:c r="E325" s="28" t="str">
        <x:v>Травы и цветы</x:v>
      </x:c>
      <x:c r="F325" s="28" t="str">
        <x:v>комплементарность ароматических семейств, вкусовой контраст и матричный эффект</x:v>
      </x:c>
      <x:c r="G325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Розмарин относится к группе «Травы и цветы» и даёт профиль «хвойный, камфорный и древесный»; типичные соединения или классы: 1,8-цинеол, камфора, α-пинен.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25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25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25" s="28" t="str">
        <x:v>напиток, соус, десерт или горячее блюдо после пробной дегустации</x:v>
      </x:c>
      <x:c r="K325" s="28" t="str">
        <x:v>Гипотеза / практическая</x:v>
      </x:c>
      <x:c r="L325" s="28" t="str">
        <x:v>Таблица сочетания(1).pdf</x:v>
      </x:c>
      <x:c r="M325" s="28" t="str">
        <x:v>Таблица сочетания(1).pdf: 18</x:v>
      </x:c>
    </x:row>
    <x:row r="326" ht="64" customHeight="1">
      <x:c r="A326" s="28" t="str">
        <x:v>STN-0434</x:v>
      </x:c>
      <x:c r="B326" s="28" t="str">
        <x:v>чернослив</x:v>
      </x:c>
      <x:c r="C326" s="28" t="str">
        <x:v>чернослив</x:v>
      </x:c>
      <x:c r="D326" s="28" t="str">
        <x:v>свиная корейка</x:v>
      </x:c>
      <x:c r="E326" s="28" t="str">
        <x:v>Прочее</x:v>
      </x:c>
      <x:c r="F326" s="28" t="str">
        <x:v>комплементарность ароматических семейств, вкусовой контраст и матричный эффект</x:v>
      </x:c>
      <x:c r="G326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баланс зависит от продукта.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матрица зависит от формы продукта.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H326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I326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26" s="28" t="str">
        <x:v>напиток, соус, десерт или горячее блюдо после пробной дегустации</x:v>
      </x:c>
      <x:c r="K326" s="28" t="str">
        <x:v>Средняя</x:v>
      </x:c>
      <x:c r="L326" s="28" t="str">
        <x:v>The Art &amp; Science of Foodpairing.pdf</x:v>
      </x:c>
      <x:c r="M326" s="28" t="str">
        <x:v>The Art &amp; Science of Foodpairing.pdf: 186</x:v>
      </x:c>
    </x:row>
    <x:row r="327" ht="64" customHeight="1">
      <x:c r="A327" s="28" t="str">
        <x:v>STN-0435</x:v>
      </x:c>
      <x:c r="B327" s="28" t="str">
        <x:v>чернослив</x:v>
      </x:c>
      <x:c r="C327" s="28" t="str">
        <x:v>чернослив</x:v>
      </x:c>
      <x:c r="D327" s="28" t="str">
        <x:v>смородина</x:v>
      </x:c>
      <x:c r="E327" s="28" t="str">
        <x:v>Ягоды</x:v>
      </x:c>
      <x:c r="F327" s="28" t="str">
        <x:v>комплементарность ароматических семейств, вкусовой контраст и матричный эффект</x:v>
      </x:c>
      <x:c r="G327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фруктовый.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водная пектиновая; антоцианы влияют на цвет, но не являются главными одорантами.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327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327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27" s="28" t="str">
        <x:v>сорбет, салат, джем, кордиал, лимонад, коктейль или фруктовый соус</x:v>
      </x:c>
      <x:c r="K327" s="28" t="str">
        <x:v>Гипотеза / практическая</x:v>
      </x:c>
      <x:c r="L327" s="28" t="str">
        <x:v>Таблица сочетания(1).pdf</x:v>
      </x:c>
      <x:c r="M327" s="28" t="str">
        <x:v>Таблица сочетания(1).pdf: Таблица сочетаний: 18 | Таблица сочетания(1).pdf: 18</x:v>
      </x:c>
    </x:row>
    <x:row r="328" ht="64" customHeight="1">
      <x:c r="A328" s="28" t="str">
        <x:v>STN-0436</x:v>
      </x:c>
      <x:c r="B328" s="28" t="str">
        <x:v>чернослив</x:v>
      </x:c>
      <x:c r="C328" s="28" t="str">
        <x:v>чернослив</x:v>
      </x:c>
      <x:c r="D328" s="28" t="str">
        <x:v>темный шоколад</x:v>
      </x:c>
      <x:c r="E328" s="28" t="str">
        <x:v>Чай, кофе и какао</x:v>
      </x:c>
      <x:c r="F328" s="28" t="str">
        <x:v>комплементарность ароматических семейств, вкусовой контраст и матричный эффект</x:v>
      </x:c>
      <x:c r="G328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Темный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горечь, терпкость и жареная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водные настои извлекают полифенолы; жир и сахар смягчают горечь.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328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328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28" s="28" t="str">
        <x:v>напиток, соус, десерт или горячее блюдо после пробной дегустации</x:v>
      </x:c>
      <x:c r="K328" s="28" t="str">
        <x:v>Гипотеза / практическая</x:v>
      </x:c>
      <x:c r="L328" s="28" t="str">
        <x:v>Таблица сочетания(1).pdf</x:v>
      </x:c>
      <x:c r="M328" s="28" t="str">
        <x:v>Таблица сочетания(1).pdf: 18</x:v>
      </x:c>
    </x:row>
    <x:row r="329" ht="64" customHeight="1">
      <x:c r="A329" s="28" t="str">
        <x:v>STN-0437</x:v>
      </x:c>
      <x:c r="B329" s="28" t="str">
        <x:v>чернослив</x:v>
      </x:c>
      <x:c r="C329" s="28" t="str">
        <x:v>чернослив</x:v>
      </x:c>
      <x:c r="D329" s="28" t="str">
        <x:v>финик</x:v>
      </x:c>
      <x:c r="E329" s="28" t="str">
        <x:v>Сухофрукты и тропические плоды</x:v>
      </x:c>
      <x:c r="F329" s="28" t="str">
        <x:v>комплементарность ароматических семейств, вкусовой контраст и матричный эффект</x:v>
      </x:c>
      <x:c r="G32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Финик относится к группе «Сухофрукты и тропические плоды» и даёт профиль «медовый, карамельный, сухофруктовый, ореховый и пряный»; типичные соединения или классы: фураны, альдегиды Стреккера, фенольные соединения и продукты карамелизации. По доступным материалам нельзя уверенно свести совместимость к одной общей молекуле. Общие ароматические направления: фруктовый, карамельный. Базовый фрукт даёт: высокая сладость, мягкая кислотность и плотная сухофруктовая насыщенность. Партнёр добавляет: очень высокая сладость, низкая кислотность.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плотная сахаристая и вязкая; хорошо связывает жир и специи.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H329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I329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29" s="28" t="str">
        <x:v>напиток, соус, десерт или горячее блюдо после пробной дегустации</x:v>
      </x:c>
      <x:c r="K329" s="28" t="str">
        <x:v>Гипотеза / практическая</x:v>
      </x:c>
      <x:c r="L329" s="28" t="str">
        <x:v>Таблица сочетания(1).pdf</x:v>
      </x:c>
      <x:c r="M329" s="28" t="str">
        <x:v>Таблица сочетания(1).pdf: Таблица сочетаний: 18, 7 | Таблица сочетания(1).pdf: 7 | Таблица сочетания(1).pdf: 18</x:v>
      </x:c>
    </x:row>
    <x:row r="330" ht="64" customHeight="1">
      <x:c r="A330" s="28" t="str">
        <x:v>STN-0438</x:v>
      </x:c>
      <x:c r="B330" s="28" t="str">
        <x:v>чернослив</x:v>
      </x:c>
      <x:c r="C330" s="28" t="str">
        <x:v>чернослив</x:v>
      </x:c>
      <x:c r="D330" s="28" t="str">
        <x:v>фисташка</x:v>
      </x:c>
      <x:c r="E330" s="28" t="str">
        <x:v>Орехи и семена</x:v>
      </x:c>
      <x:c r="F330" s="28" t="str">
        <x:v>прямое или классовое перекрытие характерных одорантов + вкусовой баланс</x:v>
      </x:c>
      <x:c r="G33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Фисташка относится к группе «Орехи и семена» и даёт профиль «ореховый, жареный, маслянистый и иногда миндальный»; типичные соединения или классы: пиразины, бензальдегид, филбертон, жирные альдегиды. В рабочих профилях пересекаются: бензальдегид. Общие ароматические направления: миндальный. Жирность и жареная горечь ореха округляют кислотность фрукта; миндально-косточковый оттенок создаёт особенно связный профиль. Матрица пары: 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30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30" s="28" t="str">
        <x:v>легко сделать вкус тяжёлым и приторным; нужна кислота, соль, горечь или умами. Сильная обжарка и прогорклый жир перекрывают цветочный профиль.</x:v>
      </x:c>
      <x:c r="J330" s="28" t="str">
        <x:v>тарт, крем, мороженое, выпечка, сырная подача или начинка</x:v>
      </x:c>
      <x:c r="K330" s="28" t="str">
        <x:v>Гипотеза / практическая</x:v>
      </x:c>
      <x:c r="L330" s="28" t="str">
        <x:v>Таблица сочетания(1).pdf</x:v>
      </x:c>
      <x:c r="M330" s="28" t="str">
        <x:v>Таблица сочетания(1).pdf: 18</x:v>
      </x:c>
    </x:row>
    <x:row r="331" ht="64" customHeight="1">
      <x:c r="A331" s="28" t="str">
        <x:v>STN-0439</x:v>
      </x:c>
      <x:c r="B331" s="28" t="str">
        <x:v>чернослив</x:v>
      </x:c>
      <x:c r="C331" s="28" t="str">
        <x:v>чернослив</x:v>
      </x:c>
      <x:c r="D331" s="28" t="str">
        <x:v>фундук</x:v>
      </x:c>
      <x:c r="E331" s="28" t="str">
        <x:v>Орехи и семена</x:v>
      </x:c>
      <x:c r="F331" s="28" t="str">
        <x:v>комплементарность ароматических семейств, вкусовой контраст и матричный эффект</x:v>
      </x:c>
      <x:c r="G33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Фундук относится к группе «Орехи и семена» и даёт профиль «жареный ореховый и маслянистый»; типичные соединения или классы: филбертон, пиразины. По доступным материалам нельзя уверенно свести совместимость к одной общей молекуле. Жирность и жареная горечь ореха округляют кислотность фрукта; миндально-косточковый оттенок создаёт особенно связный профиль. Матрица пары: маловодная, богатая сахарами, пектином и сорбитолом; хорошо удерживает специи и алкоголь. Ореховый жир удерживает лактоны и смягчает кислотность; обжарка добавляет пиразины.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31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31" s="28" t="str">
        <x:v>легко сделать вкус тяжёлым и приторным; нужна кислота, соль, горечь или умами. Сильная обжарка и прогорклый жир перекрывают цветочный профиль.</x:v>
      </x:c>
      <x:c r="J331" s="28" t="str">
        <x:v>тарт, крем, мороженое, выпечка, сырная подача или начинка</x:v>
      </x:c>
      <x:c r="K331" s="28" t="str">
        <x:v>Гипотеза / практическая</x:v>
      </x:c>
      <x:c r="L331" s="28" t="str">
        <x:v>Таблица сочетания(1).pdf</x:v>
      </x:c>
      <x:c r="M331" s="28" t="str">
        <x:v>Таблица сочетания(1).pdf: 18</x:v>
      </x:c>
    </x:row>
    <x:row r="332" ht="64" customHeight="1">
      <x:c r="A332" s="28" t="str">
        <x:v>STN-0440</x:v>
      </x:c>
      <x:c r="B332" s="28" t="str">
        <x:v>чернослив</x:v>
      </x:c>
      <x:c r="C332" s="28" t="str">
        <x:v>чернослив</x:v>
      </x:c>
      <x:c r="D332" s="28" t="str">
        <x:v>черная смородина</x:v>
      </x:c>
      <x:c r="E332" s="28" t="str">
        <x:v>Ягоды</x:v>
      </x:c>
      <x:c r="F332" s="28" t="str">
        <x:v>комплементарность ароматических семейств, вкусовой контраст и матричный эффект</x:v>
      </x:c>
      <x:c r="G33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Черная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фруктовый.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водная пектиновая; антоцианы влияют на цвет, но не являются главными одорантами.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332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332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32" s="28" t="str">
        <x:v>сорбет, салат, джем, кордиал, лимонад, коктейль или фруктовый соус</x:v>
      </x:c>
      <x:c r="K332" s="28" t="str">
        <x:v>Гипотеза / практическая</x:v>
      </x:c>
      <x:c r="L332" s="28" t="str">
        <x:v>Таблица сочетания(1).pdf</x:v>
      </x:c>
      <x:c r="M332" s="28" t="str">
        <x:v>Таблица сочетания(1).pdf: Таблица сочетаний: 2 | Таблица сочетания(1).pdf: 2</x:v>
      </x:c>
    </x:row>
    <x:row r="333" ht="64" customHeight="1">
      <x:c r="A333" s="28" t="str">
        <x:v>STN-0442</x:v>
      </x:c>
      <x:c r="B333" s="28" t="str">
        <x:v>чернослив</x:v>
      </x:c>
      <x:c r="C333" s="28" t="str">
        <x:v>чернослив</x:v>
      </x:c>
      <x:c r="D333" s="28" t="str">
        <x:v>шоколад</x:v>
      </x:c>
      <x:c r="E333" s="28" t="str">
        <x:v>Чай, кофе и какао</x:v>
      </x:c>
      <x:c r="F333" s="28" t="str">
        <x:v>комплементарность ароматических семейств, вкусовой контраст и матричный эффект</x:v>
      </x:c>
      <x:c r="G33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горечь, терпкость и жареная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водные настои извлекают полифенолы; жир и сахар смягчают горечь.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333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333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33" s="28" t="str">
        <x:v>напиток, соус, десерт или горячее блюдо после пробной дегустации</x:v>
      </x:c>
      <x:c r="K333" s="28" t="str">
        <x:v>Средняя</x:v>
      </x:c>
      <x:c r="L333" s="28" t="str">
        <x:v>The Art &amp; Science of Foodpairing.pdf</x:v>
      </x:c>
      <x:c r="M333" s="28" t="str">
        <x:v>The Art &amp; Science of Foodpairing.pdf: 62</x:v>
      </x:c>
    </x:row>
    <x:row r="334" ht="64" customHeight="1">
      <x:c r="A334" s="28" t="str">
        <x:v>STN-0443</x:v>
      </x:c>
      <x:c r="B334" s="28" t="str">
        <x:v>чернослив</x:v>
      </x:c>
      <x:c r="C334" s="28" t="str">
        <x:v>чернослив</x:v>
      </x:c>
      <x:c r="D334" s="28" t="str">
        <x:v>яблоко</x:v>
      </x:c>
      <x:c r="E334" s="28" t="str">
        <x:v>Семечковые фрукты</x:v>
      </x:c>
      <x:c r="F334" s="28" t="str">
        <x:v>комплементарность ароматических семейств, вкусовой контраст и матричный эффект</x:v>
      </x:c>
      <x:c r="G33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Яблоко относится к группе «Семечковые фрукты» и даёт профиль «свежий фруктовый, зелёный, цветочный, пряный; профиль сильно зависит от сорта и зрелости»; типичные соединения или классы: гексилацетат, бутил ацетат, этил-2-метилбутират, гексаналь, транс-2-гексеналь, β-дамасценон.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сладость и яблочная кислота; иногда лёгкая терпкость кожицы.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водная, с пектином; низкое содержание жира; ароматические эфиры быстро теряются после разрезания.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H33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I334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34" s="28" t="str">
        <x:v>напиток, соус, десерт или горячее блюдо после пробной дегустации</x:v>
      </x:c>
      <x:c r="K334" s="28" t="str">
        <x:v>Гипотеза / практическая</x:v>
      </x:c>
      <x:c r="L334" s="28" t="str">
        <x:v>Таблица сочетания(1).pdf</x:v>
      </x:c>
      <x:c r="M334" s="28" t="str">
        <x:v>Таблица сочетания(1).pdf: Таблица сочетаний: 18 | Таблица сочетания(1).pdf: 18</x:v>
      </x:c>
    </x:row>
    <x:row r="335" ht="64" customHeight="1">
      <x:c r="A335" s="28" t="str">
        <x:v>STN-0444</x:v>
      </x:c>
      <x:c r="B335" s="28" t="str">
        <x:v>уме</x:v>
      </x:c>
      <x:c r="C335" s="28" t="str">
        <x:v>уме</x:v>
      </x:c>
      <x:c r="D335" s="28" t="str">
        <x:v>авокадо</x:v>
      </x:c>
      <x:c r="E335" s="28" t="str">
        <x:v>Тропические фрукты и жирные матрицы</x:v>
      </x:c>
      <x:c r="F335" s="28" t="str">
        <x:v>комплементарность ароматических семейств, вкусовой контраст и матричный эффект</x:v>
      </x:c>
      <x:c r="G335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Общие ароматические направления: зелёный. Базовый фрукт даёт: высокая кислотность; у умэбоси — соль и выраженная ферментированная умами-нота. Партнёр добавляет: мягкий, жирный, почти несладкий; лёгкая растительная горечь. Баланс корректируется сахаром, кислотой, солью и горечью. Матрица пары: водная и кислотная; в умэбоси — концентрированная соль и полифенолы. Партнёр: высокожировая эмульсия; хорошо растворяет гидрофобные ароматические молекулы.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335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335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35" s="28" t="str">
        <x:v>напиток, соус, десерт или горячее блюдо после пробной дегустации</x:v>
      </x:c>
      <x:c r="K335" s="28" t="str">
        <x:v>Средняя</x:v>
      </x:c>
      <x:c r="L335" s="28" t="str">
        <x:v>The Art &amp; Science of Foodpairing.pdf</x:v>
      </x:c>
      <x:c r="M335" s="28" t="str">
        <x:v>The Art &amp; Science of Foodpairing.pdf: 354</x:v>
      </x:c>
    </x:row>
    <x:row r="336" ht="64" customHeight="1">
      <x:c r="A336" s="28" t="str">
        <x:v>STN-0445</x:v>
      </x:c>
      <x:c r="B336" s="28" t="str">
        <x:v>уме</x:v>
      </x:c>
      <x:c r="C336" s="28" t="str">
        <x:v>уме</x:v>
      </x:c>
      <x:c r="D336" s="28" t="str">
        <x:v>голубика</x:v>
      </x:c>
      <x:c r="E336" s="28" t="str">
        <x:v>Ягоды</x:v>
      </x:c>
      <x:c r="F336" s="28" t="str">
        <x:v>прямое или классовое перекрытие характерных одорантов + вкусовой баланс</x:v>
      </x:c>
      <x:c r="G336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водная пектиновая; антоцианы влияют на цвет, но не являются главными одорантами.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336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336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36" s="28" t="str">
        <x:v>сорбет, салат, джем, кордиал, лимонад, коктейль или фруктовый соус</x:v>
      </x:c>
      <x:c r="K336" s="28" t="str">
        <x:v>Средняя</x:v>
      </x:c>
      <x:c r="L336" s="28" t="str">
        <x:v>The Art &amp; Science of Foodpairing.pdf</x:v>
      </x:c>
      <x:c r="M336" s="28" t="str">
        <x:v>The Art &amp; Science of Foodpairing.pdf: The Art &amp; Science of Foodpairing: 205 | The Art &amp; Science of Foodpairing.pdf: 205</x:v>
      </x:c>
    </x:row>
    <x:row r="337" ht="64" customHeight="1">
      <x:c r="A337" s="28" t="str">
        <x:v>STN-0446</x:v>
      </x:c>
      <x:c r="B337" s="28" t="str">
        <x:v>уме</x:v>
      </x:c>
      <x:c r="C337" s="28" t="str">
        <x:v>уме</x:v>
      </x:c>
      <x:c r="D337" s="28" t="str">
        <x:v>грейпфрут</x:v>
      </x:c>
      <x:c r="E337" s="28" t="str">
        <x:v>Цитрусовые</x:v>
      </x:c>
      <x:c r="F337" s="28" t="str">
        <x:v>прямое или классовое перекрытие характерных одорантов + вкусовой баланс</x:v>
      </x:c>
      <x:c r="G337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Грейпфрут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сок водный и кислый, цедра содержит гидрофобные эфирные масла.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37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37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37" s="28" t="str">
        <x:v>сорбет, салат, джем, кордиал, лимонад, коктейль или фруктовый соус</x:v>
      </x:c>
      <x:c r="K337" s="28" t="str">
        <x:v>Средняя</x:v>
      </x:c>
      <x:c r="L337" s="28" t="str">
        <x:v>The Art &amp; Science of Foodpairing.pdf</x:v>
      </x:c>
      <x:c r="M337" s="28" t="str">
        <x:v>The Art &amp; Science of Foodpairing.pdf: 359</x:v>
      </x:c>
    </x:row>
    <x:row r="338" ht="64" customHeight="1">
      <x:c r="A338" s="28" t="str">
        <x:v>STN-0448</x:v>
      </x:c>
      <x:c r="B338" s="28" t="str">
        <x:v>уме</x:v>
      </x:c>
      <x:c r="C338" s="28" t="str">
        <x:v>уме</x:v>
      </x:c>
      <x:c r="D338" s="28" t="str">
        <x:v>клубника</x:v>
      </x:c>
      <x:c r="E338" s="28" t="str">
        <x:v>Ягоды</x:v>
      </x:c>
      <x:c r="F338" s="28" t="str">
        <x:v>прямое или классовое перекрытие характерных одорантов + вкусовой баланс</x:v>
      </x:c>
      <x:c r="G338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водная пектиновая; антоцианы влияют на цвет, но не являются главными одорантами.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338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338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38" s="28" t="str">
        <x:v>сорбет, салат, джем, кордиал, лимонад, коктейль или фруктовый соус</x:v>
      </x:c>
      <x:c r="K338" s="28" t="str">
        <x:v>Средняя</x:v>
      </x:c>
      <x:c r="L338" s="28" t="str">
        <x:v>The Art &amp; Science of Foodpairing.pdf</x:v>
      </x:c>
      <x:c r="M338" s="28" t="str">
        <x:v>The Art &amp; Science of Foodpairing.pdf: The Art &amp; Science of Foodpairing: 71 | The Art &amp; Science of Foodpairing.pdf: 71</x:v>
      </x:c>
    </x:row>
    <x:row r="339" ht="64" customHeight="1">
      <x:c r="A339" s="28" t="str">
        <x:v>STN-0449</x:v>
      </x:c>
      <x:c r="B339" s="28" t="str">
        <x:v>уме</x:v>
      </x:c>
      <x:c r="C339" s="28" t="str">
        <x:v>уме</x:v>
      </x:c>
      <x:c r="D339" s="28" t="str">
        <x:v>кокос</x:v>
      </x:c>
      <x:c r="E339" s="28" t="str">
        <x:v>Тропические фрукты и жирные матрицы</x:v>
      </x:c>
      <x:c r="F339" s="28" t="str">
        <x:v>комплементарность ароматических семейств, вкусовой контраст и матричный эффект</x:v>
      </x:c>
      <x:c r="G339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По доступным материалам нельзя уверенно свести совместимость к одной общей молекуле. Базовый фрукт даёт: высокая кислотность; у умэбоси — соль и выраженная ферментированная умами-нота.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водная и кислотная; в умэбоси — концентрированная соль и полифенолы. Партнёр: богатая жиром эмульсия; хорошо растворяет гидрофобные терпены, специи и ароматические масла.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339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339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39" s="28" t="str">
        <x:v>напиток, соус, десерт или горячее блюдо после пробной дегустации</x:v>
      </x:c>
      <x:c r="K339" s="28" t="str">
        <x:v>Средняя</x:v>
      </x:c>
      <x:c r="L339" s="28" t="str">
        <x:v>The Art &amp; Science of Foodpairing.pdf</x:v>
      </x:c>
      <x:c r="M339" s="28" t="str">
        <x:v>The Art &amp; Science of Foodpairing.pdf: 134 | The Art &amp; Science of Foodpairing.pdf: 135</x:v>
      </x:c>
    </x:row>
    <x:row r="340" ht="64" customHeight="1">
      <x:c r="A340" s="28" t="str">
        <x:v>STN-0450</x:v>
      </x:c>
      <x:c r="B340" s="28" t="str">
        <x:v>уме</x:v>
      </x:c>
      <x:c r="C340" s="28" t="str">
        <x:v>уме</x:v>
      </x:c>
      <x:c r="D340" s="28" t="str">
        <x:v>лимон</x:v>
      </x:c>
      <x:c r="E340" s="28" t="str">
        <x:v>Цитрусовые</x:v>
      </x:c>
      <x:c r="F340" s="28" t="str">
        <x:v>комплементарность ароматических семейств, вкусовой контраст и матричный эффект</x:v>
      </x:c>
      <x:c r="G340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сок водный и кислый, цедра содержит гидрофобные эфирные масла.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40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40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40" s="28" t="str">
        <x:v>сорбет, салат, джем, кордиал, лимонад, коктейль или фруктовый соус</x:v>
      </x:c>
      <x:c r="K340" s="28" t="str">
        <x:v>Средняя</x:v>
      </x:c>
      <x:c r="L340" s="28" t="str">
        <x:v>The Art &amp; Science of Foodpairing.pdf</x:v>
      </x:c>
      <x:c r="M340" s="28" t="str">
        <x:v>The Art &amp; Science of Foodpairing.pdf: 88</x:v>
      </x:c>
    </x:row>
    <x:row r="341" ht="64" customHeight="1">
      <x:c r="A341" s="28" t="str">
        <x:v>STN-0451</x:v>
      </x:c>
      <x:c r="B341" s="28" t="str">
        <x:v>уме</x:v>
      </x:c>
      <x:c r="C341" s="28" t="str">
        <x:v>уме</x:v>
      </x:c>
      <x:c r="D341" s="28" t="str">
        <x:v>оливковое масло</x:v>
      </x:c>
      <x:c r="E341" s="28" t="str">
        <x:v>Молочные продукты и сыры</x:v>
      </x:c>
      <x:c r="F341" s="28" t="str">
        <x:v>комплементарность ароматических семейств, вкусовой контраст и матричный эффект</x:v>
      </x:c>
      <x:c r="G341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высокая кислотность; у умэбоси — соль и выраженная ферментированная умами-нота. Партнёр добавляет: жирный, кислый/солёный. Баланс корректируется сахаром, кислотой, солью и горечью. Матрица пары: водная и кислотная; в умэбоси — концентрированная соль и полифенолы. Партнёр: жировая и белковая матрица смягчает кислотность.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41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41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41" s="28" t="str">
        <x:v>напиток, соус, десерт или горячее блюдо после пробной дегустации</x:v>
      </x:c>
      <x:c r="K341" s="28" t="str">
        <x:v>Средняя</x:v>
      </x:c>
      <x:c r="L341" s="28" t="str">
        <x:v>The Art &amp; Science of Foodpairing.pdf</x:v>
      </x:c>
      <x:c r="M341" s="28" t="str">
        <x:v>The Art &amp; Science of Foodpairing.pdf: 173</x:v>
      </x:c>
    </x:row>
    <x:row r="342" ht="64" customHeight="1">
      <x:c r="A342" s="28" t="str">
        <x:v>STN-0452</x:v>
      </x:c>
      <x:c r="B342" s="28" t="str">
        <x:v>уме</x:v>
      </x:c>
      <x:c r="C342" s="28" t="str">
        <x:v>уме</x:v>
      </x:c>
      <x:c r="D342" s="28" t="str">
        <x:v>отварная морковь</x:v>
      </x:c>
      <x:c r="E342" s="28" t="str">
        <x:v>Овощи</x:v>
      </x:c>
      <x:c r="F342" s="28" t="str">
        <x:v>прямое или классовое перекрытие характерных одорантов + вкусовой баланс</x:v>
      </x:c>
      <x:c r="G342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Отварная морковь относится к группе «Овощи» и даёт профиль «зелёный, землистый, растительный, иногда сернистый»; типичные соединения или классы: C6-альдегиды, метоксипиразины, геосмин (землистые), сернистые соединения. В рабочих профилях пересекаются: c6-альдегиды. Общие ароматические направления: зелёный. Базовый фрукт даёт: высокая кислотность; у умэбоси — соль и выраженная ферментированная умами-нота. Партнёр добавляет: сладковатый, горьковатый, умами. Баланс корректируется сахаром, кислотой, солью и горечью. Матрица пары: водная и кислотная; в умэбоси — концентрированная соль и полифенолы. Партнёр: водная/крахмальная матрица; масло помогает распределить цедру.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H342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I342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42" s="28" t="str">
        <x:v>напиток, соус, десерт или горячее блюдо после пробной дегустации</x:v>
      </x:c>
      <x:c r="K342" s="28" t="str">
        <x:v>Средняя</x:v>
      </x:c>
      <x:c r="L342" s="28" t="str">
        <x:v>The Art &amp; Science of Foodpairing.pdf</x:v>
      </x:c>
      <x:c r="M342" s="28" t="str">
        <x:v>The Art &amp; Science of Foodpairing.pdf: 232</x:v>
      </x:c>
    </x:row>
    <x:row r="343" ht="64" customHeight="1">
      <x:c r="A343" s="28" t="str">
        <x:v>STN-0455</x:v>
      </x:c>
      <x:c r="B343" s="28" t="str">
        <x:v>уме</x:v>
      </x:c>
      <x:c r="C343" s="28" t="str">
        <x:v>уме</x:v>
      </x:c>
      <x:c r="D343" s="28" t="str">
        <x:v>фундук</x:v>
      </x:c>
      <x:c r="E343" s="28" t="str">
        <x:v>Орехи и семена</x:v>
      </x:c>
      <x:c r="F343" s="28" t="str">
        <x:v>комплементарность ароматических семейств, вкусовой контраст и матричный эффект</x:v>
      </x:c>
      <x:c r="G343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Фундук относится к группе «Орехи и семена» и даёт профиль «жареный ореховый и маслянистый»; типичные соединения или классы: филбертон, пиразины. По доступным материалам нельзя уверенно свести совместимость к одной общей молекуле. Жирность и жареная горечь ореха округляют кислотность фрукта; миндально-косточковый оттенок создаёт особенно связный профиль. Матрица пары: водная и кислотная; в умэбоси — концентрированная соль и полифенолы. Ореховый жир удерживает лактоны и смягчает кислотность; обжарка добавляет пиразины.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H343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обжарка формирует пиразины и продукты Майяра; прогоркание создаёт картонные и мыльные ноты.</x:v>
      </x:c>
      <x:c r="I343" s="28" t="str">
        <x:v>легко пересолить или сделать кислоту агрессивной; дозировать как приправу. Сильная обжарка и прогорклый жир перекрывают цветочный профиль.</x:v>
      </x:c>
      <x:c r="J343" s="28" t="str">
        <x:v>тарт, крем, мороженое, выпечка, сырная подача или начинка</x:v>
      </x:c>
      <x:c r="K343" s="28" t="str">
        <x:v>Средняя</x:v>
      </x:c>
      <x:c r="L343" s="28" t="str">
        <x:v>The Art &amp; Science of Foodpairing.pdf</x:v>
      </x:c>
      <x:c r="M343" s="28" t="str">
        <x:v>The Art &amp; Science of Foodpairing.pdf: 333</x:v>
      </x:c>
    </x:row>
    <x:row r="344" ht="64" customHeight="1">
      <x:c r="A344" s="28" t="str">
        <x:v>STN-0456</x:v>
      </x:c>
      <x:c r="B344" s="28" t="str">
        <x:v>уме</x:v>
      </x:c>
      <x:c r="C344" s="28" t="str">
        <x:v>уме</x:v>
      </x:c>
      <x:c r="D344" s="28" t="str">
        <x:v>цветы жасмина</x:v>
      </x:c>
      <x:c r="E344" s="28" t="str">
        <x:v>Травы и цветы</x:v>
      </x:c>
      <x:c r="F344" s="28" t="str">
        <x:v>прямое или классовое перекрытие характерных одорантов + вкусовой баланс</x:v>
      </x:c>
      <x:c r="G344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Цветы жасмина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цветочный, зелёный. Базовый фрукт даёт: высокая кислотность; у умэбоси — соль и выраженная ферментированная умами-нота. Партнёр добавляет: горьковатый, свежий. Баланс корректируется сахаром, кислотой, солью и горечью. Матрица пары: водная и кислотная; в умэбоси — концентрированная соль и полифенолы. Партнёр: летучие масла чувствительны к нагреву.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44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44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44" s="28" t="str">
        <x:v>напиток, соус, десерт или горячее блюдо после пробной дегустации</x:v>
      </x:c>
      <x:c r="K344" s="28" t="str">
        <x:v>Средняя</x:v>
      </x:c>
      <x:c r="L344" s="28" t="str">
        <x:v>The Art &amp; Science of Foodpairing.pdf</x:v>
      </x:c>
      <x:c r="M344" s="28" t="str">
        <x:v>The Art &amp; Science of Foodpairing.pdf: 211</x:v>
      </x:c>
    </x:row>
    <x:row r="345" ht="64" customHeight="1">
      <x:c r="A345" s="28" t="str">
        <x:v>STN-0458</x:v>
      </x:c>
      <x:c r="B345" s="28" t="str">
        <x:v>плюмкот</x:v>
      </x:c>
      <x:c r="C345" s="28" t="str">
        <x:v>плюмкот</x:v>
      </x:c>
      <x:c r="D345" s="28" t="str">
        <x:v>белый перец</x:v>
      </x:c>
      <x:c r="E345" s="28" t="str">
        <x:v>Специи и острые компоненты</x:v>
      </x:c>
      <x:c r="F345" s="28" t="str">
        <x:v>комплементарность ароматических семейств, вкусовой контраст и матричный эффект</x:v>
      </x:c>
      <x:c r="G345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Белый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пектиновая; сочетает поведение сливы и абрикоса. Партнёр: гидрофобные молекулы хорошо переходят в жир и этанол. Обработка: нагрев усиливает джемовые ноты; холодная обработка лучше сохраняет цветочность. Краткая инфузия сохраняет детализацию; длительный нагрев и настаивание повышают горечь и остроту.</x:v>
      </x:c>
      <x:c r="H345" s="28" t="str">
        <x:v>нагрев усиливает джемовые ноты; холодная обработка лучше сохраняет цветочность. Краткая инфузия сохраняет детализацию; длительный нагрев и настаивание повышают горечь и остроту.</x:v>
      </x:c>
      <x:c r="I345" s="28" t="str">
        <x:v>сортовая вариативность очень высокая; рецептуру нужно настраивать по партии. Специя легко доминирует; начинайте с низкой дозировки и учитывайте рост остроты после выдержки.</x:v>
      </x:c>
      <x:c r="J345" s="28" t="str">
        <x:v>напиток, соус, десерт или горячее блюдо после пробной дегустации</x:v>
      </x:c>
      <x:c r="K345" s="28" t="str">
        <x:v>Средняя</x:v>
      </x:c>
      <x:c r="L345" s="28" t="str">
        <x:v>The Art &amp; Science of Foodpairing.pdf</x:v>
      </x:c>
      <x:c r="M345" s="28" t="str">
        <x:v>The Art &amp; Science of Foodpairing.pdf: 274</x:v>
      </x:c>
    </x:row>
    <x:row r="346" ht="64" customHeight="1">
      <x:c r="A346" s="28" t="str">
        <x:v>STN-0459</x:v>
      </x:c>
      <x:c r="B346" s="28" t="str">
        <x:v>плюмкот</x:v>
      </x:c>
      <x:c r="C346" s="28" t="str">
        <x:v>плюмкот</x:v>
      </x:c>
      <x:c r="D346" s="28" t="str">
        <x:v>киви</x:v>
      </x:c>
      <x:c r="E346" s="28" t="str">
        <x:v>Тропические и субтропические фрукты</x:v>
      </x:c>
      <x:c r="F346" s="28" t="str">
        <x:v>прямое или классовое перекрытие характерных одорантов + вкусовой баланс</x:v>
      </x:c>
      <x:c r="G346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Киви относится к группе «Тропические и субтропические фрукты» и даёт профиль «зелёный, травянистый, цитрусовый, фруктовый и слегка морской»; типичные соединения или классы: гексаналь, (E)-2-гексеналь, этилбутират, метилбутират, линалоол; фермент актинидин. В рабочих профилях пересекаются: линалоол. Базовый фрукт даёт: сладость с выраженной фруктовой кислотностью; баланс зависит от сорта. Партнёр добавляет: высокая кислотность, сладость и выраженная свежесть. Баланс корректируется сахаром, кислотой, солью и горечью. Матрица пары: сочная пектиновая; сочетает поведение сливы и абрикоса. Партнёр: водная; содержит протеазу актинидин и кристаллы оксалата кальция.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H346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I346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46" s="28" t="str">
        <x:v>напиток, соус, десерт или горячее блюдо после пробной дегустации</x:v>
      </x:c>
      <x:c r="K346" s="28" t="str">
        <x:v>Средняя</x:v>
      </x:c>
      <x:c r="L346" s="28" t="str">
        <x:v>The Art &amp; Science of Foodpairing.pdf</x:v>
      </x:c>
      <x:c r="M346" s="28" t="str">
        <x:v>The Art &amp; Science of Foodpairing.pdf: 42</x:v>
      </x:c>
    </x:row>
    <x:row r="347" ht="64" customHeight="1">
      <x:c r="A347" s="28" t="str">
        <x:v>STN-0460</x:v>
      </x:c>
      <x:c r="B347" s="28" t="str">
        <x:v>плюмкот</x:v>
      </x:c>
      <x:c r="C347" s="28" t="str">
        <x:v>плюмкот</x:v>
      </x:c>
      <x:c r="D347" s="28" t="str">
        <x:v>красный сладкий перец</x:v>
      </x:c>
      <x:c r="E347" s="28" t="str">
        <x:v>Специи</x:v>
      </x:c>
      <x:c r="F347" s="28" t="str">
        <x:v>комплементарность ароматических семейств, вкусовой контраст и матричный эффект</x:v>
      </x:c>
      <x:c r="G347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Красный сладкий перец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пряный, иногда горький. Баланс корректируется сахаром, кислотой, солью и горечью. Матрица пары: сочная пектиновая; сочетает поведение сливы и абрикоса. Партнёр: эфирные масла хорошо извлекаются спиртом и жиром.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47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47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47" s="28" t="str">
        <x:v>напиток, соус, десерт или горячее блюдо после пробной дегустации</x:v>
      </x:c>
      <x:c r="K347" s="28" t="str">
        <x:v>Средняя</x:v>
      </x:c>
      <x:c r="L347" s="28" t="str">
        <x:v>The Art &amp; Science of Foodpairing.pdf</x:v>
      </x:c>
      <x:c r="M347" s="28" t="str">
        <x:v>The Art &amp; Science of Foodpairing.pdf: 109</x:v>
      </x:c>
    </x:row>
    <x:row r="348" ht="64" customHeight="1">
      <x:c r="A348" s="28" t="str">
        <x:v>STN-0462</x:v>
      </x:c>
      <x:c r="B348" s="28" t="str">
        <x:v>плюмкот</x:v>
      </x:c>
      <x:c r="C348" s="28" t="str">
        <x:v>плюмкот</x:v>
      </x:c>
      <x:c r="D348" s="28" t="str">
        <x:v>паста из твердых сортов пшеницы</x:v>
      </x:c>
      <x:c r="E348" s="28" t="str">
        <x:v>Злаки и выпечка</x:v>
      </x:c>
      <x:c r="F348" s="28" t="str">
        <x:v>комплементарность ароматических семейств, вкусовой контраст и матричный эффект</x:v>
      </x:c>
      <x:c r="G348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Паста из твердых сортов пшеницы относится к группе «Злаки и выпечка» и даёт профиль «хлебный, зерновой, жареный, сливочный»; типичные соединения или классы: пиразины, фураны, мальтол, продукты Майяра.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крахмал, сладость и соль. Баланс корректируется сахаром, кислотой, солью и горечью. Матрица пары: сочная пектиновая; сочетает поведение сливы и абрикоса. Партнёр: крахмальная матрица приглушает кислоту и распределяет аромат.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H348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I348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48" s="28" t="str">
        <x:v>тарт, крем, мороженое, выпечка, сырная подача или начинка</x:v>
      </x:c>
      <x:c r="K348" s="28" t="str">
        <x:v>Средняя</x:v>
      </x:c>
      <x:c r="L348" s="28" t="str">
        <x:v>The Art &amp; Science of Foodpairing.pdf</x:v>
      </x:c>
      <x:c r="M348" s="28" t="str">
        <x:v>The Art &amp; Science of Foodpairing.pdf: 324</x:v>
      </x:c>
    </x:row>
    <x:row r="349" ht="64" customHeight="1">
      <x:c r="A349" s="28" t="str">
        <x:v>STN-0463</x:v>
      </x:c>
      <x:c r="B349" s="28" t="str">
        <x:v>плюмкот</x:v>
      </x:c>
      <x:c r="C349" s="28" t="str">
        <x:v>плюмкот</x:v>
      </x:c>
      <x:c r="D349" s="28" t="str">
        <x:v>свиная корейка</x:v>
      </x:c>
      <x:c r="E349" s="28" t="str">
        <x:v>Прочее</x:v>
      </x:c>
      <x:c r="F349" s="28" t="str">
        <x:v>комплементарность ароматических семейств, вкусовой контраст и матричный эффект</x:v>
      </x:c>
      <x:c r="G349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баланс зависит от продукта. Баланс корректируется сахаром, кислотой, солью и горечью. Матрица пары: сочная пектиновая; сочетает поведение сливы и абрикоса. Партнёр: матрица зависит от формы продукта.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H349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I349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49" s="28" t="str">
        <x:v>напиток, соус, десерт или горячее блюдо после пробной дегустации</x:v>
      </x:c>
      <x:c r="K349" s="28" t="str">
        <x:v>Средняя</x:v>
      </x:c>
      <x:c r="L349" s="28" t="str">
        <x:v>The Art &amp; Science of Foodpairing.pdf</x:v>
      </x:c>
      <x:c r="M349" s="28" t="str">
        <x:v>The Art &amp; Science of Foodpairing.pdf: 187</x:v>
      </x:c>
    </x:row>
    <x:row r="350" ht="64" customHeight="1">
      <x:c r="A350" s="28" t="str">
        <x:v>STN-0464</x:v>
      </x:c>
      <x:c r="B350" s="28" t="str">
        <x:v>плюмкот</x:v>
      </x:c>
      <x:c r="C350" s="28" t="str">
        <x:v>плюмкот</x:v>
      </x:c>
      <x:c r="D350" s="28" t="str">
        <x:v>цветы жасмина</x:v>
      </x:c>
      <x:c r="E350" s="28" t="str">
        <x:v>Травы и цветы</x:v>
      </x:c>
      <x:c r="F350" s="28" t="str">
        <x:v>прямое или классовое перекрытие характерных одорантов + вкусовой баланс</x:v>
      </x:c>
      <x:c r="G350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Цветы жасмина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цветочный. Базовый фрукт даёт: сладость с выраженной фруктовой кислотностью; баланс зависит от сорта. Партнёр добавляет: горьковатый, свежий. Баланс корректируется сахаром, кислотой, солью и горечью. Матрица пары: сочная пектиновая; сочетает поведение сливы и абрикоса. Партнёр: летучие масла чувствительны к нагреву.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50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50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50" s="28" t="str">
        <x:v>напиток, соус, десерт или горячее блюдо после пробной дегустации</x:v>
      </x:c>
      <x:c r="K350" s="28" t="str">
        <x:v>Средняя</x:v>
      </x:c>
      <x:c r="L350" s="28" t="str">
        <x:v>The Art &amp; Science of Foodpairing.pdf</x:v>
      </x:c>
      <x:c r="M350" s="28" t="str">
        <x:v>The Art &amp; Science of Foodpairing.pdf: 211</x:v>
      </x:c>
    </x:row>
    <x:row r="351" ht="64" customHeight="1">
      <x:c r="A351" s="28" t="str">
        <x:v>STN-0466</x:v>
      </x:c>
      <x:c r="B351" s="28" t="str">
        <x:v>плюмкот</x:v>
      </x:c>
      <x:c r="C351" s="28" t="str">
        <x:v>плюмкот</x:v>
      </x:c>
      <x:c r="D351" s="28" t="str">
        <x:v>шиитаке</x:v>
      </x:c>
      <x:c r="E351" s="28" t="str">
        <x:v>Прочее</x:v>
      </x:c>
      <x:c r="F351" s="28" t="str">
        <x:v>комплементарность ароматических семейств, вкусовой контраст и матричный эффект</x:v>
      </x:c>
      <x:c r="G351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Шиитаке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зависит от ингредиента. Баланс корректируется сахаром, кислотой, солью и горечью. Матрица пары: сочная пектиновая; сочетает поведение сливы и абрикоса. Партнёр: механизм зависит от конкретного продукта.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51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51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51" s="28" t="str">
        <x:v>напиток, соус, десерт или горячее блюдо после пробной дегустации</x:v>
      </x:c>
      <x:c r="K351" s="28" t="str">
        <x:v>Средняя</x:v>
      </x:c>
      <x:c r="L351" s="28" t="str">
        <x:v>The Art &amp; Science of Foodpairing.pdf</x:v>
      </x:c>
      <x:c r="M351" s="28" t="str">
        <x:v>The Art &amp; Science of Foodpairing.pdf: 127</x:v>
      </x:c>
    </x:row>
  </x:sheetData>
  <x:conditionalFormatting sqref="K2:K351">
    <x:cfRule type="expression" dxfId="9" priority="1">
      <x:formula>K2="Высокая"</x:formula>
    </x:cfRule>
    <x:cfRule type="expression" dxfId="10" priority="2">
      <x:formula>K2="Средняя"</x:formula>
    </x:cfRule>
    <x:cfRule type="expression" dxfId="11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d2cfd6a4a4429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5" hidden="0" customWidth="1"/>
    <x:col min="4" max="4" width="30" hidden="0" customWidth="1"/>
    <x:col min="5" max="5" width="26" hidden="0" customWidth="1"/>
    <x:col min="6" max="6" width="36" hidden="0" customWidth="1"/>
    <x:col min="7" max="7" width="66" hidden="0" customWidth="1"/>
    <x:col min="8" max="8" width="52" hidden="0" customWidth="1"/>
    <x:col min="9" max="9" width="52" hidden="0" customWidth="1"/>
    <x:col min="10" max="10" width="46" hidden="0" customWidth="1"/>
    <x:col min="11" max="11" width="22" hidden="0" customWidth="1"/>
    <x:col min="12" max="12" width="39" hidden="0" customWidth="1"/>
    <x:col min="13" max="13" width="46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Ингредиент 1</x:v>
      </x:c>
      <x:c r="D1" s="20" t="str">
        <x:v>Партнёр</x:v>
      </x:c>
      <x:c r="E1" s="20" t="str">
        <x:v>Группа партнёра</x:v>
      </x:c>
      <x:c r="F1" s="20" t="str">
        <x:v>Тип механизма</x:v>
      </x:c>
      <x:c r="G1" s="20" t="str">
        <x:v>Подробное научное объяснение</x:v>
      </x:c>
      <x:c r="H1" s="20" t="str">
        <x:v>Обработка</x:v>
      </x:c>
      <x:c r="I1" s="20" t="str">
        <x:v>Критические точки</x:v>
      </x:c>
      <x:c r="J1" s="20" t="str">
        <x:v>Практическое применение</x:v>
      </x:c>
      <x:c r="K1" s="20" t="str">
        <x:v>Уверенность</x:v>
      </x:c>
      <x:c r="L1" s="20" t="str">
        <x:v>Источники</x:v>
      </x:c>
      <x:c r="M1" s="20" t="str">
        <x:v>Страницы</x:v>
      </x:c>
    </x:row>
    <x:row r="2" ht="64" customHeight="1">
      <x:c r="A2" s="28" t="str">
        <x:v>STN-0001</x:v>
      </x:c>
      <x:c r="B2" s="28" t="str">
        <x:v>абрикос</x:v>
      </x:c>
      <x:c r="C2" s="28" t="str">
        <x:v>абрикос</x:v>
      </x:c>
      <x:c r="D2" s="28" t="str">
        <x:v>ананас</x:v>
      </x:c>
      <x:c r="E2" s="28" t="str">
        <x:v>Тропические фрукты</x:v>
      </x:c>
      <x:c r="F2" s="28" t="str">
        <x:v>комплементарность ароматических семейств, вкусовой контраст и матричный эффект</x:v>
      </x:c>
      <x:c r="G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Ананас относится к группе «Тропические фрукты» и даёт профиль «яркий фруктовый, конфетный, цитрусовый, зелёный и слегка сернистый»; типичные соединения или классы: метилгексаноат, этилгексаноат, этилбутират, метил-3-(метилтио)пропионат и другие сернистые следы.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 и кислотность; лёгкая терпкость сердцевины.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и кислая; содержит протеазу бромелайн, разрушающую белки.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H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I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" s="28" t="str">
        <x:v>напиток, соус, десерт или горячее блюдо после пробной дегустации</x:v>
      </x:c>
      <x:c r="K2" s="28" t="str">
        <x:v>Гипотеза / практическая</x:v>
      </x:c>
      <x:c r="L2" s="28" t="str">
        <x:v>Таблица сочетания(1).pdf</x:v>
      </x:c>
      <x:c r="M2" s="28" t="str">
        <x:v>Таблица сочетания(1).pdf: Таблица сочетаний: 1, 17 | Таблица сочетания(1).pdf: 1 | Таблица сочетания(1).pdf: 17</x:v>
      </x:c>
    </x:row>
    <x:row r="3" ht="64" customHeight="1">
      <x:c r="A3" s="28" t="str">
        <x:v>STN-0002</x:v>
      </x:c>
      <x:c r="B3" s="28" t="str">
        <x:v>абрикос</x:v>
      </x:c>
      <x:c r="C3" s="28" t="str">
        <x:v>абрикос</x:v>
      </x:c>
      <x:c r="D3" s="28" t="str">
        <x:v>апельсин</x:v>
      </x:c>
      <x:c r="E3" s="28" t="str">
        <x:v>Цитрусовые</x:v>
      </x:c>
      <x:c r="F3" s="28" t="str">
        <x:v>прямое или классовое перекрытие характерных одорантов + вкусовой баланс</x:v>
      </x:c>
      <x:c r="G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сок водный и кислый, цедра содержит гидрофобные эфирные масла.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" s="28" t="str">
        <x:v>сорбет, салат, джем, кордиал, лимонад, коктейль или фруктовый соус</x:v>
      </x:c>
      <x:c r="K3" s="28" t="str">
        <x:v>Высокая</x:v>
      </x:c>
      <x:c r="L3" s="28" t="str">
        <x:v>The Art &amp; Science of Foodpairing.pdf | Таблица сочетания(1).pdf | Тезариус вкусов (Ники Сегнит)(1).pdf</x:v>
      </x:c>
      <x:c r="M3" s="28" t="str">
        <x:v>Таблица сочетания(1).pdf: Таблица сочетания(1).pdf: 1, 14 | Тезариус вкусов (Ники Сегнит)(1).pdf: 741, 772 | Тезариус вкусов (Ники Сегнит)(1).pdf: Таблица сочетания(1).pdf: 1, 14 | Тезариус вкусов (Ники Сегнит)(1).pdf: 741, 772 | Таблица сочетания(1).pdf: 1 | Таблица сочетания(1).pdf: 14 | Тезариус вкусов (Ники Сегнит)(1).pdf: 741 | Тезариус вкусов (Ники Сегнит)(1).pdf: 772 | The Art &amp; Science of Foodpairing.pdf: 236</x:v>
      </x:c>
    </x:row>
    <x:row r="4" ht="64" customHeight="1">
      <x:c r="A4" s="28" t="str">
        <x:v>STN-0003</x:v>
      </x:c>
      <x:c r="B4" s="28" t="str">
        <x:v>абрикос</x:v>
      </x:c>
      <x:c r="C4" s="28" t="str">
        <x:v>абрикос</x:v>
      </x:c>
      <x:c r="D4" s="28" t="str">
        <x:v>арбуз</x:v>
      </x:c>
      <x:c r="E4" s="28" t="str">
        <x:v>Бахчевые</x:v>
      </x:c>
      <x:c r="F4" s="28" t="str">
        <x:v>комплементарность ароматических семейств, вкусовой контраст и матричный эффект</x:v>
      </x:c>
      <x:c r="G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Арбуз относится к группе «Бахчевые» и даёт профиль «водянистый, зелёный, огуречный, свежий и слегка фруктовый»; типичные соединения или классы: (Z)-3-ноненаль, (E,Z)-2,6-нонадиеналь, гексаналь и другие C6/C9-альдегиды.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умеренная сладость и очень низкая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более чем на 90% водная; аромат легко разбавляется и плохо переносит долгий нагрев.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избыток водянистых партнёров делает сочетание пустым; сильные ароматы быстро подавляют арбуз.</x:v>
      </x:c>
      <x:c r="H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избыток водянистых партнёров делает сочетание пустым; сильные ароматы быстро подавляют арбуз.</x:v>
      </x:c>
      <x:c r="I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" s="28" t="str">
        <x:v>напиток, соус, десерт или горячее блюдо после пробной дегустации</x:v>
      </x:c>
      <x:c r="K4" s="28" t="str">
        <x:v>Средняя</x:v>
      </x:c>
      <x:c r="L4" s="28" t="str">
        <x:v>The Art &amp; Science of Foodpairing.pdf</x:v>
      </x:c>
      <x:c r="M4" s="28" t="str">
        <x:v>The Art &amp; Science of Foodpairing.pdf: The Art &amp; Science of Foodpairing: 78 | The Art &amp; Science of Foodpairing.pdf: 78</x:v>
      </x:c>
    </x:row>
    <x:row r="5" ht="64" customHeight="1">
      <x:c r="A5" s="28" t="str">
        <x:v>STN-0004</x:v>
      </x:c>
      <x:c r="B5" s="28" t="str">
        <x:v>абрикос</x:v>
      </x:c>
      <x:c r="C5" s="28" t="str">
        <x:v>абрикос</x:v>
      </x:c>
      <x:c r="D5" s="28" t="str">
        <x:v>артишок</x:v>
      </x:c>
      <x:c r="E5" s="28" t="str">
        <x:v>Овощи и грибы</x:v>
      </x:c>
      <x:c r="F5" s="28" t="str">
        <x:v>комплементарность ароматических семейств, вкусовой контраст и матричный эффект</x:v>
      </x:c>
      <x:c r="G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Артишок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растительный, иногда умами.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высокая доля воды; нагрев меняет зелёный профиль.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" s="28" t="str">
        <x:v>напиток, соус, десерт или горячее блюдо после пробной дегустации</x:v>
      </x:c>
      <x:c r="K5" s="28" t="str">
        <x:v>Средняя</x:v>
      </x:c>
      <x:c r="L5" s="28" t="str">
        <x:v>The Art &amp; Science of Foodpairing.pdf</x:v>
      </x:c>
      <x:c r="M5" s="28" t="str">
        <x:v>The Art &amp; Science of Foodpairing.pdf: 329</x:v>
      </x:c>
    </x:row>
    <x:row r="6" ht="64" customHeight="1">
      <x:c r="A6" s="28" t="str">
        <x:v>STN-0005</x:v>
      </x:c>
      <x:c r="B6" s="28" t="str">
        <x:v>абрикос</x:v>
      </x:c>
      <x:c r="C6" s="28" t="str">
        <x:v>абрикос</x:v>
      </x:c>
      <x:c r="D6" s="28" t="str">
        <x:v>базилик</x:v>
      </x:c>
      <x:c r="E6" s="28" t="str">
        <x:v>Травы и цветы</x:v>
      </x:c>
      <x:c r="F6" s="28" t="str">
        <x:v>прямое или классовое перекрытие характерных одорантов + вкусовой баланс</x:v>
      </x:c>
      <x:c r="G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В рабочих профилях пересекаются: линалоол.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" s="28" t="str">
        <x:v>напиток, соус, десерт или горячее блюдо после пробной дегустации</x:v>
      </x:c>
      <x:c r="K6" s="28" t="str">
        <x:v>Средняя</x:v>
      </x:c>
      <x:c r="L6" s="28" t="str">
        <x:v>The Art &amp; Science of Foodpairing.pdf</x:v>
      </x:c>
      <x:c r="M6" s="28" t="str">
        <x:v>The Art &amp; Science of Foodpairing.pdf: 206</x:v>
      </x:c>
    </x:row>
    <x:row r="7" ht="64" customHeight="1">
      <x:c r="A7" s="28" t="str">
        <x:v>STN-0006</x:v>
      </x:c>
      <x:c r="B7" s="28" t="str">
        <x:v>абрикос</x:v>
      </x:c>
      <x:c r="C7" s="28" t="str">
        <x:v>абрикос</x:v>
      </x:c>
      <x:c r="D7" s="28" t="str">
        <x:v>банан</x:v>
      </x:c>
      <x:c r="E7" s="28" t="str">
        <x:v>Тропические фрукты</x:v>
      </x:c>
      <x:c r="F7" s="28" t="str">
        <x:v>комплементарность ароматических семейств, вкусовой контраст и матричный эффект</x:v>
      </x:c>
      <x:c r="G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Банан относится к группе «Тропические фрукты» и даёт профиль «сладкий фруктовый, сливочный, цветочный; у зрелого плода — конфетный и пряный»; типичные соединения или классы: изоамилацетат, изобутилацетат, бутилацетат, этилбутират, эвгенол и другие фенольные следы. По доступным материалам нельзя уверенно свести совместимость к одной общей молекуле. Общие ароматические направления: цветочный,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низкая кислотность, крахмалистость у незрелого плода.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мягкая крахмально-пектиновая; низкая кислотность и высокая вязкость приглушают летучесть.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перезрелый банан доминирует и быстро окисляется; без кислоты или горечи сочетание может быть плоским.</x:v>
      </x:c>
      <x:c r="H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перезрелый банан доминирует и быстро окисляется; без кислоты или горечи сочетание может быть плоским.</x:v>
      </x:c>
      <x:c r="I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7" s="28" t="str">
        <x:v>напиток, соус, десерт или горячее блюдо после пробной дегустации</x:v>
      </x:c>
      <x:c r="K7" s="28" t="str">
        <x:v>Гипотеза / практическая</x:v>
      </x:c>
      <x:c r="L7" s="28" t="str">
        <x:v>Таблица сочетания(1).pdf</x:v>
      </x:c>
      <x:c r="M7" s="28" t="str">
        <x:v>Таблица сочетания(1).pdf: Таблица сочетаний: 2 | Таблица сочетания(1).pdf: 2</x:v>
      </x:c>
    </x:row>
    <x:row r="8" ht="64" customHeight="1">
      <x:c r="A8" s="28" t="str">
        <x:v>STN-0007</x:v>
      </x:c>
      <x:c r="B8" s="28" t="str">
        <x:v>абрикос</x:v>
      </x:c>
      <x:c r="C8" s="28" t="str">
        <x:v>абрикос</x:v>
      </x:c>
      <x:c r="D8" s="28" t="str">
        <x:v>баранина</x:v>
      </x:c>
      <x:c r="E8" s="28" t="str">
        <x:v>Мясо и птица</x:v>
      </x:c>
      <x:c r="F8" s="28" t="str">
        <x:v>комплементарность ароматических семейств, вкусовой контраст и матричный эффект</x:v>
      </x:c>
      <x:c r="G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Баранина относится к группе «Мясо и птица» и даёт профиль «жареный, жирный, сернистый, умами»; типичные соединения или классы: альдегиды, пиразины,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переносит аромат; реакция Майяра создаёт новые одоранты.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H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I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J8" s="28" t="str">
        <x:v>соус, глазировка, чатни, маринад, гарнир или основное блюдо</x:v>
      </x:c>
      <x:c r="K8" s="28" t="str">
        <x:v>Средняя</x:v>
      </x:c>
      <x:c r="L8" s="28" t="str">
        <x:v>Тезариус вкусов (Ники Сегнит)(1).pdf</x:v>
      </x:c>
      <x:c r="M8" s="28" t="str">
        <x:v>Тезариус вкусов (Ники Сегнит)(1).pdf: 124 | Тезариус вкусов (Ники Сегнит)(1).pdf: 741</x:v>
      </x:c>
    </x:row>
    <x:row r="9" ht="64" customHeight="1">
      <x:c r="A9" s="28" t="str">
        <x:v>STN-0009</x:v>
      </x:c>
      <x:c r="B9" s="28" t="str">
        <x:v>абрикос</x:v>
      </x:c>
      <x:c r="C9" s="28" t="str">
        <x:v>абрикос</x:v>
      </x:c>
      <x:c r="D9" s="28" t="str">
        <x:v>ваниль</x:v>
      </x:c>
      <x:c r="E9" s="28" t="str">
        <x:v>Специи и острые компоненты</x:v>
      </x:c>
      <x:c r="F9" s="28" t="str">
        <x:v>прямое или классовое перекрытие характерных одорантов + вкусовой баланс</x:v>
      </x:c>
      <x:c r="G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Ваниль относится к группе «Специи и острые компоненты» и даёт профиль «сладкий, сливочный и древесный»; типичные соединения или классы: ванилин, п-гидроксибензальдегид. В рабочих профилях пересекаются: бензальдегид.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9" s="28" t="str">
        <x:v>напиток, соус, десерт или горячее блюдо после пробной дегустации</x:v>
      </x:c>
      <x:c r="K9" s="28" t="str">
        <x:v>Высокая</x:v>
      </x:c>
      <x:c r="L9" s="28" t="str">
        <x:v>Таблица сочетания(1).pdf | Тезариус вкусов (Ники Сегнит)(1).pdf</x:v>
      </x:c>
      <x:c r="M9" s="28" t="str">
        <x:v>Таблица сочетания(1).pdf: 1 | Таблица сочетания(1).pdf: 21 | Тезариус вкусов (Ники Сегнит)(1).pdf: 741 | Тезариус вкусов (Ники Сегнит)(1).pdf: 914</x:v>
      </x:c>
    </x:row>
    <x:row r="10" ht="64" customHeight="1">
      <x:c r="A10" s="28" t="str">
        <x:v>STN-0010</x:v>
      </x:c>
      <x:c r="B10" s="28" t="str">
        <x:v>абрикос</x:v>
      </x:c>
      <x:c r="C10" s="28" t="str">
        <x:v>абрикос</x:v>
      </x:c>
      <x:c r="D10" s="28" t="str">
        <x:v>вареная ветчина</x:v>
      </x:c>
      <x:c r="E10" s="28" t="str">
        <x:v>Мясо и птица</x:v>
      </x:c>
      <x:c r="F10" s="28" t="str">
        <x:v>комплементарность ароматических семейств, вкусовой контраст и матричный эффект</x:v>
      </x:c>
      <x:c r="G1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Вареная ветчина относится к группе «Мясо и птица» и даёт профиль «жареный, мясной, сернистый, жирный»; типичные соединения или классы: пиразины, тиазолы, альдегиды жиров,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удерживает терпеновые масла; кислота снижает ощущение жирности.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H1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I1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J10" s="28" t="str">
        <x:v>соус, глазировка, чатни, маринад, гарнир или основное блюдо</x:v>
      </x:c>
      <x:c r="K10" s="28" t="str">
        <x:v>Средняя</x:v>
      </x:c>
      <x:c r="L10" s="28" t="str">
        <x:v>The Art &amp; Science of Foodpairing.pdf</x:v>
      </x:c>
      <x:c r="M10" s="28" t="str">
        <x:v>The Art &amp; Science of Foodpairing.pdf: 206</x:v>
      </x:c>
    </x:row>
    <x:row r="11" ht="64" customHeight="1">
      <x:c r="A11" s="28" t="str">
        <x:v>STN-0011</x:v>
      </x:c>
      <x:c r="B11" s="28" t="str">
        <x:v>абрикос</x:v>
      </x:c>
      <x:c r="C11" s="28" t="str">
        <x:v>абрикос</x:v>
      </x:c>
      <x:c r="D11" s="28" t="str">
        <x:v>вишня</x:v>
      </x:c>
      <x:c r="E11" s="28" t="str">
        <x:v>Косточковые фрукты</x:v>
      </x:c>
      <x:c r="F11" s="28" t="str">
        <x:v>прямое или классовое перекрытие характерных одорантов + вкусовой баланс</x:v>
      </x:c>
      <x:c r="G1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линалоол, эфиры. Общие ароматические направления: цветочный, фруктовый, лактонный, миндальный.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умеренная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пектиновая; кожица и косточка могут давать терпкость и миндальные ноты.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1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1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1" s="28" t="str">
        <x:v>напиток, соус, десерт или горячее блюдо после пробной дегустации</x:v>
      </x:c>
      <x:c r="K11" s="28" t="str">
        <x:v>Гипотеза / практическая</x:v>
      </x:c>
      <x:c r="L11" s="28" t="str">
        <x:v>Таблица сочетания(1).pdf</x:v>
      </x:c>
      <x:c r="M11" s="28" t="str">
        <x:v>Таблица сочетания(1).pdf: Таблица сочетаний: 1, 4 | Таблица сочетания(1).pdf: 1 | Таблица сочетания(1).pdf: 4</x:v>
      </x:c>
    </x:row>
    <x:row r="12" ht="64" customHeight="1">
      <x:c r="A12" s="28" t="str">
        <x:v>STN-0012</x:v>
      </x:c>
      <x:c r="B12" s="28" t="str">
        <x:v>абрикос</x:v>
      </x:c>
      <x:c r="C12" s="28" t="str">
        <x:v>абрикос</x:v>
      </x:c>
      <x:c r="D12" s="28" t="str">
        <x:v>голубика</x:v>
      </x:c>
      <x:c r="E12" s="28" t="str">
        <x:v>Ягоды</x:v>
      </x:c>
      <x:c r="F12" s="28" t="str">
        <x:v>прямое или классовое перекрытие характерных одорантов + вкусовой баланс</x:v>
      </x:c>
      <x:c r="G1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ионон,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водная пектиновая; антоцианы влияют на цвет, но не являются главными одорантами.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2" s="28" t="str">
        <x:v>сорбет, салат, джем, кордиал, лимонад, коктейль или фруктовый соус</x:v>
      </x:c>
      <x:c r="K12" s="28" t="str">
        <x:v>Высокая</x:v>
      </x:c>
      <x:c r="L12" s="28" t="str">
        <x:v>The Art &amp; Science of Foodpairing.pdf | Таблица сочетания(1).pdf</x:v>
      </x:c>
      <x:c r="M12" s="28" t="str">
        <x:v>The Art &amp; Science of Foodpairing.pdf: The Art &amp; Science of Foodpairing: 205; Таблица сочетаний: 3 | Таблица сочетания(1).pdf: 3 | The Art &amp; Science of Foodpairing.pdf: 204 | The Art &amp; Science of Foodpairing.pdf: 205</x:v>
      </x:c>
    </x:row>
    <x:row r="13" ht="64" customHeight="1">
      <x:c r="A13" s="28" t="str">
        <x:v>STN-0014</x:v>
      </x:c>
      <x:c r="B13" s="28" t="str">
        <x:v>абрикос</x:v>
      </x:c>
      <x:c r="C13" s="28" t="str">
        <x:v>абрикос</x:v>
      </x:c>
      <x:c r="D13" s="28" t="str">
        <x:v>грибы</x:v>
      </x:c>
      <x:c r="E13" s="28" t="str">
        <x:v>Овощи и грибы</x:v>
      </x:c>
      <x:c r="F13" s="28" t="str">
        <x:v>комплементарность ароматических семейств, вкусовой контраст и матричный эффект</x:v>
      </x:c>
      <x:c r="G1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Грибы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растительный, иногда умами.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высокая доля воды; нагрев меняет зелёный профиль.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3" s="28" t="str">
        <x:v>напиток, соус, десерт или горячее блюдо после пробной дегустации</x:v>
      </x:c>
      <x:c r="K13" s="28" t="str">
        <x:v>Средняя</x:v>
      </x:c>
      <x:c r="L13" s="28" t="str">
        <x:v>Тезариус вкусов (Ники Сегнит)(1).pdf</x:v>
      </x:c>
      <x:c r="M13" s="28" t="str">
        <x:v>Тезариус вкусов (Ники Сегнит)(1).pdf: 192 | Тезариус вкусов (Ники Сегнит)(1).pdf: 742</x:v>
      </x:c>
    </x:row>
    <x:row r="14" ht="64" customHeight="1">
      <x:c r="A14" s="28" t="str">
        <x:v>STN-0015</x:v>
      </x:c>
      <x:c r="B14" s="28" t="str">
        <x:v>абрикос</x:v>
      </x:c>
      <x:c r="C14" s="28" t="str">
        <x:v>абрикос</x:v>
      </x:c>
      <x:c r="D14" s="28" t="str">
        <x:v>джем из купуасу</x:v>
      </x:c>
      <x:c r="E14" s="28" t="str">
        <x:v>Фрукты</x:v>
      </x:c>
      <x:c r="F14" s="28" t="str">
        <x:v>прямое или классовое перекрытие характерных одорантов + вкусовой баланс</x:v>
      </x:c>
      <x:c r="G1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Джем из купуасу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преимущественно водно-пектиновая матрица.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1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1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14" s="28" t="str">
        <x:v>сорбет, салат, джем, кордиал, лимонад, коктейль или фруктовый соус</x:v>
      </x:c>
      <x:c r="K14" s="28" t="str">
        <x:v>Средняя</x:v>
      </x:c>
      <x:c r="L14" s="28" t="str">
        <x:v>The Art &amp; Science of Foodpairing.pdf</x:v>
      </x:c>
      <x:c r="M14" s="28" t="str">
        <x:v>The Art &amp; Science of Foodpairing.pdf: 206</x:v>
      </x:c>
    </x:row>
    <x:row r="15" ht="64" customHeight="1">
      <x:c r="A15" s="28" t="str">
        <x:v>STN-0016</x:v>
      </x:c>
      <x:c r="B15" s="28" t="str">
        <x:v>абрикос</x:v>
      </x:c>
      <x:c r="C15" s="28" t="str">
        <x:v>абрикос</x:v>
      </x:c>
      <x:c r="D15" s="28" t="str">
        <x:v>доенджан</x:v>
      </x:c>
      <x:c r="E15" s="28" t="str">
        <x:v>Ферментированные продукты, соусы и уксусы</x:v>
      </x:c>
      <x:c r="F15" s="28" t="str">
        <x:v>прямое или классовое перекрытие характерных одорантов + вкусовой баланс</x:v>
      </x:c>
      <x:c r="G1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Доенджан относится к группе «Ферментированные продукты, соусы и уксусы» и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В рабочих профилях пересекаются: эфиры. Кислота, соль и умами усиливают контраст с фруктовой сладостью; сочетание работает в малой дозировке как приправа. Матрица пары: водно-пектиновая мякоть; низкий жир; кожица и косточка могут добавлять терпкость и миндальный оттенок. Партнёр: часто водная и солёная; концентраты требуют малых доз.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H1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I1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Соль и кислота быстро становятся доминирующими; используйте как акцент.</x:v>
      </x:c>
      <x:c r="J15" s="28" t="str">
        <x:v>соус, глазировка, чатни, маринад, гарнир или основное блюдо</x:v>
      </x:c>
      <x:c r="K15" s="28" t="str">
        <x:v>Средняя</x:v>
      </x:c>
      <x:c r="L15" s="28" t="str">
        <x:v>The Art &amp; Science of Foodpairing.pdf</x:v>
      </x:c>
      <x:c r="M15" s="28" t="str">
        <x:v>The Art &amp; Science of Foodpairing.pdf: 246 | The Art &amp; Science of Foodpairing.pdf: 247</x:v>
      </x:c>
    </x:row>
    <x:row r="16" ht="64" customHeight="1">
      <x:c r="A16" s="28" t="str">
        <x:v>STN-0019</x:v>
      </x:c>
      <x:c r="B16" s="28" t="str">
        <x:v>абрикос</x:v>
      </x:c>
      <x:c r="C16" s="28" t="str">
        <x:v>абрикос</x:v>
      </x:c>
      <x:c r="D16" s="28" t="str">
        <x:v>запеченный морской язык</x:v>
      </x:c>
      <x:c r="E16" s="28" t="str">
        <x:v>Рыба и морепродукты</x:v>
      </x:c>
      <x:c r="F16" s="28" t="str">
        <x:v>комплементарность ароматических семейств, вкусовой контраст и матричный эффект</x:v>
      </x:c>
      <x:c r="G1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Запеченный морской язык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 мякоть; низкий жир; кожица и косточка могут добавлять терпкость и миндальный оттенок. Партнёр: водно-белковая матрица; жирная рыба лучше удерживает лактоны.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1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1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сладость и длительный контакт с кислотой могут замаскировать морской вкус и изменить белковую текстуру.</x:v>
      </x:c>
      <x:c r="J16" s="28" t="str">
        <x:v>соус, глазировка, чатни, маринад, гарнир или основное блюдо</x:v>
      </x:c>
      <x:c r="K16" s="28" t="str">
        <x:v>Средняя</x:v>
      </x:c>
      <x:c r="L16" s="28" t="str">
        <x:v>The Art &amp; Science of Foodpairing.pdf</x:v>
      </x:c>
      <x:c r="M16" s="28" t="str">
        <x:v>The Art &amp; Science of Foodpairing.pdf: 104</x:v>
      </x:c>
    </x:row>
    <x:row r="17" ht="64" customHeight="1">
      <x:c r="A17" s="28" t="str">
        <x:v>STN-0020</x:v>
      </x:c>
      <x:c r="B17" s="28" t="str">
        <x:v>абрикос</x:v>
      </x:c>
      <x:c r="C17" s="28" t="str">
        <x:v>абрикос</x:v>
      </x:c>
      <x:c r="D17" s="28" t="str">
        <x:v>зира</x:v>
      </x:c>
      <x:c r="E17" s="28" t="str">
        <x:v>Специи и острые компоненты</x:v>
      </x:c>
      <x:c r="F17" s="28" t="str">
        <x:v>комплементарность ароматических семейств, вкусовой контраст и матричный эффект</x:v>
      </x:c>
      <x:c r="G1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Зира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17" s="28" t="str">
        <x:v>напиток, соус, десерт или горячее блюдо после пробной дегустации</x:v>
      </x:c>
      <x:c r="K17" s="28" t="str">
        <x:v>Высокая</x:v>
      </x:c>
      <x:c r="L17" s="28" t="str">
        <x:v>The Art &amp; Science of Foodpairing.pdf | Тезариус вкусов (Ники Сегнит)(1).pdf</x:v>
      </x:c>
      <x:c r="M17" s="28" t="str">
        <x:v>Тезариус вкусов (Ники Сегнит)(1).pdf: 214 | Тезариус вкусов (Ники Сегнит)(1).pdf: 742 | The Art &amp; Science of Foodpairing.pdf: 228</x:v>
      </x:c>
    </x:row>
    <x:row r="18" ht="64" customHeight="1">
      <x:c r="A18" s="28" t="str">
        <x:v>STN-0021</x:v>
      </x:c>
      <x:c r="B18" s="28" t="str">
        <x:v>абрикос</x:v>
      </x:c>
      <x:c r="C18" s="28" t="str">
        <x:v>абрикос</x:v>
      </x:c>
      <x:c r="D18" s="28" t="str">
        <x:v>икра</x:v>
      </x:c>
      <x:c r="E18" s="28" t="str">
        <x:v>Рыба и морепродукты</x:v>
      </x:c>
      <x:c r="F18" s="28" t="str">
        <x:v>комплементарность ароматических семейств, вкусовой контраст и матричный эффект</x:v>
      </x:c>
      <x:c r="G1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Икра относится к группе «Рыба и морепродукты» и даёт профиль «морской, йодистый, зелёный, жирный»; типичные соединения или классы: альдегиды окисления липидов, бромфенолы, диметилсульфид, умами-соединения.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 мякоть; низкий жир; кожица и косточка могут добавлять терпкость и миндальный оттенок. Партнёр: кислота может денатурировать поверхностные белки; жир рыбы удерживает терпены.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H1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I1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сладость и длительный контакт с кислотой могут замаскировать морской вкус и изменить белковую текстуру.</x:v>
      </x:c>
      <x:c r="J18" s="28" t="str">
        <x:v>соус, глазировка, чатни, маринад, гарнир или основное блюдо</x:v>
      </x:c>
      <x:c r="K18" s="28" t="str">
        <x:v>Средняя</x:v>
      </x:c>
      <x:c r="L18" s="28" t="str">
        <x:v>The Art &amp; Science of Foodpairing.pdf</x:v>
      </x:c>
      <x:c r="M18" s="28" t="str">
        <x:v>The Art &amp; Science of Foodpairing.pdf: 206</x:v>
      </x:c>
    </x:row>
    <x:row r="19" ht="64" customHeight="1">
      <x:c r="A19" s="28" t="str">
        <x:v>STN-0022</x:v>
      </x:c>
      <x:c r="B19" s="28" t="str">
        <x:v>абрикос</x:v>
      </x:c>
      <x:c r="C19" s="28" t="str">
        <x:v>абрикос</x:v>
      </x:c>
      <x:c r="D19" s="28" t="str">
        <x:v>имбирь</x:v>
      </x:c>
      <x:c r="E19" s="28" t="str">
        <x:v>Специи и острые компоненты</x:v>
      </x:c>
      <x:c r="F19" s="28" t="str">
        <x:v>комплементарность ароматических семейств, вкусовой контраст и матричный эффект</x:v>
      </x:c>
      <x:c r="G1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19" s="28" t="str">
        <x:v>напиток, соус, десерт или горячее блюдо после пробной дегустации</x:v>
      </x:c>
      <x:c r="K19" s="28" t="str">
        <x:v>Высокая</x:v>
      </x:c>
      <x:c r="L19" s="28" t="str">
        <x:v>Таблица сочетания(1).pdf | Тезариус вкусов (Ники Сегнит)(1).pdf</x:v>
      </x:c>
      <x:c r="M19" s="28" t="str">
        <x:v>Таблица сочетания(1).pdf: 1 | Таблица сочетания(1).pdf: 8 | Тезариус вкусов (Ники Сегнит)(1).pdf: 742 | Тезариус вкусов (Ники Сегнит)(1).pdf: 812</x:v>
      </x:c>
    </x:row>
    <x:row r="20" ht="64" customHeight="1">
      <x:c r="A20" s="28" t="str">
        <x:v>STN-0023</x:v>
      </x:c>
      <x:c r="B20" s="28" t="str">
        <x:v>абрикос</x:v>
      </x:c>
      <x:c r="C20" s="28" t="str">
        <x:v>абрикос</x:v>
      </x:c>
      <x:c r="D20" s="28" t="str">
        <x:v>испанский чоризо</x:v>
      </x:c>
      <x:c r="E20" s="28" t="str">
        <x:v>Мясо и птица</x:v>
      </x:c>
      <x:c r="F20" s="28" t="str">
        <x:v>комплементарность ароматических семейств, вкусовой контраст и матричный эффект</x:v>
      </x:c>
      <x:c r="G2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Испанский чоризо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удерживает фруктовые лактоны; белок смягчает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H2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I2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J20" s="28" t="str">
        <x:v>соус, глазировка, чатни, маринад, гарнир или основное блюдо</x:v>
      </x:c>
      <x:c r="K20" s="28" t="str">
        <x:v>Средняя</x:v>
      </x:c>
      <x:c r="L20" s="28" t="str">
        <x:v>The Art &amp; Science of Foodpairing.pdf</x:v>
      </x:c>
      <x:c r="M20" s="28" t="str">
        <x:v>The Art &amp; Science of Foodpairing.pdf: 289</x:v>
      </x:c>
    </x:row>
    <x:row r="21" ht="64" customHeight="1">
      <x:c r="A21" s="28" t="str">
        <x:v>STN-0024</x:v>
      </x:c>
      <x:c r="B21" s="28" t="str">
        <x:v>абрикос</x:v>
      </x:c>
      <x:c r="C21" s="28" t="str">
        <x:v>абрикос</x:v>
      </x:c>
      <x:c r="D21" s="28" t="str">
        <x:v>карамель</x:v>
      </x:c>
      <x:c r="E21" s="28" t="str">
        <x:v>Сахара, мёд и кондитерские основы</x:v>
      </x:c>
      <x:c r="F21" s="28" t="str">
        <x:v>комплементарность ароматических семейств, вкусовой контраст и матричный эффект</x:v>
      </x:c>
      <x:c r="G2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1" s="28" t="str">
        <x:v>напиток, соус, десерт или горячее блюдо после пробной дегустации</x:v>
      </x:c>
      <x:c r="K21" s="28" t="str">
        <x:v>Гипотеза / практическая</x:v>
      </x:c>
      <x:c r="L21" s="28" t="str">
        <x:v>Таблица сочетания(1).pdf</x:v>
      </x:c>
      <x:c r="M21" s="28" t="str">
        <x:v>Таблица сочетания(1).pdf: 1</x:v>
      </x:c>
    </x:row>
    <x:row r="22" ht="64" customHeight="1">
      <x:c r="A22" s="28" t="str">
        <x:v>STN-0025</x:v>
      </x:c>
      <x:c r="B22" s="28" t="str">
        <x:v>абрикос</x:v>
      </x:c>
      <x:c r="C22" s="28" t="str">
        <x:v>абрикос</x:v>
      </x:c>
      <x:c r="D22" s="28" t="str">
        <x:v>кардамон</x:v>
      </x:c>
      <x:c r="E22" s="28" t="str">
        <x:v>Специи и острые компоненты</x:v>
      </x:c>
      <x:c r="F22" s="28" t="str">
        <x:v>прямое или классовое перекрытие характерных одорантов + вкусовой баланс</x:v>
      </x:c>
      <x:c r="G2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Кардамон относится к группе «Специи и острые компоненты» и даёт профиль «цитрусовый, камфорный и цветочный»; типичные соединения или классы: 1,8-цинеол, α-терпинилацетат, линалоол. В рабочих профилях пересекаются: линалоол.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22" s="28" t="str">
        <x:v>напиток, соус, десерт или горячее блюдо после пробной дегустации</x:v>
      </x:c>
      <x:c r="K22" s="28" t="str">
        <x:v>Высокая</x:v>
      </x:c>
      <x:c r="L22" s="28" t="str">
        <x:v>Таблица сочетания(1).pdf | Тезариус вкусов (Ники Сегнит)(1).pdf</x:v>
      </x:c>
      <x:c r="M22" s="28" t="str">
        <x:v>Таблица сочетания(1).pdf: 1 | Тезариус вкусов (Ники Сегнит)(1).pdf: 743 | Тезариус вкусов (Ники Сегнит)(1).pdf: 825</x:v>
      </x:c>
    </x:row>
    <x:row r="23" ht="64" customHeight="1">
      <x:c r="A23" s="28" t="str">
        <x:v>STN-0028</x:v>
      </x:c>
      <x:c r="B23" s="28" t="str">
        <x:v>абрикос</x:v>
      </x:c>
      <x:c r="C23" s="28" t="str">
        <x:v>абрикос</x:v>
      </x:c>
      <x:c r="D23" s="28" t="str">
        <x:v>кленовый сироп</x:v>
      </x:c>
      <x:c r="E23" s="28" t="str">
        <x:v>Сахара, мёд и кондитерские основы</x:v>
      </x:c>
      <x:c r="F23" s="28" t="str">
        <x:v>комплементарность ароматических семейств, вкусовой контраст и матричный эффект</x:v>
      </x:c>
      <x:c r="G2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По доступным материалам нельзя уверенно свести совместимость к одной общей молекуле. Общие ароматические направления: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3" s="28" t="str">
        <x:v>напиток, соус, десерт или горячее блюдо после пробной дегустации</x:v>
      </x:c>
      <x:c r="K23" s="28" t="str">
        <x:v>Гипотеза / практическая</x:v>
      </x:c>
      <x:c r="L23" s="28" t="str">
        <x:v>Таблица сочетания(1).pdf</x:v>
      </x:c>
      <x:c r="M23" s="28" t="str">
        <x:v>Таблица сочетания(1).pdf: 13</x:v>
      </x:c>
    </x:row>
    <x:row r="24" ht="64" customHeight="1">
      <x:c r="A24" s="28" t="str">
        <x:v>STN-0029</x:v>
      </x:c>
      <x:c r="B24" s="28" t="str">
        <x:v>абрикос</x:v>
      </x:c>
      <x:c r="C24" s="28" t="str">
        <x:v>абрикос</x:v>
      </x:c>
      <x:c r="D24" s="28" t="str">
        <x:v>клубника</x:v>
      </x:c>
      <x:c r="E24" s="28" t="str">
        <x:v>Ягоды</x:v>
      </x:c>
      <x:c r="F24" s="28" t="str">
        <x:v>прямое или классовое перекрытие характерных одорантов + вкусовой баланс</x:v>
      </x:c>
      <x:c r="G2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ионон,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водная пектиновая; антоцианы влияют на цвет, но не являются главными одорантами.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4" s="28" t="str">
        <x:v>сорбет, салат, джем, кордиал, лимонад, коктейль или фруктовый соус</x:v>
      </x:c>
      <x:c r="K24" s="28" t="str">
        <x:v>Гипотеза / практическая</x:v>
      </x:c>
      <x:c r="L24" s="28" t="str">
        <x:v>Таблица сочетания(1).pdf</x:v>
      </x:c>
      <x:c r="M24" s="28" t="str">
        <x:v>Таблица сочетания(1).pdf: Таблица сочетаний: 2</x:v>
      </x:c>
    </x:row>
    <x:row r="25" ht="64" customHeight="1">
      <x:c r="A25" s="28" t="str">
        <x:v>STN-0031</x:v>
      </x:c>
      <x:c r="B25" s="28" t="str">
        <x:v>абрикос</x:v>
      </x:c>
      <x:c r="C25" s="28" t="str">
        <x:v>абрикос</x:v>
      </x:c>
      <x:c r="D25" s="28" t="str">
        <x:v>корица</x:v>
      </x:c>
      <x:c r="E25" s="28" t="str">
        <x:v>Специи и острые компоненты</x:v>
      </x:c>
      <x:c r="F25" s="28" t="str">
        <x:v>комплементарность ароматических семейств, вкусовой контраст и матричный эффект</x:v>
      </x:c>
      <x:c r="G2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25" s="28" t="str">
        <x:v>напиток, соус, десерт или горячее блюдо после пробной дегустации</x:v>
      </x:c>
      <x:c r="K25" s="28" t="str">
        <x:v>Средняя</x:v>
      </x:c>
      <x:c r="L25" s="28" t="str">
        <x:v>Тезариус вкусов (Ники Сегнит)(1).pdf</x:v>
      </x:c>
      <x:c r="M25" s="28" t="str">
        <x:v>Тезариус вкусов (Ники Сегнит)(1).pdf: 572 | Тезариус вкусов (Ники Сегнит)(1).pdf: 743</x:v>
      </x:c>
    </x:row>
    <x:row r="26" ht="64" customHeight="1">
      <x:c r="A26" s="28" t="str">
        <x:v>STN-0032</x:v>
      </x:c>
      <x:c r="B26" s="28" t="str">
        <x:v>абрикос</x:v>
      </x:c>
      <x:c r="C26" s="28" t="str">
        <x:v>абрикос</x:v>
      </x:c>
      <x:c r="D26" s="28" t="str">
        <x:v>кофе</x:v>
      </x:c>
      <x:c r="E26" s="28" t="str">
        <x:v>Чай, кофе и какао</x:v>
      </x:c>
      <x:c r="F26" s="28" t="str">
        <x:v>комплементарность ароматических семейств, вкусовой контраст и матричный эффект</x:v>
      </x:c>
      <x:c r="G2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Кофе относится к группе «Чай, кофе и какао» и даёт профиль «жареный, шоколадный и дымный»; типичные соединения или классы: пиразины, фураны, гуаякол.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жареная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водные настои извлекают полифенолы; жир и сахар смягчают горечь.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2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2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6" s="28" t="str">
        <x:v>напиток, соус, десерт или горячее блюдо после пробной дегустации</x:v>
      </x:c>
      <x:c r="K26" s="28" t="str">
        <x:v>Гипотеза / практическая</x:v>
      </x:c>
      <x:c r="L26" s="28" t="str">
        <x:v>Таблица сочетания(1).pdf</x:v>
      </x:c>
      <x:c r="M26" s="28" t="str">
        <x:v>Таблица сочетания(1).pdf: 6</x:v>
      </x:c>
    </x:row>
    <x:row r="27" ht="64" customHeight="1">
      <x:c r="A27" s="28" t="str">
        <x:v>STN-0033</x:v>
      </x:c>
      <x:c r="B27" s="28" t="str">
        <x:v>абрикос</x:v>
      </x:c>
      <x:c r="C27" s="28" t="str">
        <x:v>абрикос</x:v>
      </x:c>
      <x:c r="D27" s="28" t="str">
        <x:v>красный сладкий перец</x:v>
      </x:c>
      <x:c r="E27" s="28" t="str">
        <x:v>Специи</x:v>
      </x:c>
      <x:c r="F27" s="28" t="str">
        <x:v>комплементарность ароматических семейств, вкусовой контраст и матричный эффект</x:v>
      </x:c>
      <x:c r="G2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Красный сладкий перец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пряный, иногда горький.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хорошо извлекаются спиртом и жиром.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7" s="28" t="str">
        <x:v>напиток, соус, десерт или горячее блюдо после пробной дегустации</x:v>
      </x:c>
      <x:c r="K27" s="28" t="str">
        <x:v>Средняя</x:v>
      </x:c>
      <x:c r="L27" s="28" t="str">
        <x:v>The Art &amp; Science of Foodpairing.pdf</x:v>
      </x:c>
      <x:c r="M27" s="28" t="str">
        <x:v>The Art &amp; Science of Foodpairing.pdf: 106 | The Art &amp; Science of Foodpairing.pdf: 108</x:v>
      </x:c>
    </x:row>
    <x:row r="28" ht="64" customHeight="1">
      <x:c r="A28" s="28" t="str">
        <x:v>STN-0034</x:v>
      </x:c>
      <x:c r="B28" s="28" t="str">
        <x:v>абрикос</x:v>
      </x:c>
      <x:c r="C28" s="28" t="str">
        <x:v>абрикос</x:v>
      </x:c>
      <x:c r="D28" s="28" t="str">
        <x:v>куриный бульон</x:v>
      </x:c>
      <x:c r="E28" s="28" t="str">
        <x:v>Мясо и птица</x:v>
      </x:c>
      <x:c r="F28" s="28" t="str">
        <x:v>комплементарность ароматических семейств, вкусовой контраст и матричный эффект</x:v>
      </x:c>
      <x:c r="G2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Куриный бульон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удерживает фруктовые лактоны; белок смягчает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H2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I2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J28" s="28" t="str">
        <x:v>соус, глазировка, чатни, маринад, гарнир или основное блюдо</x:v>
      </x:c>
      <x:c r="K28" s="28" t="str">
        <x:v>Средняя</x:v>
      </x:c>
      <x:c r="L28" s="28" t="str">
        <x:v>The Art &amp; Science of Foodpairing.pdf</x:v>
      </x:c>
      <x:c r="M28" s="28" t="str">
        <x:v>The Art &amp; Science of Foodpairing.pdf: 206</x:v>
      </x:c>
    </x:row>
    <x:row r="29" ht="64" customHeight="1">
      <x:c r="A29" s="28" t="str">
        <x:v>STN-0035</x:v>
      </x:c>
      <x:c r="B29" s="28" t="str">
        <x:v>абрикос</x:v>
      </x:c>
      <x:c r="C29" s="28" t="str">
        <x:v>абрикос</x:v>
      </x:c>
      <x:c r="D29" s="28" t="str">
        <x:v>лаванда</x:v>
      </x:c>
      <x:c r="E29" s="28" t="str">
        <x:v>Травы и цветы</x:v>
      </x:c>
      <x:c r="F29" s="28" t="str">
        <x:v>прямое или классовое перекрытие характерных одорантов + вкусовой баланс</x:v>
      </x:c>
      <x:c r="G2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Лаванда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29" s="28" t="str">
        <x:v>напиток, соус, десерт или горячее блюдо после пробной дегустации</x:v>
      </x:c>
      <x:c r="K29" s="28" t="str">
        <x:v>Гипотеза / практическая</x:v>
      </x:c>
      <x:c r="L29" s="28" t="str">
        <x:v>Таблица сочетания(1).pdf</x:v>
      </x:c>
      <x:c r="M29" s="28" t="str">
        <x:v>Таблица сочетания(1).pdf: 11</x:v>
      </x:c>
    </x:row>
    <x:row r="30" ht="64" customHeight="1">
      <x:c r="A30" s="28" t="str">
        <x:v>STN-0036</x:v>
      </x:c>
      <x:c r="B30" s="28" t="str">
        <x:v>абрикос</x:v>
      </x:c>
      <x:c r="C30" s="28" t="str">
        <x:v>абрикос</x:v>
      </x:c>
      <x:c r="D30" s="28" t="str">
        <x:v>лайм</x:v>
      </x:c>
      <x:c r="E30" s="28" t="str">
        <x:v>Цитрусовые</x:v>
      </x:c>
      <x:c r="F30" s="28" t="str">
        <x:v>комплементарность ароматических семейств, вкусовой контраст и матричный эффект</x:v>
      </x:c>
      <x:c r="G3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Лайм относится к группе «Цитрусовые» и даёт профиль «зелёный цитрусовый и терпкий»; типичные соединения или классы: лимонен, цитраль, γ-терпинен.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сок водный и кислый, цедра содержит гидрофобные эфирные масла.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0" s="28" t="str">
        <x:v>сорбет, салат, джем, кордиал, лимонад, коктейль или фруктовый соус</x:v>
      </x:c>
      <x:c r="K30" s="28" t="str">
        <x:v>Гипотеза / практическая</x:v>
      </x:c>
      <x:c r="L30" s="28" t="str">
        <x:v>Таблица сочетания(1).pdf</x:v>
      </x:c>
      <x:c r="M30" s="28" t="str">
        <x:v>Таблица сочетания(1).pdf: Таблица сочетания(1).pdf: 11 | Таблица сочетания(1).pdf: 11</x:v>
      </x:c>
    </x:row>
    <x:row r="31" ht="64" customHeight="1">
      <x:c r="A31" s="28" t="str">
        <x:v>STN-0037</x:v>
      </x:c>
      <x:c r="B31" s="28" t="str">
        <x:v>абрикос</x:v>
      </x:c>
      <x:c r="C31" s="28" t="str">
        <x:v>абрикос</x:v>
      </x:c>
      <x:c r="D31" s="28" t="str">
        <x:v>лемонграсс</x:v>
      </x:c>
      <x:c r="E31" s="28" t="str">
        <x:v>Травы и цветы</x:v>
      </x:c>
      <x:c r="F31" s="28" t="str">
        <x:v>прямое или классовое перекрытие характерных одорантов + вкусовой баланс</x:v>
      </x:c>
      <x:c r="G3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Лемонграсс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1" s="28" t="str">
        <x:v>напиток, соус, десерт или горячее блюдо после пробной дегустации</x:v>
      </x:c>
      <x:c r="K31" s="28" t="str">
        <x:v>Средняя</x:v>
      </x:c>
      <x:c r="L31" s="28" t="str">
        <x:v>The Art &amp; Science of Foodpairing.pdf</x:v>
      </x:c>
      <x:c r="M31" s="28" t="str">
        <x:v>The Art &amp; Science of Foodpairing.pdf: 146</x:v>
      </x:c>
    </x:row>
    <x:row r="32" ht="64" customHeight="1">
      <x:c r="A32" s="28" t="str">
        <x:v>STN-0038</x:v>
      </x:c>
      <x:c r="B32" s="28" t="str">
        <x:v>абрикос</x:v>
      </x:c>
      <x:c r="C32" s="28" t="str">
        <x:v>абрикос</x:v>
      </x:c>
      <x:c r="D32" s="28" t="str">
        <x:v>лимон</x:v>
      </x:c>
      <x:c r="E32" s="28" t="str">
        <x:v>Цитрусовые</x:v>
      </x:c>
      <x:c r="F32" s="28" t="str">
        <x:v>комплементарность ароматических семейств, вкусовой контраст и матричный эффект</x:v>
      </x:c>
      <x:c r="G3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сок водный и кислый, цедра содержит гидрофобные эфирные масла.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2" s="28" t="str">
        <x:v>сорбет, салат, джем, кордиал, лимонад, коктейль или фруктовый соус</x:v>
      </x:c>
      <x:c r="K32" s="28" t="str">
        <x:v>Гипотеза / практическая</x:v>
      </x:c>
      <x:c r="L32" s="28" t="str">
        <x:v>Таблица сочетания(1).pdf</x:v>
      </x:c>
      <x:c r="M32" s="28" t="str">
        <x:v>Таблица сочетания(1).pdf: Таблица сочетания(1).pdf: 11 | Таблица сочетания(1).pdf: 11</x:v>
      </x:c>
    </x:row>
    <x:row r="33" ht="64" customHeight="1">
      <x:c r="A33" s="28" t="str">
        <x:v>STN-0039</x:v>
      </x:c>
      <x:c r="B33" s="28" t="str">
        <x:v>абрикос</x:v>
      </x:c>
      <x:c r="C33" s="28" t="str">
        <x:v>абрикос</x:v>
      </x:c>
      <x:c r="D33" s="28" t="str">
        <x:v>малина</x:v>
      </x:c>
      <x:c r="E33" s="28" t="str">
        <x:v>Ягоды</x:v>
      </x:c>
      <x:c r="F33" s="28" t="str">
        <x:v>прямое или классовое перекрытие характерных одорантов + вкусовой баланс</x:v>
      </x:c>
      <x:c r="G3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ионон,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водная пектиновая; антоцианы влияют на цвет, но не являются главными одорантами.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3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3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3" s="28" t="str">
        <x:v>сорбет, салат, джем, кордиал, лимонад, коктейль или фруктовый соус</x:v>
      </x:c>
      <x:c r="K33" s="28" t="str">
        <x:v>Высокая</x:v>
      </x:c>
      <x:c r="L33" s="28" t="str">
        <x:v>Таблица сочетания(1).pdf | Тезариус вкусов (Ники Сегнит)(1).pdf</x:v>
      </x:c>
      <x:c r="M33" s="28" t="str">
        <x:v>Таблица сочетания(1).pdf: Тезариус вкусов: 743, 884; Таблица сочетаний: 2, 19 | Таблица сочетания(1).pdf: 19 | Тезариус вкусов (Ники Сегнит)(1).pdf: 743 | Тезариус вкусов (Ники Сегнит)(1).pdf: 884</x:v>
      </x:c>
    </x:row>
    <x:row r="34" ht="64" customHeight="1">
      <x:c r="A34" s="28" t="str">
        <x:v>STN-0040</x:v>
      </x:c>
      <x:c r="B34" s="28" t="str">
        <x:v>абрикос</x:v>
      </x:c>
      <x:c r="C34" s="28" t="str">
        <x:v>абрикос</x:v>
      </x:c>
      <x:c r="D34" s="28" t="str">
        <x:v>манго</x:v>
      </x:c>
      <x:c r="E34" s="28" t="str">
        <x:v>Тропические фрукты</x:v>
      </x:c>
      <x:c r="F34" s="28" t="str">
        <x:v>прямое или классовое перекрытие характерных одорантов + вкусовой баланс</x:v>
      </x:c>
      <x:c r="G3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Манго относится к группе «Тропические фрукты» и даёт профиль «тропический, смолистый, цитрусовый, цветочный, сливочный; сильно зависит от сорта»; типичные соединения или классы: δ-3-карен, лимонен, мирцен, линалоол, γ- и δ-лактоны, фруктовые эфиры. В рабочих профилях пересекаются: линалоол, фруктовые эфиры.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умеренная кислотность, иногда смолистая горечь кожицы.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мякоть вязкая и богатая каротиноидами; ароматические терпены и лактоны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H3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I3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4" s="28" t="str">
        <x:v>напиток, соус, десерт или горячее блюдо после пробной дегустации</x:v>
      </x:c>
      <x:c r="K34" s="28" t="str">
        <x:v>Высокая</x:v>
      </x:c>
      <x:c r="L34" s="28" t="str">
        <x:v>The Art &amp; Science of Foodpairing.pdf | Тезариус вкусов (Ники Сегнит)(1).pdf</x:v>
      </x:c>
      <x:c r="M34" s="28" t="str">
        <x:v>Тезариус вкусов (Ники Сегнит)(1).pdf: Тезаурус вкусов: 743 | Тезариус вкусов (Ники Сегнит)(1).pdf: 743 | The Art &amp; Science of Foodpairing.pdf: 313</x:v>
      </x:c>
    </x:row>
    <x:row r="35" ht="64" customHeight="1">
      <x:c r="A35" s="28" t="str">
        <x:v>STN-0041</x:v>
      </x:c>
      <x:c r="B35" s="28" t="str">
        <x:v>абрикос</x:v>
      </x:c>
      <x:c r="C35" s="28" t="str">
        <x:v>абрикос</x:v>
      </x:c>
      <x:c r="D35" s="28" t="str">
        <x:v>мед</x:v>
      </x:c>
      <x:c r="E35" s="28" t="str">
        <x:v>Сахара, мёд и кондитерские основы</x:v>
      </x:c>
      <x:c r="F35" s="28" t="str">
        <x:v>комплементарность ароматических семейств, вкусовой контраст и матричный эффект</x:v>
      </x:c>
      <x:c r="G3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вязкая сахарная; снижает летучесть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3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3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5" s="28" t="str">
        <x:v>напиток, соус, десерт или горячее блюдо после пробной дегустации</x:v>
      </x:c>
      <x:c r="K35" s="28" t="str">
        <x:v>Гипотеза / практическая</x:v>
      </x:c>
      <x:c r="L35" s="28" t="str">
        <x:v>Таблица сочетания(1).pdf</x:v>
      </x:c>
      <x:c r="M35" s="28" t="str">
        <x:v>Таблица сочетания(1).pdf: 1</x:v>
      </x:c>
    </x:row>
    <x:row r="36" ht="64" customHeight="1">
      <x:c r="A36" s="28" t="str">
        <x:v>STN-0043</x:v>
      </x:c>
      <x:c r="B36" s="28" t="str">
        <x:v>абрикос</x:v>
      </x:c>
      <x:c r="C36" s="28" t="str">
        <x:v>абрикос</x:v>
      </x:c>
      <x:c r="D36" s="28" t="str">
        <x:v>мирабель</x:v>
      </x:c>
      <x:c r="E36" s="28" t="str">
        <x:v>Косточковые фрукты</x:v>
      </x:c>
      <x:c r="F36" s="28" t="str">
        <x:v>прямое или классовое перекрытие характерных одорантов + вкусовой баланс</x:v>
      </x:c>
      <x:c r="G3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Мирабель относится к группе «Косточковые фрукты» и даёт профиль «медовый, цветочный, сливовый, винный и слегка миндальный»; типичные соединения или классы: фруктовые эфиры, линалоол, бензальдегид, лактоны, дамасценон. В рабочих профилях пересекаются: бензальдегид, линалоол, дамасценон, фруктовые эфиры. Общие ароматические направления: цветочный, миндальный,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 и умеренная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 мякоть; особенно хорошо переносит дистилляцию и ферментацию.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мёд и джем; ферментация и дистилляция подчёркивают эфирный сливовый профиль.</x:v>
      </x:c>
      <x:c r="H3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мёд и джем; ферментация и дистилляция подчёркивают эфирный сливовый профиль.</x:v>
      </x:c>
      <x:c r="I3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6" s="28" t="str">
        <x:v>напиток, соус, десерт или горячее блюдо после пробной дегустации</x:v>
      </x:c>
      <x:c r="K36" s="28" t="str">
        <x:v>Средняя</x:v>
      </x:c>
      <x:c r="L36" s="28" t="str">
        <x:v>The Art &amp; Science of Foodpairing.pdf</x:v>
      </x:c>
      <x:c r="M36" s="28" t="str">
        <x:v>The Art &amp; Science of Foodpairing.pdf: 206</x:v>
      </x:c>
    </x:row>
    <x:row r="37" ht="64" customHeight="1">
      <x:c r="A37" s="28" t="str">
        <x:v>STN-0044</x:v>
      </x:c>
      <x:c r="B37" s="28" t="str">
        <x:v>абрикос</x:v>
      </x:c>
      <x:c r="C37" s="28" t="str">
        <x:v>абрикос</x:v>
      </x:c>
      <x:c r="D37" s="28" t="str">
        <x:v>мята</x:v>
      </x:c>
      <x:c r="E37" s="28" t="str">
        <x:v>Травы и цветы</x:v>
      </x:c>
      <x:c r="F37" s="28" t="str">
        <x:v>комплементарность ароматических семейств, вкусовой контраст и матричный эффект</x:v>
      </x:c>
      <x:c r="G3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7" s="28" t="str">
        <x:v>напиток, соус, десерт или горячее блюдо после пробной дегустации</x:v>
      </x:c>
      <x:c r="K37" s="28" t="str">
        <x:v>Гипотеза / практическая</x:v>
      </x:c>
      <x:c r="L37" s="28" t="str">
        <x:v>Таблица сочетания(1).pdf</x:v>
      </x:c>
      <x:c r="M37" s="28" t="str">
        <x:v>Таблица сочетания(1).pdf: 1 | Таблица сочетания(1).pdf: 13</x:v>
      </x:c>
    </x:row>
    <x:row r="38" ht="64" customHeight="1">
      <x:c r="A38" s="28" t="str">
        <x:v>STN-0045</x:v>
      </x:c>
      <x:c r="B38" s="28" t="str">
        <x:v>абрикос</x:v>
      </x:c>
      <x:c r="C38" s="28" t="str">
        <x:v>абрикос</x:v>
      </x:c>
      <x:c r="D38" s="28" t="str">
        <x:v>нектарин</x:v>
      </x:c>
      <x:c r="E38" s="28" t="str">
        <x:v>Косточковые фрукты</x:v>
      </x:c>
      <x:c r="F38" s="28" t="str">
        <x:v>прямое или классовое перекрытие характерных одорантов + вкусовой баланс</x:v>
      </x:c>
      <x:c r="G3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Нектарин относится к группе «Косточковые фрукты» и даёт профиль «персиковый, фруктовый, цветочный, зелёный, сливочно-лактонный»; типичные соединения или классы: γ- и δ-декалактон, γ- и δ-додекалактон, фруктовые эфиры, линалоол, бензальдегид, C6-альдегиды. В рабочих профилях пересекаются: бензальдегид, линалоол, фруктовые эфиры. Общие ароматические направления: цветочный, фруктовый, лактонный.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сладкий, сочный, с умеренной кислотностью; профиль близок к персику, но кожица гладкая и часто более ярко-фруктовая.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водно-пектиновая; гидрофобные лактоны лучше проявляются в жире 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H3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I3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8" s="28" t="str">
        <x:v>напиток, соус, десерт или горячее блюдо после пробной дегустации</x:v>
      </x:c>
      <x:c r="K38" s="28" t="str">
        <x:v>Гипотеза / практическая</x:v>
      </x:c>
      <x:c r="L38" s="28" t="str">
        <x:v>Таблица сочетания(1).pdf</x:v>
      </x:c>
      <x:c r="M38" s="28" t="str">
        <x:v>Таблица сочетания(1).pdf: 14</x:v>
      </x:c>
    </x:row>
    <x:row r="39" ht="64" customHeight="1">
      <x:c r="A39" s="28" t="str">
        <x:v>STN-0047</x:v>
      </x:c>
      <x:c r="B39" s="28" t="str">
        <x:v>абрикос</x:v>
      </x:c>
      <x:c r="C39" s="28" t="str">
        <x:v>абрикос</x:v>
      </x:c>
      <x:c r="D39" s="28" t="str">
        <x:v>оливковое масло</x:v>
      </x:c>
      <x:c r="E39" s="28" t="str">
        <x:v>Молочные продукты и сыры</x:v>
      </x:c>
      <x:c r="F39" s="28" t="str">
        <x:v>комплементарность ароматических семейств, вкусовой контраст и матричный эффект</x:v>
      </x:c>
      <x:c r="G3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жирный, кислый/солёный.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жировая и белковая матрица смягчает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39" s="28" t="str">
        <x:v>напиток, соус, десерт или горячее блюдо после пробной дегустации</x:v>
      </x:c>
      <x:c r="K39" s="28" t="str">
        <x:v>Средняя</x:v>
      </x:c>
      <x:c r="L39" s="28" t="str">
        <x:v>The Art &amp; Science of Foodpairing.pdf</x:v>
      </x:c>
      <x:c r="M39" s="28" t="str">
        <x:v>The Art &amp; Science of Foodpairing.pdf: 173</x:v>
      </x:c>
    </x:row>
    <x:row r="40" ht="64" customHeight="1">
      <x:c r="A40" s="28" t="str">
        <x:v>STN-0048</x:v>
      </x:c>
      <x:c r="B40" s="28" t="str">
        <x:v>абрикос</x:v>
      </x:c>
      <x:c r="C40" s="28" t="str">
        <x:v>абрикос</x:v>
      </x:c>
      <x:c r="D40" s="28" t="str">
        <x:v>отварная или запеченная свекла</x:v>
      </x:c>
      <x:c r="E40" s="28" t="str">
        <x:v>Овощи и корнеплоды</x:v>
      </x:c>
      <x:c r="F40" s="28" t="str">
        <x:v>комплементарность ароматических семейств, вкусовой контраст и матричный эффект</x:v>
      </x:c>
      <x:c r="G4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Отварная или запеченная свекла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сладость, горечь, умами и вода.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и клетчаточная матрица; обжарка усиливает сладость и Майяр.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4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4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0" s="28" t="str">
        <x:v>соус, глазировка, чатни, маринад, гарнир или основное блюдо</x:v>
      </x:c>
      <x:c r="K40" s="28" t="str">
        <x:v>Средняя</x:v>
      </x:c>
      <x:c r="L40" s="28" t="str">
        <x:v>The Art &amp; Science of Foodpairing.pdf</x:v>
      </x:c>
      <x:c r="M40" s="28" t="str">
        <x:v>The Art &amp; Science of Foodpairing.pdf: 223 | The Art &amp; Science of Foodpairing.pdf: 224</x:v>
      </x:c>
    </x:row>
    <x:row r="41" ht="64" customHeight="1">
      <x:c r="A41" s="28" t="str">
        <x:v>STN-0049</x:v>
      </x:c>
      <x:c r="B41" s="28" t="str">
        <x:v>абрикос</x:v>
      </x:c>
      <x:c r="C41" s="28" t="str">
        <x:v>абрикос</x:v>
      </x:c>
      <x:c r="D41" s="28" t="str">
        <x:v>отварной картофель</x:v>
      </x:c>
      <x:c r="E41" s="28" t="str">
        <x:v>Овощи и корнеплоды</x:v>
      </x:c>
      <x:c r="F41" s="28" t="str">
        <x:v>комплементарность ароматических семейств, вкусовой контраст и матричный эффект</x:v>
      </x:c>
      <x:c r="G4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Отварной картофель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сладость, горечь, умами и вода.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и клетчаточная матрица; обжарка усиливает сладость и Майяр.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4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4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1" s="28" t="str">
        <x:v>соус, глазировка, чатни, маринад, гарнир или основное блюдо</x:v>
      </x:c>
      <x:c r="K41" s="28" t="str">
        <x:v>Средняя</x:v>
      </x:c>
      <x:c r="L41" s="28" t="str">
        <x:v>The Art &amp; Science of Foodpairing.pdf</x:v>
      </x:c>
      <x:c r="M41" s="28" t="str">
        <x:v>The Art &amp; Science of Foodpairing.pdf: 206</x:v>
      </x:c>
    </x:row>
    <x:row r="42" ht="64" customHeight="1">
      <x:c r="A42" s="28" t="str">
        <x:v>STN-0050</x:v>
      </x:c>
      <x:c r="B42" s="28" t="str">
        <x:v>абрикос</x:v>
      </x:c>
      <x:c r="C42" s="28" t="str">
        <x:v>абрикос</x:v>
      </x:c>
      <x:c r="D42" s="28" t="str">
        <x:v>отварной лангустин</x:v>
      </x:c>
      <x:c r="E42" s="28" t="str">
        <x:v>Рыба и морепродукты</x:v>
      </x:c>
      <x:c r="F42" s="28" t="str">
        <x:v>комплементарность ароматических семейств, вкусовой контраст и матричный эффект</x:v>
      </x:c>
      <x:c r="G4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Отварной лангустин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 мякоть; низкий жир; кожица и косточка могут добавлять терпкость и миндальный оттенок. Партнёр: водно-белковая матрица; жирная рыба лучше удерживает лактоны.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4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4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Сильная сладость и длительный контакт с кислотой могут замаскировать морской вкус и изменить белковую текстуру.</x:v>
      </x:c>
      <x:c r="J42" s="28" t="str">
        <x:v>соус, глазировка, чатни, маринад, гарнир или основное блюдо</x:v>
      </x:c>
      <x:c r="K42" s="28" t="str">
        <x:v>Средняя</x:v>
      </x:c>
      <x:c r="L42" s="28" t="str">
        <x:v>The Art &amp; Science of Foodpairing.pdf</x:v>
      </x:c>
      <x:c r="M42" s="28" t="str">
        <x:v>The Art &amp; Science of Foodpairing.pdf: 206</x:v>
      </x:c>
    </x:row>
    <x:row r="43" ht="64" customHeight="1">
      <x:c r="A43" s="28" t="str">
        <x:v>STN-0051</x:v>
      </x:c>
      <x:c r="B43" s="28" t="str">
        <x:v>абрикос</x:v>
      </x:c>
      <x:c r="C43" s="28" t="str">
        <x:v>абрикос</x:v>
      </x:c>
      <x:c r="D43" s="28" t="str">
        <x:v>персик</x:v>
      </x:c>
      <x:c r="E43" s="28" t="str">
        <x:v>Косточковые фрукты</x:v>
      </x:c>
      <x:c r="F43" s="28" t="str">
        <x:v>прямое или классовое перекрытие характерных одорантов + вкусовой баланс</x:v>
      </x:c>
      <x:c r="G4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Персик относится к группе «Косточковые фрукты» и даёт профиль «сливочный, персиковый, кокосово-лактонный, цветочный, зелёный»; типичные соединения или классы: γ- и δ-декалактон, γ- и δ-додекалактон, линалоол, бензальдегид, гексаналь, цис-3-гексенол. В рабочих профилях пересекаются: бензальдегид, линалоол. Общие ароматические направления: цветочный, лактонный. Базовый фрукт даёт: сладость и заметная фруктовая кислотность; сушёный плод становится слаще, плотнее и слегка карамельным. Партнёр добавляет: выраженная сладость, умеренная кислотность; беломякотные сорта обычно слаще и мягче по кислоте.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 мякоть; кожица несёт зелёные и цветочные ноты; лактоны хорошо удерживаются жиром и этанолом.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спелость резко увеличивает аромат; нагрев усиливает варенье, карамель и миндальные оттенки, но снижает свежую цветочность.</x:v>
      </x:c>
      <x:c r="H4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спелость резко увеличивает аромат; нагрев усиливает варенье, карамель и миндальные оттенки, но снижает свежую цветочность.</x:v>
      </x:c>
      <x:c r="I4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3" s="28" t="str">
        <x:v>напиток, соус, десерт или горячее блюдо после пробной дегустации</x:v>
      </x:c>
      <x:c r="K43" s="28" t="str">
        <x:v>Высокая</x:v>
      </x:c>
      <x:c r="L43" s="28" t="str">
        <x:v>The Art &amp; Science of Foodpairing.pdf | Таблица сочетания(1).pdf | Тезариус вкусов (Ники Сегнит)(1).pdf</x:v>
      </x:c>
      <x:c r="M43" s="28" t="str">
        <x:v>Таблица сочетания(1).pdf: 1 | Таблица сочетания(1).pdf: 15 | Тезариус вкусов (Ники Сегнит)(1).pdf: 743 | Тезариус вкусов (Ники Сегнит)(1).pdf: 747 | The Art &amp; Science of Foodpairing.pdf: 260</x:v>
      </x:c>
    </x:row>
    <x:row r="44" ht="64" customHeight="1">
      <x:c r="A44" s="28" t="str">
        <x:v>STN-0052</x:v>
      </x:c>
      <x:c r="B44" s="28" t="str">
        <x:v>абрикос</x:v>
      </x:c>
      <x:c r="C44" s="28" t="str">
        <x:v>абрикос</x:v>
      </x:c>
      <x:c r="D44" s="28" t="str">
        <x:v>плюмкот</x:v>
      </x:c>
      <x:c r="E44" s="28" t="str">
        <x:v>Гибридные косточковые фрукты</x:v>
      </x:c>
      <x:c r="F44" s="28" t="str">
        <x:v>прямое или классовое перекрытие характерных одорантов + вкусовой баланс</x:v>
      </x:c>
      <x:c r="G4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Плюмкот относится к группе «Гибридные косточковые фрукты» и даёт профиль «сливово-персиковый, цветочный, винный и сливочно-лактонный»; типичные соединения или классы: лактоны, фруктовые эфиры, линалоол, бензальдегид, C6-альдегиды. В рабочих профилях пересекаются: бензальдегид, линалоол, фруктовые эфиры. Общие ароматические направления: цветочный, лактонный.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с выраженной фруктовой кислотностью; баланс зависит от сорта.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пектиновая; сочетает поведение сливы и абрикоса.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джемовые ноты; холодная обработка лучше сохраняет цветочность.</x:v>
      </x:c>
      <x:c r="H4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джемовые ноты; холодная обработка лучше сохраняет цветочность.</x:v>
      </x:c>
      <x:c r="I4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4" s="28" t="str">
        <x:v>напиток, соус, десерт или горячее блюдо после пробной дегустации</x:v>
      </x:c>
      <x:c r="K44" s="28" t="str">
        <x:v>Средняя</x:v>
      </x:c>
      <x:c r="L44" s="28" t="str">
        <x:v>The Art &amp; Science of Foodpairing.pdf</x:v>
      </x:c>
      <x:c r="M44" s="28" t="str">
        <x:v>The Art &amp; Science of Foodpairing.pdf: 206</x:v>
      </x:c>
    </x:row>
    <x:row r="45" ht="64" customHeight="1">
      <x:c r="A45" s="28" t="str">
        <x:v>STN-0053</x:v>
      </x:c>
      <x:c r="B45" s="28" t="str">
        <x:v>абрикос</x:v>
      </x:c>
      <x:c r="C45" s="28" t="str">
        <x:v>абрикос</x:v>
      </x:c>
      <x:c r="D45" s="28" t="str">
        <x:v>рапсовый мед</x:v>
      </x:c>
      <x:c r="E45" s="28" t="str">
        <x:v>Подсластители</x:v>
      </x:c>
      <x:c r="F45" s="28" t="str">
        <x:v>комплементарность ароматических семейств, вкусовой контраст и матричный эффект</x:v>
      </x:c>
      <x:c r="G4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Рапсовый мед относится к группе «Подсластители» и даёт профиль «медовый, цветочный, карамельный»; типичные соединения или классы: фенилуксусные соединения, фураны, норизопреноиды. По доступным материалам нельзя уверенно свести совместимость к одной общей молекуле. Общие ароматические направления: цветочный,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сладкий.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сахар повышает вязкость и снижает воспринимаемую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Сладость балансирует кислоту и горечь кожуры; цветочные компоненты могут поддерживать цитрус..</x:v>
      </x:c>
      <x:c r="H4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Сладость балансирует кислоту и горечь кожуры; цветочные компоненты могут поддерживать цитрус..</x:v>
      </x:c>
      <x:c r="I4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5" s="28" t="str">
        <x:v>напиток, соус, десерт или горячее блюдо после пробной дегустации</x:v>
      </x:c>
      <x:c r="K45" s="28" t="str">
        <x:v>Средняя</x:v>
      </x:c>
      <x:c r="L45" s="28" t="str">
        <x:v>The Art &amp; Science of Foodpairing.pdf</x:v>
      </x:c>
      <x:c r="M45" s="28" t="str">
        <x:v>The Art &amp; Science of Foodpairing.pdf: 206</x:v>
      </x:c>
    </x:row>
    <x:row r="46" ht="64" customHeight="1">
      <x:c r="A46" s="28" t="str">
        <x:v>STN-0054</x:v>
      </x:c>
      <x:c r="B46" s="28" t="str">
        <x:v>абрикос</x:v>
      </x:c>
      <x:c r="C46" s="28" t="str">
        <x:v>абрикос</x:v>
      </x:c>
      <x:c r="D46" s="28" t="str">
        <x:v>ревень</x:v>
      </x:c>
      <x:c r="E46" s="28" t="str">
        <x:v>Прочее</x:v>
      </x:c>
      <x:c r="F46" s="28" t="str">
        <x:v>комплементарность ароматических семейств, вкусовой контраст и матричный эффект</x:v>
      </x:c>
      <x:c r="G4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Ревень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важны вода, жир, белок, сахар и температура.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4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4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6" s="28" t="str">
        <x:v>напиток, соус, десерт или горячее блюдо после пробной дегустации</x:v>
      </x:c>
      <x:c r="K46" s="28" t="str">
        <x:v>Гипотеза / практическая</x:v>
      </x:c>
      <x:c r="L46" s="28" t="str">
        <x:v>Таблица сочетания(1).pdf</x:v>
      </x:c>
      <x:c r="M46" s="28" t="str">
        <x:v>Таблица сочетания(1).pdf: 19</x:v>
      </x:c>
    </x:row>
    <x:row r="47" ht="64" customHeight="1">
      <x:c r="A47" s="28" t="str">
        <x:v>STN-0055</x:v>
      </x:c>
      <x:c r="B47" s="28" t="str">
        <x:v>абрикос</x:v>
      </x:c>
      <x:c r="C47" s="28" t="str">
        <x:v>абрикос</x:v>
      </x:c>
      <x:c r="D47" s="28" t="str">
        <x:v>роза</x:v>
      </x:c>
      <x:c r="E47" s="28" t="str">
        <x:v>Травы и цветы</x:v>
      </x:c>
      <x:c r="F47" s="28" t="str">
        <x:v>прямое или классовое перекрытие характерных одорантов + вкусовой баланс</x:v>
      </x:c>
      <x:c r="G4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Роза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4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4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7" s="28" t="str">
        <x:v>напиток, соус, десерт или горячее блюдо после пробной дегустации</x:v>
      </x:c>
      <x:c r="K47" s="28" t="str">
        <x:v>Высокая</x:v>
      </x:c>
      <x:c r="L47" s="28" t="str">
        <x:v>Таблица сочетания(1).pdf | Тезариус вкусов (Ники Сегнит)(1).pdf</x:v>
      </x:c>
      <x:c r="M47" s="28" t="str">
        <x:v>Таблица сочетания(1).pdf: 1 | Тезариус вкусов (Ники Сегнит)(1).pdf: 743 | Тезариус вкусов (Ники Сегнит)(1).pdf: 899</x:v>
      </x:c>
    </x:row>
    <x:row r="48" ht="64" customHeight="1">
      <x:c r="A48" s="28" t="str">
        <x:v>STN-0056</x:v>
      </x:c>
      <x:c r="B48" s="28" t="str">
        <x:v>абрикос</x:v>
      </x:c>
      <x:c r="C48" s="28" t="str">
        <x:v>абрикос</x:v>
      </x:c>
      <x:c r="D48" s="28" t="str">
        <x:v>розмарин</x:v>
      </x:c>
      <x:c r="E48" s="28" t="str">
        <x:v>Травы и цветы</x:v>
      </x:c>
      <x:c r="F48" s="28" t="str">
        <x:v>комплементарность ароматических семейств, вкусовой контраст и матричный эффект</x:v>
      </x:c>
      <x:c r="G4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Розмарин относится к группе «Травы и цветы» и даёт профиль «хвойный, камфорный и древесный»; типичные соединения или классы: 1,8-цинеол, камфора, α-пинен.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4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4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8" s="28" t="str">
        <x:v>напиток, соус, десерт или горячее блюдо после пробной дегустации</x:v>
      </x:c>
      <x:c r="K48" s="28" t="str">
        <x:v>Высокая</x:v>
      </x:c>
      <x:c r="L48" s="28" t="str">
        <x:v>Таблица сочетания(1).pdf | Тезариус вкусов (Ники Сегнит)(1).pdf</x:v>
      </x:c>
      <x:c r="M48" s="28" t="str">
        <x:v>Таблица сочетания(1).pdf: 19 | Тезариус вкусов (Ники Сегнит)(1).pdf: 744 | Тезариус вкусов (Ники Сегнит)(1).pdf: 832</x:v>
      </x:c>
    </x:row>
    <x:row r="49" ht="64" customHeight="1">
      <x:c r="A49" s="28" t="str">
        <x:v>STN-0057</x:v>
      </x:c>
      <x:c r="B49" s="28" t="str">
        <x:v>абрикос</x:v>
      </x:c>
      <x:c r="C49" s="28" t="str">
        <x:v>абрикос</x:v>
      </x:c>
      <x:c r="D49" s="28" t="str">
        <x:v>свежие цветы лаванды</x:v>
      </x:c>
      <x:c r="E49" s="28" t="str">
        <x:v>Прочее</x:v>
      </x:c>
      <x:c r="F49" s="28" t="str">
        <x:v>комплементарность ароматических семейств, вкусовой контраст и матричный эффект</x:v>
      </x:c>
      <x:c r="G4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Свежие цветы лаванды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зависит от продукта.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зависит от формы продукта.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4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4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49" s="28" t="str">
        <x:v>напиток, соус, десерт или горячее блюдо после пробной дегустации</x:v>
      </x:c>
      <x:c r="K49" s="28" t="str">
        <x:v>Средняя</x:v>
      </x:c>
      <x:c r="L49" s="28" t="str">
        <x:v>The Art &amp; Science of Foodpairing.pdf</x:v>
      </x:c>
      <x:c r="M49" s="28" t="str">
        <x:v>The Art &amp; Science of Foodpairing.pdf: 206</x:v>
      </x:c>
    </x:row>
    <x:row r="50" ht="64" customHeight="1">
      <x:c r="A50" s="28" t="str">
        <x:v>STN-0058</x:v>
      </x:c>
      <x:c r="B50" s="28" t="str">
        <x:v>абрикос</x:v>
      </x:c>
      <x:c r="C50" s="28" t="str">
        <x:v>абрикос</x:v>
      </x:c>
      <x:c r="D50" s="28" t="str">
        <x:v>свиная корейка</x:v>
      </x:c>
      <x:c r="E50" s="28" t="str">
        <x:v>Прочее</x:v>
      </x:c>
      <x:c r="F50" s="28" t="str">
        <x:v>комплементарность ароматических семейств, вкусовой контраст и матричный эффект</x:v>
      </x:c>
      <x:c r="G5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баланс зависит от продукта.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матрица зависит от формы продукта.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5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5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0" s="28" t="str">
        <x:v>напиток, соус, десерт или горячее блюдо после пробной дегустации</x:v>
      </x:c>
      <x:c r="K50" s="28" t="str">
        <x:v>Средняя</x:v>
      </x:c>
      <x:c r="L50" s="28" t="str">
        <x:v>The Art &amp; Science of Foodpairing.pdf</x:v>
      </x:c>
      <x:c r="M50" s="28" t="str">
        <x:v>The Art &amp; Science of Foodpairing.pdf: 185 | The Art &amp; Science of Foodpairing.pdf: 188</x:v>
      </x:c>
    </x:row>
    <x:row r="51" ht="64" customHeight="1">
      <x:c r="A51" s="28" t="str">
        <x:v>STN-0059</x:v>
      </x:c>
      <x:c r="B51" s="28" t="str">
        <x:v>абрикос</x:v>
      </x:c>
      <x:c r="C51" s="28" t="str">
        <x:v>абрикос</x:v>
      </x:c>
      <x:c r="D51" s="28" t="str">
        <x:v>свинина</x:v>
      </x:c>
      <x:c r="E51" s="28" t="str">
        <x:v>Мясо и птица</x:v>
      </x:c>
      <x:c r="F51" s="28" t="str">
        <x:v>комплементарность ароматических семейств, вкусовой контраст и матричный эффект</x:v>
      </x:c>
      <x:c r="G5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Свинина относится к группе «Мясо и птица» и даёт профиль «мясной, жареный, жирный и сернистый»; типичные соединения или классы: пиразины, тиазолы, альдегиды Стреккера,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удерживает фруктовые терпены и смягчает кислоту.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реакции Майяра создают мост к карамельным, ореховым и сухофруктовым нотам.</x:v>
      </x:c>
      <x:c r="H5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реакции Майяра создают мост к карамельным, ореховым и сухофруктовым нотам.</x:v>
      </x:c>
      <x:c r="I5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J51" s="28" t="str">
        <x:v>соус, глазировка, чатни, маринад, гарнир или основное блюдо</x:v>
      </x:c>
      <x:c r="K51" s="28" t="str">
        <x:v>Средняя</x:v>
      </x:c>
      <x:c r="L51" s="28" t="str">
        <x:v>Тезариус вкусов (Ники Сегнит)(1).pdf</x:v>
      </x:c>
      <x:c r="M51" s="28" t="str">
        <x:v>Тезариус вкусов (Ники Сегнит)(1).pdf: 77 | Тезариус вкусов (Ники Сегнит)(1).pdf: 744</x:v>
      </x:c>
    </x:row>
    <x:row r="52" ht="64" customHeight="1">
      <x:c r="A52" s="28" t="str">
        <x:v>STN-0060</x:v>
      </x:c>
      <x:c r="B52" s="28" t="str">
        <x:v>абрикос</x:v>
      </x:c>
      <x:c r="C52" s="28" t="str">
        <x:v>абрикос</x:v>
      </x:c>
      <x:c r="D52" s="28" t="str">
        <x:v>семена кардамона</x:v>
      </x:c>
      <x:c r="E52" s="28" t="str">
        <x:v>Специи</x:v>
      </x:c>
      <x:c r="F52" s="28" t="str">
        <x:v>комплементарность ароматических семейств, вкусовой контраст и матричный эффект</x:v>
      </x:c>
      <x:c r="G5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Семена кардамона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пряный, иногда горький.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хорошо извлекаются спиртом и жиром.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5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5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2" s="28" t="str">
        <x:v>напиток, соус, десерт или горячее блюдо после пробной дегустации</x:v>
      </x:c>
      <x:c r="K52" s="28" t="str">
        <x:v>Средняя</x:v>
      </x:c>
      <x:c r="L52" s="28" t="str">
        <x:v>The Art &amp; Science of Foodpairing.pdf</x:v>
      </x:c>
      <x:c r="M52" s="28" t="str">
        <x:v>The Art &amp; Science of Foodpairing.pdf: 256</x:v>
      </x:c>
    </x:row>
    <x:row r="53" ht="64" customHeight="1">
      <x:c r="A53" s="28" t="str">
        <x:v>STN-0061</x:v>
      </x:c>
      <x:c r="B53" s="28" t="str">
        <x:v>абрикос</x:v>
      </x:c>
      <x:c r="C53" s="28" t="str">
        <x:v>абрикос</x:v>
      </x:c>
      <x:c r="D53" s="28" t="str">
        <x:v>слива</x:v>
      </x:c>
      <x:c r="E53" s="28" t="str">
        <x:v>Косточковые фрукты</x:v>
      </x:c>
      <x:c r="F53" s="28" t="str">
        <x:v>прямое или классовое перекрытие характерных одорантов + вкусовой баланс</x:v>
      </x:c>
      <x:c r="G5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Слива относится к группе «Косточковые фрукты» и даёт профиль «винно-фруктовый, цветочный, зелёный, пряный, миндальный; от свежего до тёмно-джемового»; типичные соединения или классы: фруктовые эфиры, γ- и δ-лактоны, бензальдегид, линалоол, C6-альдегиды, дамасконы. В рабочих профилях пересекаются: бензальдегид, линалоол, фруктовые эфиры. Общие ароматические направления: цветочный, фруктовый, миндальный.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заметная яблочно-лимонная кислотность; кожица часто терпкая.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сочная пектиновая мякоть; кожица богата полифенолами; аромат хорошо работает в воде, сахаре 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H5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I5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3" s="28" t="str">
        <x:v>напиток, соус, десерт или горячее блюдо после пробной дегустации</x:v>
      </x:c>
      <x:c r="K53" s="28" t="str">
        <x:v>Гипотеза / практическая</x:v>
      </x:c>
      <x:c r="L53" s="28" t="str">
        <x:v>Таблица сочетания(1).pdf</x:v>
      </x:c>
      <x:c r="M53" s="28" t="str">
        <x:v>Таблица сочетания(1).pdf: 1</x:v>
      </x:c>
    </x:row>
    <x:row r="54" ht="64" customHeight="1">
      <x:c r="A54" s="28" t="str">
        <x:v>STN-0062</x:v>
      </x:c>
      <x:c r="B54" s="28" t="str">
        <x:v>абрикос</x:v>
      </x:c>
      <x:c r="C54" s="28" t="str">
        <x:v>абрикос</x:v>
      </x:c>
      <x:c r="D54" s="28" t="str">
        <x:v>сычуаньский перец</x:v>
      </x:c>
      <x:c r="E54" s="28" t="str">
        <x:v>Специи и острые компоненты</x:v>
      </x:c>
      <x:c r="F54" s="28" t="str">
        <x:v>комплементарность ароматических семейств, вкусовой контраст и матричный эффект</x:v>
      </x:c>
      <x:c r="G5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Сычуаньский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гидрофобные молекулы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</x:v>
      </x:c>
      <x:c r="H5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</x:v>
      </x:c>
      <x:c r="I5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54" s="28" t="str">
        <x:v>напиток, соус, десерт или горячее блюдо после пробной дегустации</x:v>
      </x:c>
      <x:c r="K54" s="28" t="str">
        <x:v>Средняя</x:v>
      </x:c>
      <x:c r="L54" s="28" t="str">
        <x:v>The Art &amp; Science of Foodpairing.pdf</x:v>
      </x:c>
      <x:c r="M54" s="28" t="str">
        <x:v>The Art &amp; Science of Foodpairing.pdf: 206</x:v>
      </x:c>
    </x:row>
    <x:row r="55" ht="64" customHeight="1">
      <x:c r="A55" s="28" t="str">
        <x:v>STN-0064</x:v>
      </x:c>
      <x:c r="B55" s="28" t="str">
        <x:v>абрикос</x:v>
      </x:c>
      <x:c r="C55" s="28" t="str">
        <x:v>абрикос</x:v>
      </x:c>
      <x:c r="D55" s="28" t="str">
        <x:v>тимьяновый мед</x:v>
      </x:c>
      <x:c r="E55" s="28" t="str">
        <x:v>Травы, листья и цветы</x:v>
      </x:c>
      <x:c r="F55" s="28" t="str">
        <x:v>прямое или классовое перекрытие характерных одорантов + вкусовой баланс</x:v>
      </x:c>
      <x:c r="G5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Тимьяновый мед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гераниол. Общие ароматические направления: цветочный. Цветочные и зелёные ноты расширяют верхнюю часть аромата; фруктовая сладость смягчает травяную горечь.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экстрагируются жиром или этанолом.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Травы лучше вводить холодной мацерацией или в финале: длительный нагрев удаляет летучие терпены.</x:v>
      </x:c>
      <x:c r="H5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Травы лучше вводить холодной мацерацией или в финале: длительный нагрев удаляет летучие терпены.</x:v>
      </x:c>
      <x:c r="I5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5" s="28" t="str">
        <x:v>напиток, соус, десерт или горячее блюдо после пробной дегустации</x:v>
      </x:c>
      <x:c r="K55" s="28" t="str">
        <x:v>Средняя</x:v>
      </x:c>
      <x:c r="L55" s="28" t="str">
        <x:v>The Art &amp; Science of Foodpairing.pdf</x:v>
      </x:c>
      <x:c r="M55" s="28" t="str">
        <x:v>The Art &amp; Science of Foodpairing.pdf: 206</x:v>
      </x:c>
    </x:row>
    <x:row r="56" ht="64" customHeight="1">
      <x:c r="A56" s="28" t="str">
        <x:v>STN-0065</x:v>
      </x:c>
      <x:c r="B56" s="28" t="str">
        <x:v>абрикос</x:v>
      </x:c>
      <x:c r="C56" s="28" t="str">
        <x:v>абрикос</x:v>
      </x:c>
      <x:c r="D56" s="28" t="str">
        <x:v>томаты черри</x:v>
      </x:c>
      <x:c r="E56" s="28" t="str">
        <x:v>Овощи и корнеплоды</x:v>
      </x:c>
      <x:c r="F56" s="28" t="str">
        <x:v>комплементарность ароматических семейств, вкусовой контраст и матричный эффект</x:v>
      </x:c>
      <x:c r="G5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Томаты черри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сладость, горечь, умами и вода.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 и клетчаточная матрица; обжарка усиливает сладость и Майяр.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5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5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6" s="28" t="str">
        <x:v>соус, глазировка, чатни, маринад, гарнир или основное блюдо</x:v>
      </x:c>
      <x:c r="K56" s="28" t="str">
        <x:v>Средняя</x:v>
      </x:c>
      <x:c r="L56" s="28" t="str">
        <x:v>The Art &amp; Science of Foodpairing.pdf</x:v>
      </x:c>
      <x:c r="M56" s="28" t="str">
        <x:v>The Art &amp; Science of Foodpairing.pdf: 161</x:v>
      </x:c>
    </x:row>
    <x:row r="57" ht="64" customHeight="1">
      <x:c r="A57" s="28" t="str">
        <x:v>STN-0066</x:v>
      </x:c>
      <x:c r="B57" s="28" t="str">
        <x:v>абрикос</x:v>
      </x:c>
      <x:c r="C57" s="28" t="str">
        <x:v>абрикос</x:v>
      </x:c>
      <x:c r="D57" s="28" t="str">
        <x:v>укроп</x:v>
      </x:c>
      <x:c r="E57" s="28" t="str">
        <x:v>Травы и цветы</x:v>
      </x:c>
      <x:c r="F57" s="28" t="str">
        <x:v>прямое или классовое перекрытие характерных одорантов + вкусовой баланс</x:v>
      </x:c>
      <x:c r="G5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5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5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7" s="28" t="str">
        <x:v>напиток, соус, десерт или горячее блюдо после пробной дегустации</x:v>
      </x:c>
      <x:c r="K57" s="28" t="str">
        <x:v>Гипотеза / практическая</x:v>
      </x:c>
      <x:c r="L57" s="28" t="str">
        <x:v>Таблица сочетания(1).pdf</x:v>
      </x:c>
      <x:c r="M57" s="28" t="str">
        <x:v>Таблица сочетания(1).pdf: 7</x:v>
      </x:c>
    </x:row>
    <x:row r="58" ht="64" customHeight="1">
      <x:c r="A58" s="28" t="str">
        <x:v>STN-0067</x:v>
      </x:c>
      <x:c r="B58" s="28" t="str">
        <x:v>абрикос</x:v>
      </x:c>
      <x:c r="C58" s="28" t="str">
        <x:v>абрикос</x:v>
      </x:c>
      <x:c r="D58" s="28" t="str">
        <x:v>фиалка</x:v>
      </x:c>
      <x:c r="E58" s="28" t="str">
        <x:v>Травы и цветы</x:v>
      </x:c>
      <x:c r="F58" s="28" t="str">
        <x:v>прямое или классовое перекрытие характерных одорантов + вкусовой баланс</x:v>
      </x:c>
      <x:c r="G5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Фиалка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линалоол, гераниол. Общие ароматические направления: цветочный. Базовый фрукт даёт: сладость и заметная фруктовая кислотность; сушёный плод становится слаще, плотнее и слегка карамельным.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эфирные масла гидрофобны и лучше раскрываются в жире или этаноле.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5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5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8" s="28" t="str">
        <x:v>напиток, соус, десерт или горячее блюдо после пробной дегустации</x:v>
      </x:c>
      <x:c r="K58" s="28" t="str">
        <x:v>Гипотеза / практическая</x:v>
      </x:c>
      <x:c r="L58" s="28" t="str">
        <x:v>Таблица сочетания(1).pdf</x:v>
      </x:c>
      <x:c r="M58" s="28" t="str">
        <x:v>Таблица сочетания(1).pdf: 21</x:v>
      </x:c>
    </x:row>
    <x:row r="59" ht="64" customHeight="1">
      <x:c r="A59" s="28" t="str">
        <x:v>STN-0068</x:v>
      </x:c>
      <x:c r="B59" s="28" t="str">
        <x:v>абрикос</x:v>
      </x:c>
      <x:c r="C59" s="28" t="str">
        <x:v>абрикос</x:v>
      </x:c>
      <x:c r="D59" s="28" t="str">
        <x:v>финик</x:v>
      </x:c>
      <x:c r="E59" s="28" t="str">
        <x:v>Сухофрукты и тропические плоды</x:v>
      </x:c>
      <x:c r="F59" s="28" t="str">
        <x:v>комплементарность ароматических семейств, вкусовой контраст и матричный эффект</x:v>
      </x:c>
      <x:c r="G59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Финик относится к группе «Сухофрукты и тропические плоды» и даёт профиль «медовый, карамельный, сухофруктовый, ореховый и пряный»; типичные соединения или классы: фураны, альдегиды Стреккера, фенольные соединения и продукты карамелизации. По доступным материалам нельзя уверенно свести совместимость к одной общей молекуле. Общие ароматические направления: фруктовый, медовый. Базовый фрукт даёт: сладость и заметная фруктовая кислотность; сушёный плод становится слаще, плотнее и слегка карамельным. Партнёр добавляет: очень высокая сладость, низкая кислотность.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плотная сахаристая и вязкая; хорошо связывает жир и специи.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H59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I59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59" s="28" t="str">
        <x:v>напиток, соус, десерт или горячее блюдо после пробной дегустации</x:v>
      </x:c>
      <x:c r="K59" s="28" t="str">
        <x:v>Гипотеза / практическая</x:v>
      </x:c>
      <x:c r="L59" s="28" t="str">
        <x:v>Таблица сочетания(1).pdf</x:v>
      </x:c>
      <x:c r="M59" s="28" t="str">
        <x:v>Таблица сочетания(1).pdf: Таблица сочетаний: 7 | Таблица сочетания(1).pdf: 7</x:v>
      </x:c>
    </x:row>
    <x:row r="60" ht="64" customHeight="1">
      <x:c r="A60" s="28" t="str">
        <x:v>STN-0070</x:v>
      </x:c>
      <x:c r="B60" s="28" t="str">
        <x:v>абрикос</x:v>
      </x:c>
      <x:c r="C60" s="28" t="str">
        <x:v>абрикос</x:v>
      </x:c>
      <x:c r="D60" s="28" t="str">
        <x:v>хамон иберико</x:v>
      </x:c>
      <x:c r="E60" s="28" t="str">
        <x:v>Мясо и птица</x:v>
      </x:c>
      <x:c r="F60" s="28" t="str">
        <x:v>комплементарность ароматических семейств, вкусовой контраст и матричный эффект</x:v>
      </x:c>
      <x:c r="G60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Хамон иберико относится к группе «Мясо и птица» и даёт профиль «жареный, жирный, сернистый, умами»; типичные соединения или классы: альдегиды, пиразины,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переносит аромат; реакция Майяра создаёт новые одоранты.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H60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I60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J60" s="28" t="str">
        <x:v>соус, глазировка, чатни, маринад, гарнир или основное блюдо</x:v>
      </x:c>
      <x:c r="K60" s="28" t="str">
        <x:v>Средняя</x:v>
      </x:c>
      <x:c r="L60" s="28" t="str">
        <x:v>The Art &amp; Science of Foodpairing.pdf</x:v>
      </x:c>
      <x:c r="M60" s="28" t="str">
        <x:v>The Art &amp; Science of Foodpairing.pdf: 278</x:v>
      </x:c>
    </x:row>
    <x:row r="61" ht="64" customHeight="1">
      <x:c r="A61" s="28" t="str">
        <x:v>STN-0071</x:v>
      </x:c>
      <x:c r="B61" s="28" t="str">
        <x:v>абрикос</x:v>
      </x:c>
      <x:c r="C61" s="28" t="str">
        <x:v>абрикос</x:v>
      </x:c>
      <x:c r="D61" s="28" t="str">
        <x:v>хамон серрано</x:v>
      </x:c>
      <x:c r="E61" s="28" t="str">
        <x:v>Мясо и птица</x:v>
      </x:c>
      <x:c r="F61" s="28" t="str">
        <x:v>комплементарность ароматических семейств, вкусовой контраст и матричный эффект</x:v>
      </x:c>
      <x:c r="G61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Хамон серрано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 мякоть; низкий жир; кожица и косточка могут добавлять терпкость и миндальный оттенок. Партнёр: жир удерживает фруктовые лактоны; белок смягчает кислотность.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H61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Обжарка создаёт пиразины и фураны; фруктовый компонент лучше добавлять как глазировку или соус ближе к завершению.</x:v>
      </x:c>
      <x:c r="I61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Избыток сахара делает соус липким и скрывает умами; кислоту и соль корректируют после уваривания.</x:v>
      </x:c>
      <x:c r="J61" s="28" t="str">
        <x:v>соус, глазировка, чатни, маринад, гарнир или основное блюдо</x:v>
      </x:c>
      <x:c r="K61" s="28" t="str">
        <x:v>Средняя</x:v>
      </x:c>
      <x:c r="L61" s="28" t="str">
        <x:v>The Art &amp; Science of Foodpairing.pdf</x:v>
      </x:c>
      <x:c r="M61" s="28" t="str">
        <x:v>The Art &amp; Science of Foodpairing.pdf: 206</x:v>
      </x:c>
    </x:row>
    <x:row r="62" ht="64" customHeight="1">
      <x:c r="A62" s="28" t="str">
        <x:v>STN-0072</x:v>
      </x:c>
      <x:c r="B62" s="28" t="str">
        <x:v>абрикос</x:v>
      </x:c>
      <x:c r="C62" s="28" t="str">
        <x:v>абрикос</x:v>
      </x:c>
      <x:c r="D62" s="28" t="str">
        <x:v>чернослив</x:v>
      </x:c>
      <x:c r="E62" s="28" t="str">
        <x:v>Сушёные косточковые фрукты</x:v>
      </x:c>
      <x:c r="F62" s="28" t="str">
        <x:v>прямое или классовое перекрытие характерных одорантов + вкусовой баланс</x:v>
      </x:c>
      <x:c r="G62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Чернослив относится к группе «Сушёные косточковые фрукты» и даёт профиль «тёмно-фруктовый, карамельный, винный, слегка дымный и миндальный»; типичные соединения или классы: фурфурол, 5-метилфурфурол, мальтол, лактоны, бензальдегид, продукты термического распада сахаров. В рабочих профилях пересекаются: бензальдегид. Общие ароматические направления: фруктовый, миндальный. Базовый фрукт даёт: сладость и заметная фруктовая кислотность; сушёный плод становится слаще, плотнее и слегка карамельным.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маловодная, богатая сахарами, пектином и сорбитолом; хорошо удерживает специи и алкоголь.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H6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I6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2" s="28" t="str">
        <x:v>напиток, соус, десерт или горячее блюдо после пробной дегустации</x:v>
      </x:c>
      <x:c r="K62" s="28" t="str">
        <x:v>Высокая</x:v>
      </x:c>
      <x:c r="L62" s="28" t="str">
        <x:v>The Art &amp; Science of Foodpairing.pdf | Таблица сочетания(1).pdf</x:v>
      </x:c>
      <x:c r="M62" s="28" t="str">
        <x:v>Таблица сочетания(1).pdf: 18 | The Art &amp; Science of Foodpairing.pdf: 206</x:v>
      </x:c>
    </x:row>
    <x:row r="63" ht="64" customHeight="1">
      <x:c r="A63" s="28" t="str">
        <x:v>STN-0073</x:v>
      </x:c>
      <x:c r="B63" s="28" t="str">
        <x:v>абрикос</x:v>
      </x:c>
      <x:c r="C63" s="28" t="str">
        <x:v>абрикос</x:v>
      </x:c>
      <x:c r="D63" s="28" t="str">
        <x:v>черные оливки</x:v>
      </x:c>
      <x:c r="E63" s="28" t="str">
        <x:v>Прочее</x:v>
      </x:c>
      <x:c r="F63" s="28" t="str">
        <x:v>комплементарность ароматических семейств, вкусовой контраст и матричный эффект</x:v>
      </x:c>
      <x:c r="G63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Черные оливки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зависит от ингредиента.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механизм зависит от конкретного продукта.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63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63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3" s="28" t="str">
        <x:v>напиток, соус, десерт или горячее блюдо после пробной дегустации</x:v>
      </x:c>
      <x:c r="K63" s="28" t="str">
        <x:v>Средняя</x:v>
      </x:c>
      <x:c r="L63" s="28" t="str">
        <x:v>The Art &amp; Science of Foodpairing.pdf</x:v>
      </x:c>
      <x:c r="M63" s="28" t="str">
        <x:v>The Art &amp; Science of Foodpairing.pdf: 216</x:v>
      </x:c>
    </x:row>
    <x:row r="64" ht="64" customHeight="1">
      <x:c r="A64" s="28" t="str">
        <x:v>STN-0074</x:v>
      </x:c>
      <x:c r="B64" s="28" t="str">
        <x:v>абрикос</x:v>
      </x:c>
      <x:c r="C64" s="28" t="str">
        <x:v>абрикос</x:v>
      </x:c>
      <x:c r="D64" s="28" t="str">
        <x:v>черный перец</x:v>
      </x:c>
      <x:c r="E64" s="28" t="str">
        <x:v>Специи и острые компоненты</x:v>
      </x:c>
      <x:c r="F64" s="28" t="str">
        <x:v>комплементарность ароматических семейств, вкусовой контраст и матричный эффект</x:v>
      </x:c>
      <x:c r="G64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Черный перец относится к группе «Специи и острые компоненты» и даёт профиль «древесный, цитрусовый и пряный»; типичные соединения или классы: пиперин, лимонен, сабинен.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 мякоть; низкий жир; кожица и косточка могут добавлять терпкость и миндальный оттенок. Партнёр: ароматические масла хорошо переходят в жир и этанол.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64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64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Специя легко доминирует; начинайте с низкой дозировки и учитывайте рост остроты после выдержки.</x:v>
      </x:c>
      <x:c r="J64" s="28" t="str">
        <x:v>напиток, соус, десерт или горячее блюдо после пробной дегустации</x:v>
      </x:c>
      <x:c r="K64" s="28" t="str">
        <x:v>Гипотеза / практическая</x:v>
      </x:c>
      <x:c r="L64" s="28" t="str">
        <x:v>Таблица сочетания(1).pdf</x:v>
      </x:c>
      <x:c r="M64" s="28" t="str">
        <x:v>Таблица сочетания(1).pdf: 1</x:v>
      </x:c>
    </x:row>
    <x:row r="65" ht="64" customHeight="1">
      <x:c r="A65" s="28" t="str">
        <x:v>STN-0076</x:v>
      </x:c>
      <x:c r="B65" s="28" t="str">
        <x:v>абрикос</x:v>
      </x:c>
      <x:c r="C65" s="28" t="str">
        <x:v>абрикос</x:v>
      </x:c>
      <x:c r="D65" s="28" t="str">
        <x:v>шампиньоны</x:v>
      </x:c>
      <x:c r="E65" s="28" t="str">
        <x:v>Грибы и трюфели</x:v>
      </x:c>
      <x:c r="F65" s="28" t="str">
        <x:v>комплементарность ароматических семейств, вкусовой контраст и матричный эффект</x:v>
      </x:c>
      <x:c r="G65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Шампиньоны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сладость и заметная фруктовая кислотность; сушёный плод становится слаще, плотнее и слегка карамельным. Партнёр добавляет: умами и лёгкая горечь.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вода и клетчатка; обжарка создаёт новые жареные молекулы.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65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65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5" s="28" t="str">
        <x:v>соус, глазировка, чатни, маринад, гарнир или основное блюдо</x:v>
      </x:c>
      <x:c r="K65" s="28" t="str">
        <x:v>Средняя</x:v>
      </x:c>
      <x:c r="L65" s="28" t="str">
        <x:v>The Art &amp; Science of Foodpairing.pdf</x:v>
      </x:c>
      <x:c r="M65" s="28" t="str">
        <x:v>The Art &amp; Science of Foodpairing.pdf: 206</x:v>
      </x:c>
    </x:row>
    <x:row r="66" ht="64" customHeight="1">
      <x:c r="A66" s="28" t="str">
        <x:v>STN-0077</x:v>
      </x:c>
      <x:c r="B66" s="28" t="str">
        <x:v>абрикос</x:v>
      </x:c>
      <x:c r="C66" s="28" t="str">
        <x:v>абрикос</x:v>
      </x:c>
      <x:c r="D66" s="28" t="str">
        <x:v>шоколад</x:v>
      </x:c>
      <x:c r="E66" s="28" t="str">
        <x:v>Чай, кофе и какао</x:v>
      </x:c>
      <x:c r="F66" s="28" t="str">
        <x:v>комплементарность ароматических семейств, вкусовой контраст и матричный эффект</x:v>
      </x:c>
      <x:c r="G66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горечь, терпкость и жареная сладость.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водные настои извлекают полифенолы; жир и сахар смягчают горечь.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66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66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6" s="28" t="str">
        <x:v>напиток, соус, десерт или горячее блюдо после пробной дегустации</x:v>
      </x:c>
      <x:c r="K66" s="28" t="str">
        <x:v>Средняя</x:v>
      </x:c>
      <x:c r="L66" s="28" t="str">
        <x:v>Тезариус вкусов (Ники Сегнит)(1).pdf</x:v>
      </x:c>
      <x:c r="M66" s="28" t="str">
        <x:v>Тезариус вкусов (Ники Сегнит)(1).pdf: 25 | Тезариус вкусов (Ники Сегнит)(1).pdf: 745</x:v>
      </x:c>
    </x:row>
    <x:row r="67" ht="64" customHeight="1">
      <x:c r="A67" s="28" t="str">
        <x:v>STN-0078</x:v>
      </x:c>
      <x:c r="B67" s="28" t="str">
        <x:v>абрикос</x:v>
      </x:c>
      <x:c r="C67" s="28" t="str">
        <x:v>абрикос</x:v>
      </x:c>
      <x:c r="D67" s="28" t="str">
        <x:v>яблоко</x:v>
      </x:c>
      <x:c r="E67" s="28" t="str">
        <x:v>Семечковые фрукты</x:v>
      </x:c>
      <x:c r="F67" s="28" t="str">
        <x:v>прямое или классовое перекрытие характерных одорантов + вкусовой баланс</x:v>
      </x:c>
      <x:c r="G67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Яблоко относится к группе «Семечковые фрукты» и даёт профиль «свежий фруктовый, зелёный, цветочный, пряный; профиль сильно зависит от сорта и зрелости»; типичные соединения или классы: гексилацетат, бутил ацетат, этил-2-метилбутират, гексаналь, транс-2-гексеналь, β-дамасценон. В рабочих профилях пересекаются: дамасценон. Общие ароматические направления: цветочный, фруктовый. Базовый фрукт даёт: сладость и заметная фруктовая кислотность; сушёный плод становится слаще, плотнее и слегка карамельным. Партнёр добавляет: сладость и яблочная кислота; иногда лёгкая терпкость кожицы. Баланс корректируется сахаром, кислотой, солью и горечью. Матрица пары: водно-пектиновая мякоть; низкий жир; кожица и косточка могут добавлять терпкость и миндальный оттенок. Партнёр: водная, с пектином; низкое содержание жира; ароматические эфиры быстро теряются после разрезания.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H67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I67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7" s="28" t="str">
        <x:v>напиток, соус, десерт или горячее блюдо после пробной дегустации</x:v>
      </x:c>
      <x:c r="K67" s="28" t="str">
        <x:v>Гипотеза / практическая</x:v>
      </x:c>
      <x:c r="L67" s="28" t="str">
        <x:v>The Art &amp; Science of Foodpairing.pdf</x:v>
      </x:c>
      <x:c r="M67" s="28" t="str">
        <x:v>The Art &amp; Science of Foodpairing.pdf: The Art &amp; Science of Foodpairing: 48,49</x:v>
      </x:c>
    </x:row>
    <x:row r="68" ht="64" customHeight="1">
      <x:c r="A68" s="28" t="str">
        <x:v>STN-0079</x:v>
      </x:c>
      <x:c r="B68" s="28" t="str">
        <x:v>абрикос</x:v>
      </x:c>
      <x:c r="C68" s="28" t="str">
        <x:v>абрикос</x:v>
      </x:c>
      <x:c r="D68" s="28" t="str">
        <x:v>яблоко кокс оранж пиппин</x:v>
      </x:c>
      <x:c r="E68" s="28" t="str">
        <x:v>Фрукты</x:v>
      </x:c>
      <x:c r="F68" s="28" t="str">
        <x:v>прямое или классовое перекрытие характерных одорантов + вкусовой баланс</x:v>
      </x:c>
      <x:c r="G68" s="28" t="str">
        <x:v>Абрикос формирует профиль «цветочный, фруктовый, медовый, сливочно-лактонный, миндальный»; характерные соединения: γ- и δ-лактоны, линалоол, гераниол, бензальдегид, β-ионон, дамасценон, фруктовые эфиры. Яблоко кокс оранж пиппин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фруктовый. Близкие фруктовые эфиры создают непрерывность, а различия в кислотности, терпкости и сладости формируют контраст. Матрица пары: водно-пектиновая мякоть; низкий жир; кожица и косточка могут добавлять терпкость и миндальный оттенок. Партнёр: преимущественно водно-пектиновая матрица. Обработка: 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H68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нот. Холодная обработка лучше сохраняет летучие эфиры; нагрев смещает профиль к джему, карамели и сухофруктам.</x:v>
      </x:c>
      <x:c r="I68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ноты. Главный риск — неверная дозировка и потеря свежих летучих нот после нагрева или выдержки.</x:v>
      </x:c>
      <x:c r="J68" s="28" t="str">
        <x:v>сорбет, салат, джем, кордиал, лимонад, коктейль или фруктовый соус</x:v>
      </x:c>
      <x:c r="K68" s="28" t="str">
        <x:v>Средняя</x:v>
      </x:c>
      <x:c r="L68" s="28" t="str">
        <x:v>The Art &amp; Science of Foodpairing.pdf</x:v>
      </x:c>
      <x:c r="M68" s="28" t="str">
        <x:v>The Art &amp; Science of Foodpairing.pdf: 47 | The Art &amp; Science of Foodpairing.pdf: 48 | The Art &amp; Science of Foodpairing.pdf: 49</x:v>
      </x:c>
    </x:row>
    <x:row r="69" ht="64" customHeight="1">
      <x:c r="A69" s="28" t="str">
        <x:v>STN-0082</x:v>
      </x:c>
      <x:c r="B69" s="28" t="str">
        <x:v>персик</x:v>
      </x:c>
      <x:c r="C69" s="28" t="str">
        <x:v>персик</x:v>
      </x:c>
      <x:c r="D69" s="28" t="str">
        <x:v>авокадо</x:v>
      </x:c>
      <x:c r="E69" s="28" t="str">
        <x:v>Тропические фрукты и жирные матрицы</x:v>
      </x:c>
      <x:c r="F69" s="28" t="str">
        <x:v>прямое или классовое перекрытие характерных одорантов + вкусовой баланс</x:v>
      </x:c>
      <x:c r="G6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В рабочих профилях пересекаются: гексаналь.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мягкий, жирный, почти несладкий; лёгкая растительная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высокожировая эмульсия; хорошо растворяет гидрофобные ароматические молекулы.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6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6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69" s="28" t="str">
        <x:v>напиток, соус, десерт или горячее блюдо после пробной дегустации</x:v>
      </x:c>
      <x:c r="K69" s="28" t="str">
        <x:v>Средняя</x:v>
      </x:c>
      <x:c r="L69" s="28" t="str">
        <x:v>The Art &amp; Science of Foodpairing.pdf</x:v>
      </x:c>
      <x:c r="M69" s="28" t="str">
        <x:v>The Art &amp; Science of Foodpairing.pdf: 355 | The Art &amp; Science of Foodpairing.pdf: 260–261</x:v>
      </x:c>
    </x:row>
    <x:row r="70" ht="64" customHeight="1">
      <x:c r="A70" s="28" t="str">
        <x:v>STN-0084</x:v>
      </x:c>
      <x:c r="B70" s="28" t="str">
        <x:v>персик</x:v>
      </x:c>
      <x:c r="C70" s="28" t="str">
        <x:v>персик</x:v>
      </x:c>
      <x:c r="D70" s="28" t="str">
        <x:v>апельсин</x:v>
      </x:c>
      <x:c r="E70" s="28" t="str">
        <x:v>Цитрусовые</x:v>
      </x:c>
      <x:c r="F70" s="28" t="str">
        <x:v>прямое или классовое перекрытие характерных одорантов + вкусовой баланс</x:v>
      </x:c>
      <x:c r="G7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 и кислый, цедра содержит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7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7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0" s="28" t="str">
        <x:v>сорбет, салат, джем, кордиал, лимонад, коктейль или фруктовый соус</x:v>
      </x:c>
      <x:c r="K70" s="28" t="str">
        <x:v>Средняя</x:v>
      </x:c>
      <x:c r="L70" s="28" t="str">
        <x:v>Тезариус вкусов (Ники Сегнит)(1).pdf</x:v>
      </x:c>
      <x:c r="M70" s="28" t="str">
        <x:v>Тезариус вкусов (Ники Сегнит)(1).pdf: Тезариус вкусов (Ники Сегнит)(1).pdf: 747, 779 | Тезариус вкусов (Ники Сегнит)(1).pdf: 747 | Тезариус вкусов (Ники Сегнит)(1).pdf: 779</x:v>
      </x:c>
    </x:row>
    <x:row r="71" ht="64" customHeight="1">
      <x:c r="A71" s="28" t="str">
        <x:v>STN-0085</x:v>
      </x:c>
      <x:c r="B71" s="28" t="str">
        <x:v>персик</x:v>
      </x:c>
      <x:c r="C71" s="28" t="str">
        <x:v>персик</x:v>
      </x:c>
      <x:c r="D71" s="28" t="str">
        <x:v>бадьян</x:v>
      </x:c>
      <x:c r="E71" s="28" t="str">
        <x:v>Специи и острые компоненты</x:v>
      </x:c>
      <x:c r="F71" s="28" t="str">
        <x:v>комплементарность ароматических семейств, вкусовой контраст и матричный эффект</x:v>
      </x:c>
      <x:c r="G7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Бадьян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71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71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71" s="28" t="str">
        <x:v>напиток, соус, десерт или горячее блюдо после пробной дегустации</x:v>
      </x:c>
      <x:c r="K71" s="28" t="str">
        <x:v>Средняя</x:v>
      </x:c>
      <x:c r="L71" s="28" t="str">
        <x:v>The Art &amp; Science of Foodpairing.pdf</x:v>
      </x:c>
      <x:c r="M71" s="28" t="str">
        <x:v>The Art &amp; Science of Foodpairing.pdf: 260–261</x:v>
      </x:c>
    </x:row>
    <x:row r="72" ht="64" customHeight="1">
      <x:c r="A72" s="28" t="str">
        <x:v>STN-0086</x:v>
      </x:c>
      <x:c r="B72" s="28" t="str">
        <x:v>персик</x:v>
      </x:c>
      <x:c r="C72" s="28" t="str">
        <x:v>персик</x:v>
      </x:c>
      <x:c r="D72" s="28" t="str">
        <x:v>базилик</x:v>
      </x:c>
      <x:c r="E72" s="28" t="str">
        <x:v>Травы и цветы</x:v>
      </x:c>
      <x:c r="F72" s="28" t="str">
        <x:v>прямое или классовое перекрытие характерных одорантов + вкусовой баланс</x:v>
      </x:c>
      <x:c r="G7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7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7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2" s="28" t="str">
        <x:v>напиток, соус, десерт или горячее блюдо после пробной дегустации</x:v>
      </x:c>
      <x:c r="K72" s="28" t="str">
        <x:v>Гипотеза / практическая</x:v>
      </x:c>
      <x:c r="L72" s="28" t="str">
        <x:v>Таблица сочетания(1).pdf</x:v>
      </x:c>
      <x:c r="M72" s="28" t="str">
        <x:v>Таблица сочетания(1).pdf: 15</x:v>
      </x:c>
    </x:row>
    <x:row r="73" ht="64" customHeight="1">
      <x:c r="A73" s="28" t="str">
        <x:v>STN-0087</x:v>
      </x:c>
      <x:c r="B73" s="28" t="str">
        <x:v>персик</x:v>
      </x:c>
      <x:c r="C73" s="28" t="str">
        <x:v>персик</x:v>
      </x:c>
      <x:c r="D73" s="28" t="str">
        <x:v>байонская ветчина</x:v>
      </x:c>
      <x:c r="E73" s="28" t="str">
        <x:v>Мясо и птица</x:v>
      </x:c>
      <x:c r="F73" s="28" t="str">
        <x:v>комплементарность ароматических семейств, вкусовой контраст и матричный эффект</x:v>
      </x:c>
      <x:c r="G7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Байонская ветчина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H73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I73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73" s="28" t="str">
        <x:v>соус, глазировка, чатни, маринад, гарнир или основное блюдо</x:v>
      </x:c>
      <x:c r="K73" s="28" t="str">
        <x:v>Средняя</x:v>
      </x:c>
      <x:c r="L73" s="28" t="str">
        <x:v>The Art &amp; Science of Foodpairing.pdf</x:v>
      </x:c>
      <x:c r="M73" s="28" t="str">
        <x:v>The Art &amp; Science of Foodpairing.pdf: 260–261</x:v>
      </x:c>
    </x:row>
    <x:row r="74" ht="64" customHeight="1">
      <x:c r="A74" s="28" t="str">
        <x:v>STN-0088</x:v>
      </x:c>
      <x:c r="B74" s="28" t="str">
        <x:v>персик</x:v>
      </x:c>
      <x:c r="C74" s="28" t="str">
        <x:v>персик</x:v>
      </x:c>
      <x:c r="D74" s="28" t="str">
        <x:v>баранина на гриле</x:v>
      </x:c>
      <x:c r="E74" s="28" t="str">
        <x:v>Мясо и птица</x:v>
      </x:c>
      <x:c r="F74" s="28" t="str">
        <x:v>комплементарность ароматических семейств, вкусовой контраст и матричный эффект</x:v>
      </x:c>
      <x:c r="G7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Баранина на гриле относится к группе «Мясо и птица» и даёт профиль «жареный, жирный, сернистый, умами»; типичные соединения или классы: альдегиды, пиразины,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переносит аромат; реакция Майяра создаёт новые одоранты.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H74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I74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74" s="28" t="str">
        <x:v>соус, глазировка, чатни, маринад, гарнир или основное блюдо</x:v>
      </x:c>
      <x:c r="K74" s="28" t="str">
        <x:v>Средняя</x:v>
      </x:c>
      <x:c r="L74" s="28" t="str">
        <x:v>The Art &amp; Science of Foodpairing.pdf</x:v>
      </x:c>
      <x:c r="M74" s="28" t="str">
        <x:v>The Art &amp; Science of Foodpairing.pdf: 260–261</x:v>
      </x:c>
    </x:row>
    <x:row r="75" ht="64" customHeight="1">
      <x:c r="A75" s="28" t="str">
        <x:v>STN-0091</x:v>
      </x:c>
      <x:c r="B75" s="28" t="str">
        <x:v>персик</x:v>
      </x:c>
      <x:c r="C75" s="28" t="str">
        <x:v>персик</x:v>
      </x:c>
      <x:c r="D75" s="28" t="str">
        <x:v>бергамот</x:v>
      </x:c>
      <x:c r="E75" s="28" t="str">
        <x:v>Цитрусовые</x:v>
      </x:c>
      <x:c r="F75" s="28" t="str">
        <x:v>прямое или классовое перекрытие характерных одорантов + вкусовой баланс</x:v>
      </x:c>
      <x:c r="G7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Бергамот относится к группе «Цитрусовые» и даёт профиль «зелёный, цветочный, цитрусовый»; типичные соединения или классы: лимонен, линалоол, цитраль.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вода и эфирные масла; цедра гидрофобна.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7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7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5" s="28" t="str">
        <x:v>сорбет, салат, джем, кордиал, лимонад, коктейль или фруктовый соус</x:v>
      </x:c>
      <x:c r="K75" s="28" t="str">
        <x:v>Средняя</x:v>
      </x:c>
      <x:c r="L75" s="28" t="str">
        <x:v>The Art &amp; Science of Foodpairing.pdf</x:v>
      </x:c>
      <x:c r="M75" s="28" t="str">
        <x:v>The Art &amp; Science of Foodpairing.pdf: 260–261</x:v>
      </x:c>
    </x:row>
    <x:row r="76" ht="64" customHeight="1">
      <x:c r="A76" s="28" t="str">
        <x:v>STN-0092</x:v>
      </x:c>
      <x:c r="B76" s="28" t="str">
        <x:v>персик</x:v>
      </x:c>
      <x:c r="C76" s="28" t="str">
        <x:v>персик</x:v>
      </x:c>
      <x:c r="D76" s="28" t="str">
        <x:v>бриошь</x:v>
      </x:c>
      <x:c r="E76" s="28" t="str">
        <x:v>Злаки, хлеб и выпечка</x:v>
      </x:c>
      <x:c r="F76" s="28" t="str">
        <x:v>комплементарность ароматических семейств, вкусовой контраст и матричный эффект</x:v>
      </x:c>
      <x:c r="G7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Бриошь относится к группе «Злаки, хлеб и выпечка» и даёт профиль «хлебный, зерновой, ореховый, жареный и карамельный»; типичные соединения или классы: 2-ацетил-1-пирролин, пиразины, фураны, мальтол.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крахмалистость, лёгкая сладость и жареная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крахмал и клетчатка смягчают кислоту и поглощают ароматические соусы.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H7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I7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6" s="28" t="str">
        <x:v>напиток, соус, десерт или горячее блюдо после пробной дегустации</x:v>
      </x:c>
      <x:c r="K76" s="28" t="str">
        <x:v>Средняя</x:v>
      </x:c>
      <x:c r="L76" s="28" t="str">
        <x:v>The Art &amp; Science of Foodpairing.pdf</x:v>
      </x:c>
      <x:c r="M76" s="28" t="str">
        <x:v>The Art &amp; Science of Foodpairing.pdf: 260–261</x:v>
      </x:c>
    </x:row>
    <x:row r="77" ht="64" customHeight="1">
      <x:c r="A77" s="28" t="str">
        <x:v>STN-0093</x:v>
      </x:c>
      <x:c r="B77" s="28" t="str">
        <x:v>персик</x:v>
      </x:c>
      <x:c r="C77" s="28" t="str">
        <x:v>персик</x:v>
      </x:c>
      <x:c r="D77" s="28" t="str">
        <x:v>бузина</x:v>
      </x:c>
      <x:c r="E77" s="28" t="str">
        <x:v>Ягоды и производные</x:v>
      </x:c>
      <x:c r="F77" s="28" t="str">
        <x:v>комплементарность ароматических семейств, вкусовой контраст и матричный эффект</x:v>
      </x:c>
      <x:c r="G7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Бузина относится к группе «Ягоды и производные» и даёт профиль «зелёный, тёмно-фруктовый, цветочный»; типичные соединения или классы: альдегиды, терпены, эфиры.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кисло-сладкий, терпкий.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ягоды обычно требуют термообработки; цветы и ягоды имеют разные профили.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H7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I7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77" s="28" t="str">
        <x:v>напиток, соус, десерт или горячее блюдо после пробной дегустации</x:v>
      </x:c>
      <x:c r="K77" s="28" t="str">
        <x:v>Гипотеза / практическая</x:v>
      </x:c>
      <x:c r="L77" s="28" t="str">
        <x:v>Таблица сочетания(1).pdf</x:v>
      </x:c>
      <x:c r="M77" s="28" t="str">
        <x:v>Таблица сочетания(1).pdf: Таблица сочетаний: 7, 8 | Таблица сочетания(1).pdf: 7</x:v>
      </x:c>
    </x:row>
    <x:row r="78" ht="64" customHeight="1">
      <x:c r="A78" s="28" t="str">
        <x:v>STN-0094</x:v>
      </x:c>
      <x:c r="B78" s="28" t="str">
        <x:v>персик</x:v>
      </x:c>
      <x:c r="C78" s="28" t="str">
        <x:v>персик</x:v>
      </x:c>
      <x:c r="D78" s="28" t="str">
        <x:v>вакаме</x:v>
      </x:c>
      <x:c r="E78" s="28" t="str">
        <x:v>Рыба и морепродукты</x:v>
      </x:c>
      <x:c r="F78" s="28" t="str">
        <x:v>комплементарность ароматических семейств, вкусовой контраст и матричный эффект</x:v>
      </x:c>
      <x:c r="G7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Вакаме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7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78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78" s="28" t="str">
        <x:v>соус, глазировка, чатни, маринад, гарнир или основное блюдо</x:v>
      </x:c>
      <x:c r="K78" s="28" t="str">
        <x:v>Средняя</x:v>
      </x:c>
      <x:c r="L78" s="28" t="str">
        <x:v>The Art &amp; Science of Foodpairing.pdf</x:v>
      </x:c>
      <x:c r="M78" s="28" t="str">
        <x:v>The Art &amp; Science of Foodpairing.pdf: 260–261</x:v>
      </x:c>
    </x:row>
    <x:row r="79" ht="64" customHeight="1">
      <x:c r="A79" s="28" t="str">
        <x:v>STN-0095</x:v>
      </x:c>
      <x:c r="B79" s="28" t="str">
        <x:v>персик</x:v>
      </x:c>
      <x:c r="C79" s="28" t="str">
        <x:v>персик</x:v>
      </x:c>
      <x:c r="D79" s="28" t="str">
        <x:v>ваниль</x:v>
      </x:c>
      <x:c r="E79" s="28" t="str">
        <x:v>Специи и острые компоненты</x:v>
      </x:c>
      <x:c r="F79" s="28" t="str">
        <x:v>прямое или классовое перекрытие характерных одорантов + вкусовой баланс</x:v>
      </x:c>
      <x:c r="G7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Ваниль относится к группе «Специи и острые компоненты» и даёт профиль «сладкий, сливочный и древесный»; типичные соединения или классы: ванилин, п-гидроксибензальдегид. В рабочих профилях пересекаются: бензальдегид. Общие ароматические направления: сливочный.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79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79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79" s="28" t="str">
        <x:v>напиток, соус, десерт или горячее блюдо после пробной дегустации</x:v>
      </x:c>
      <x:c r="K79" s="28" t="str">
        <x:v>Высокая</x:v>
      </x:c>
      <x:c r="L79" s="28" t="str">
        <x:v>Таблица сочетания(1).pdf | Тезариус вкусов (Ники Сегнит)(1).pdf</x:v>
      </x:c>
      <x:c r="M79" s="28" t="str">
        <x:v>Таблица сочетания(1).pdf: 15 | Таблица сочетания(1).pdf: 21 | Тезариус вкусов (Ники Сегнит)(1).pdf: 747 | Тезариус вкусов (Ники Сегнит)(1).pdf: 919</x:v>
      </x:c>
    </x:row>
    <x:row r="80" ht="64" customHeight="1">
      <x:c r="A80" s="28" t="str">
        <x:v>STN-0097</x:v>
      </x:c>
      <x:c r="B80" s="28" t="str">
        <x:v>персик</x:v>
      </x:c>
      <x:c r="C80" s="28" t="str">
        <x:v>персик</x:v>
      </x:c>
      <x:c r="D80" s="28" t="str">
        <x:v>вишня</x:v>
      </x:c>
      <x:c r="E80" s="28" t="str">
        <x:v>Косточковые фрукты</x:v>
      </x:c>
      <x:c r="F80" s="28" t="str">
        <x:v>прямое или классовое перекрытие характерных одорантов + вкусовой баланс</x:v>
      </x:c>
      <x:c r="G8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линалоол. Общие ароматические направления: цветочный, лактонный. Базовый фрукт даёт: выраженная сладость, умеренная кислотность; беломякотные сорта обычно слаще и мягче по кислоте. Партнёр добавляет: сладость и умеренная кислотность.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пектиновая; кожица и косточка могут давать терпкость и миндальные ноты.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8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8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0" s="28" t="str">
        <x:v>напиток, соус, десерт или горячее блюдо после пробной дегустации</x:v>
      </x:c>
      <x:c r="K80" s="28" t="str">
        <x:v>Высокая</x:v>
      </x:c>
      <x:c r="L80" s="28" t="str">
        <x:v>The Art &amp; Science of Foodpairing.pdf | Таблица сочетания(1).pdf | Тезариус вкусов (Ники Сегнит)(1).pdf</x:v>
      </x:c>
      <x:c r="M80" s="28" t="str">
        <x:v>The Art &amp; Science of Foodpairing.pdf: Тезариус вкусов: 656, 749; The Art &amp; Science of Foodpairing: 260; Таблица сочетаний: 4, 15 | Таблица сочетания(1).pdf: 4 | Таблица сочетания(1).pdf: 15 | Тезариус вкусов (Ники Сегнит)(1).pdf: 656 | Тезариус вкусов (Ники Сегнит)(1).pdf: 749</x:v>
      </x:c>
    </x:row>
    <x:row r="81" ht="64" customHeight="1">
      <x:c r="A81" s="28" t="str">
        <x:v>STN-0098</x:v>
      </x:c>
      <x:c r="B81" s="28" t="str">
        <x:v>персик</x:v>
      </x:c>
      <x:c r="C81" s="28" t="str">
        <x:v>персик</x:v>
      </x:c>
      <x:c r="D81" s="28" t="str">
        <x:v>восковая тыква</x:v>
      </x:c>
      <x:c r="E81" s="28" t="str">
        <x:v>Овощи и корнеплоды</x:v>
      </x:c>
      <x:c r="F81" s="28" t="str">
        <x:v>комплементарность ароматических семейств, вкусовой контраст и матричный эффект</x:v>
      </x:c>
      <x:c r="G8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Восковая тыква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8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8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1" s="28" t="str">
        <x:v>соус, глазировка, чатни, маринад, гарнир или основное блюдо</x:v>
      </x:c>
      <x:c r="K81" s="28" t="str">
        <x:v>Средняя</x:v>
      </x:c>
      <x:c r="L81" s="28" t="str">
        <x:v>The Art &amp; Science of Foodpairing.pdf</x:v>
      </x:c>
      <x:c r="M81" s="28" t="str">
        <x:v>The Art &amp; Science of Foodpairing.pdf: 260–261</x:v>
      </x:c>
    </x:row>
    <x:row r="82" ht="64" customHeight="1">
      <x:c r="A82" s="28" t="str">
        <x:v>STN-0100</x:v>
      </x:c>
      <x:c r="B82" s="28" t="str">
        <x:v>персик</x:v>
      </x:c>
      <x:c r="C82" s="28" t="str">
        <x:v>персик</x:v>
      </x:c>
      <x:c r="D82" s="28" t="str">
        <x:v>гвоздика</x:v>
      </x:c>
      <x:c r="E82" s="28" t="str">
        <x:v>Специи и острые компоненты</x:v>
      </x:c>
      <x:c r="F82" s="28" t="str">
        <x:v>комплементарность ароматических семейств, вкусовой контраст и матричный эффект</x:v>
      </x:c>
      <x:c r="G8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Гвоздика относится к группе «Специи и острые компоненты» и даёт профиль «тёплый, фенольный и пряный»; типичные соединения или классы: эвгенол, эвгенилацетат.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82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82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82" s="28" t="str">
        <x:v>напиток, соус, десерт или горячее блюдо после пробной дегустации</x:v>
      </x:c>
      <x:c r="K82" s="28" t="str">
        <x:v>Высокая</x:v>
      </x:c>
      <x:c r="L82" s="28" t="str">
        <x:v>Таблица сочетания(1).pdf | Тезариус вкусов (Ники Сегнит)(1).pdf</x:v>
      </x:c>
      <x:c r="M82" s="28" t="str">
        <x:v>Таблица сочетания(1).pdf: 15 | Тезариус вкусов (Ники Сегнит)(1).pdf: 584 | Тезариус вкусов (Ники Сегнит)(1).pdf: 750</x:v>
      </x:c>
    </x:row>
    <x:row r="83" ht="64" customHeight="1">
      <x:c r="A83" s="28" t="str">
        <x:v>STN-0101</x:v>
      </x:c>
      <x:c r="B83" s="28" t="str">
        <x:v>персик</x:v>
      </x:c>
      <x:c r="C83" s="28" t="str">
        <x:v>персик</x:v>
      </x:c>
      <x:c r="D83" s="28" t="str">
        <x:v>гибискус</x:v>
      </x:c>
      <x:c r="E83" s="28" t="str">
        <x:v>Прочее</x:v>
      </x:c>
      <x:c r="F83" s="28" t="str">
        <x:v>комплементарность ароматических семейств, вкусовой контраст и матричный эффект</x:v>
      </x:c>
      <x:c r="G8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Гибискус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8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8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3" s="28" t="str">
        <x:v>напиток, соус, десерт или горячее блюдо после пробной дегустации</x:v>
      </x:c>
      <x:c r="K83" s="28" t="str">
        <x:v>Гипотеза / практическая</x:v>
      </x:c>
      <x:c r="L83" s="28" t="str">
        <x:v>Таблица сочетания(1).pdf</x:v>
      </x:c>
      <x:c r="M83" s="28" t="str">
        <x:v>Таблица сочетания(1).pdf: 9</x:v>
      </x:c>
    </x:row>
    <x:row r="84" ht="64" customHeight="1">
      <x:c r="A84" s="28" t="str">
        <x:v>STN-0102</x:v>
      </x:c>
      <x:c r="B84" s="28" t="str">
        <x:v>персик</x:v>
      </x:c>
      <x:c r="C84" s="28" t="str">
        <x:v>персик</x:v>
      </x:c>
      <x:c r="D84" s="28" t="str">
        <x:v>говяжий бульон</x:v>
      </x:c>
      <x:c r="E84" s="28" t="str">
        <x:v>Мясо и птица</x:v>
      </x:c>
      <x:c r="F84" s="28" t="str">
        <x:v>комплементарность ароматических семейств, вкусовой контраст и матричный эффект</x:v>
      </x:c>
      <x:c r="G8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Говяжий бульон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H84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I84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84" s="28" t="str">
        <x:v>соус, глазировка, чатни, маринад, гарнир или основное блюдо</x:v>
      </x:c>
      <x:c r="K84" s="28" t="str">
        <x:v>Средняя</x:v>
      </x:c>
      <x:c r="L84" s="28" t="str">
        <x:v>The Art &amp; Science of Foodpairing.pdf</x:v>
      </x:c>
      <x:c r="M84" s="28" t="str">
        <x:v>The Art &amp; Science of Foodpairing.pdf: 260–261</x:v>
      </x:c>
    </x:row>
    <x:row r="85" ht="64" customHeight="1">
      <x:c r="A85" s="28" t="str">
        <x:v>STN-0103</x:v>
      </x:c>
      <x:c r="B85" s="28" t="str">
        <x:v>персик</x:v>
      </x:c>
      <x:c r="C85" s="28" t="str">
        <x:v>персик</x:v>
      </x:c>
      <x:c r="D85" s="28" t="str">
        <x:v>голубика</x:v>
      </x:c>
      <x:c r="E85" s="28" t="str">
        <x:v>Ягоды</x:v>
      </x:c>
      <x:c r="F85" s="28" t="str">
        <x:v>комплементарность ароматических семейств, вкусовой контраст и матричный эффект</x:v>
      </x:c>
      <x:c r="G8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8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8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5" s="28" t="str">
        <x:v>сорбет, салат, джем, кордиал, лимонад, коктейль или фруктовый соус</x:v>
      </x:c>
      <x:c r="K85" s="28" t="str">
        <x:v>Гипотеза / практическая</x:v>
      </x:c>
      <x:c r="L85" s="28" t="str">
        <x:v>Таблица сочетания(1).pdf</x:v>
      </x:c>
      <x:c r="M85" s="28" t="str">
        <x:v>Таблица сочетания(1).pdf: Таблица сочетаний: 15 | Таблица сочетания(1).pdf: 15</x:v>
      </x:c>
    </x:row>
    <x:row r="86" ht="64" customHeight="1">
      <x:c r="A86" s="28" t="str">
        <x:v>STN-0105</x:v>
      </x:c>
      <x:c r="B86" s="28" t="str">
        <x:v>персик</x:v>
      </x:c>
      <x:c r="C86" s="28" t="str">
        <x:v>персик</x:v>
      </x:c>
      <x:c r="D86" s="28" t="str">
        <x:v>горгонзола</x:v>
      </x:c>
      <x:c r="E86" s="28" t="str">
        <x:v>Прочее</x:v>
      </x:c>
      <x:c r="F86" s="28" t="str">
        <x:v>комплементарность ароматических семейств, вкусовой контраст и матричный эффект</x:v>
      </x:c>
      <x:c r="G8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Горгонзола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8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8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6" s="28" t="str">
        <x:v>напиток, соус, десерт или горячее блюдо после пробной дегустации</x:v>
      </x:c>
      <x:c r="K86" s="28" t="str">
        <x:v>Средняя</x:v>
      </x:c>
      <x:c r="L86" s="28" t="str">
        <x:v>The Art &amp; Science of Foodpairing.pdf</x:v>
      </x:c>
      <x:c r="M86" s="28" t="str">
        <x:v>The Art &amp; Science of Foodpairing.pdf: 260–261</x:v>
      </x:c>
    </x:row>
    <x:row r="87" ht="64" customHeight="1">
      <x:c r="A87" s="28" t="str">
        <x:v>STN-0106</x:v>
      </x:c>
      <x:c r="B87" s="28" t="str">
        <x:v>персик</x:v>
      </x:c>
      <x:c r="C87" s="28" t="str">
        <x:v>персик</x:v>
      </x:c>
      <x:c r="D87" s="28" t="str">
        <x:v>гранат</x:v>
      </x:c>
      <x:c r="E87" s="28" t="str">
        <x:v>Субтропические фрукты</x:v>
      </x:c>
      <x:c r="F87" s="28" t="str">
        <x:v>прямое или классовое перекрытие характерных одорантов + вкусовой баланс</x:v>
      </x:c>
      <x:c r="G8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Гранат относится к группе «Субтропические фрукты» и даёт профиль «красно-фруктовый, цветочный, зелёный и винный»; типичные соединения или классы: гексаналь, (E)-2-гексеналь, эфиры, терпены; нелетучие пуникалагины и антоцианы. В рабочих профилях пересекаются: гексаналь.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яркая кислотность, сладость и выраженная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водный сок с полифенолами; семена дают хруст и лёгкую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H8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I8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7" s="28" t="str">
        <x:v>напиток, соус, десерт или горячее блюдо после пробной дегустации</x:v>
      </x:c>
      <x:c r="K87" s="28" t="str">
        <x:v>Средняя</x:v>
      </x:c>
      <x:c r="L87" s="28" t="str">
        <x:v>The Art &amp; Science of Foodpairing.pdf</x:v>
      </x:c>
      <x:c r="M87" s="28" t="str">
        <x:v>The Art &amp; Science of Foodpairing.pdf: 260–261</x:v>
      </x:c>
    </x:row>
    <x:row r="88" ht="64" customHeight="1">
      <x:c r="A88" s="28" t="str">
        <x:v>STN-0108</x:v>
      </x:c>
      <x:c r="B88" s="28" t="str">
        <x:v>персик</x:v>
      </x:c>
      <x:c r="C88" s="28" t="str">
        <x:v>персик</x:v>
      </x:c>
      <x:c r="D88" s="28" t="str">
        <x:v>грюйер</x:v>
      </x:c>
      <x:c r="E88" s="28" t="str">
        <x:v>Молочные продукты и сыры</x:v>
      </x:c>
      <x:c r="F88" s="28" t="str">
        <x:v>комплементарность ароматических семейств, вкусовой контраст и матричный эффект</x:v>
      </x:c>
      <x:c r="G8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Грюйер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жирный, кислый/солёный.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жировая и белковая матрица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8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8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88" s="28" t="str">
        <x:v>напиток, соус, десерт или горячее блюдо после пробной дегустации</x:v>
      </x:c>
      <x:c r="K88" s="28" t="str">
        <x:v>Средняя</x:v>
      </x:c>
      <x:c r="L88" s="28" t="str">
        <x:v>The Art &amp; Science of Foodpairing.pdf</x:v>
      </x:c>
      <x:c r="M88" s="28" t="str">
        <x:v>The Art &amp; Science of Foodpairing.pdf: 260–261</x:v>
      </x:c>
    </x:row>
    <x:row r="89" ht="64" customHeight="1">
      <x:c r="A89" s="28" t="str">
        <x:v>STN-0109</x:v>
      </x:c>
      <x:c r="B89" s="28" t="str">
        <x:v>персик</x:v>
      </x:c>
      <x:c r="C89" s="28" t="str">
        <x:v>персик</x:v>
      </x:c>
      <x:c r="D89" s="28" t="str">
        <x:v>доджанг</x:v>
      </x:c>
      <x:c r="E89" s="28" t="str">
        <x:v>Ферментированные продукты, соусы и уксусы</x:v>
      </x:c>
      <x:c r="F89" s="28" t="str">
        <x:v>комплементарность ароматических семейств, вкусовой контраст и матричный эффект</x:v>
      </x:c>
      <x:c r="G8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Доджанг относится к группе «Ферментированные продукты, соусы и уксусы» и даёт профиль «кислый, умами, ферментированный»; типичные соединения или классы: аминокислоты, органические кислоты, эфиры. По доступным материалам нельзя уверенно свести совместимость к одной общей молекуле. Кислота, соль и умами усиливают контраст с фруктовой сладостью; сочетание работает в малой дозировке как приправа. Матрица пары: сочная пектиновая мякоть; кожица несёт зелёные и цветочные ноты; лактоны хорошо удерживаются жиром и этанолом. Партнёр: вода, соль и продукты ферментации.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8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89" s="28" t="str">
        <x:v>незрелый плод ароматически беден; перезрелый быстро окисляется; косточки не использовать без безопасной технологии. Соль и кислота быстро становятся доминирующими; используйте как акцент.</x:v>
      </x:c>
      <x:c r="J89" s="28" t="str">
        <x:v>соус, глазировка, чатни, маринад, гарнир или основное блюдо</x:v>
      </x:c>
      <x:c r="K89" s="28" t="str">
        <x:v>Средняя</x:v>
      </x:c>
      <x:c r="L89" s="28" t="str">
        <x:v>The Art &amp; Science of Foodpairing.pdf</x:v>
      </x:c>
      <x:c r="M89" s="28" t="str">
        <x:v>The Art &amp; Science of Foodpairing.pdf: 260–261</x:v>
      </x:c>
    </x:row>
    <x:row r="90" ht="64" customHeight="1">
      <x:c r="A90" s="28" t="str">
        <x:v>STN-0110</x:v>
      </x:c>
      <x:c r="B90" s="28" t="str">
        <x:v>персик</x:v>
      </x:c>
      <x:c r="C90" s="28" t="str">
        <x:v>персик</x:v>
      </x:c>
      <x:c r="D90" s="28" t="str">
        <x:v>доенджан</x:v>
      </x:c>
      <x:c r="E90" s="28" t="str">
        <x:v>Ферментированные продукты, соусы и уксусы</x:v>
      </x:c>
      <x:c r="F90" s="28" t="str">
        <x:v>комплементарность ароматических семейств, вкусовой контраст и матричный эффект</x:v>
      </x:c>
      <x:c r="G9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Доенджан относится к группе «Ферментированные продукты, соусы и уксусы» и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По доступным материалам нельзя уверенно свести совместимость к одной общей молекуле. Кислота, соль и умами усиливают контраст с фруктовой сладостью; сочетание работает в малой дозировке как приправа. Матрица пары: сочная пектиновая мякоть; кожица несёт зелёные и цветочные ноты; лактоны хорошо удерживаются жиром и этанолом. Партнёр: часто водная и солёная; концентраты требуют малых доз.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H9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I90" s="28" t="str">
        <x:v>незрелый плод ароматически беден; перезрелый быстро окисляется; косточки не использовать без безопасной технологии. Соль и кислота быстро становятся доминирующими; используйте как акцент.</x:v>
      </x:c>
      <x:c r="J90" s="28" t="str">
        <x:v>соус, глазировка, чатни, маринад, гарнир или основное блюдо</x:v>
      </x:c>
      <x:c r="K90" s="28" t="str">
        <x:v>Средняя</x:v>
      </x:c>
      <x:c r="L90" s="28" t="str">
        <x:v>The Art &amp; Science of Foodpairing.pdf</x:v>
      </x:c>
      <x:c r="M90" s="28" t="str">
        <x:v>The Art &amp; Science of Foodpairing.pdf: 246</x:v>
      </x:c>
    </x:row>
    <x:row r="91" ht="64" customHeight="1">
      <x:c r="A91" s="28" t="str">
        <x:v>STN-0111</x:v>
      </x:c>
      <x:c r="B91" s="28" t="str">
        <x:v>персик</x:v>
      </x:c>
      <x:c r="C91" s="28" t="str">
        <x:v>персик</x:v>
      </x:c>
      <x:c r="D91" s="28" t="str">
        <x:v>дыня ханидью</x:v>
      </x:c>
      <x:c r="E91" s="28" t="str">
        <x:v>Фрукты</x:v>
      </x:c>
      <x:c r="F91" s="28" t="str">
        <x:v>комплементарность ароматических семейств, вкусовой контраст и матричный эффект</x:v>
      </x:c>
      <x:c r="G9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Дыня ханидью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9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9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1" s="28" t="str">
        <x:v>сорбет, салат, джем, кордиал, лимонад, коктейль или фруктовый соус</x:v>
      </x:c>
      <x:c r="K91" s="28" t="str">
        <x:v>Средняя</x:v>
      </x:c>
      <x:c r="L91" s="28" t="str">
        <x:v>The Art &amp; Science of Foodpairing.pdf</x:v>
      </x:c>
      <x:c r="M91" s="28" t="str">
        <x:v>The Art &amp; Science of Foodpairing.pdf: 260–261</x:v>
      </x:c>
    </x:row>
    <x:row r="92" ht="64" customHeight="1">
      <x:c r="A92" s="28" t="str">
        <x:v>STN-0112</x:v>
      </x:c>
      <x:c r="B92" s="28" t="str">
        <x:v>персик</x:v>
      </x:c>
      <x:c r="C92" s="28" t="str">
        <x:v>персик</x:v>
      </x:c>
      <x:c r="D92" s="28" t="str">
        <x:v>ежевика</x:v>
      </x:c>
      <x:c r="E92" s="28" t="str">
        <x:v>Ягоды</x:v>
      </x:c>
      <x:c r="F92" s="28" t="str">
        <x:v>комплементарность ароматических семейств, вкусовой контраст и матричный эффект</x:v>
      </x:c>
      <x:c r="G9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Ежевика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9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9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2" s="28" t="str">
        <x:v>сорбет, салат, джем, кордиал, лимонад, коктейль или фруктовый соус</x:v>
      </x:c>
      <x:c r="K92" s="28" t="str">
        <x:v>Высокая</x:v>
      </x:c>
      <x:c r="L92" s="28" t="str">
        <x:v>The Art &amp; Science of Foodpairing.pdf | Таблица сочетания(1).pdf | Тезариус вкусов (Ники Сегнит)(1).pdf</x:v>
      </x:c>
      <x:c r="M92" s="28" t="str">
        <x:v>The Art &amp; Science of Foodpairing.pdf: Тезариус вкусов: 750, 882; The Art &amp; Science of Foodpairing: 260; Таблица сочетаний: 2, 15 | Таблица сочетания(1).pdf: 2 | Таблица сочетания(1).pdf: 15 | Тезариус вкусов (Ники Сегнит)(1).pdf: 750 | Тезариус вкусов (Ники Сегнит)(1).pdf: 882 | The Art &amp; Science of Foodpairing.pdf: 260–261</x:v>
      </x:c>
    </x:row>
    <x:row r="93" ht="64" customHeight="1">
      <x:c r="A93" s="28" t="str">
        <x:v>STN-0113</x:v>
      </x:c>
      <x:c r="B93" s="28" t="str">
        <x:v>персик</x:v>
      </x:c>
      <x:c r="C93" s="28" t="str">
        <x:v>персик</x:v>
      </x:c>
      <x:c r="D93" s="28" t="str">
        <x:v>жареное филе куриной грудки</x:v>
      </x:c>
      <x:c r="E93" s="28" t="str">
        <x:v>Прочее</x:v>
      </x:c>
      <x:c r="F93" s="28" t="str">
        <x:v>комплементарность ароматических семейств, вкусовой контраст и матричный эффект</x:v>
      </x:c>
      <x:c r="G9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Жареное филе куриной грудки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9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9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3" s="28" t="str">
        <x:v>напиток, соус, десерт или горячее блюдо после пробной дегустации</x:v>
      </x:c>
      <x:c r="K93" s="28" t="str">
        <x:v>Средняя</x:v>
      </x:c>
      <x:c r="L93" s="28" t="str">
        <x:v>The Art &amp; Science of Foodpairing.pdf</x:v>
      </x:c>
      <x:c r="M93" s="28" t="str">
        <x:v>The Art &amp; Science of Foodpairing.pdf: 260–261</x:v>
      </x:c>
    </x:row>
    <x:row r="94" ht="64" customHeight="1">
      <x:c r="A94" s="28" t="str">
        <x:v>STN-0114</x:v>
      </x:c>
      <x:c r="B94" s="28" t="str">
        <x:v>персик</x:v>
      </x:c>
      <x:c r="C94" s="28" t="str">
        <x:v>персик</x:v>
      </x:c>
      <x:c r="D94" s="28" t="str">
        <x:v>жасмин</x:v>
      </x:c>
      <x:c r="E94" s="28" t="str">
        <x:v>Травы и цветы</x:v>
      </x:c>
      <x:c r="F94" s="28" t="str">
        <x:v>прямое или классовое перекрытие характерных одорантов + вкусовой баланс</x:v>
      </x:c>
      <x:c r="G9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Жасмин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9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9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4" s="28" t="str">
        <x:v>напиток, соус, десерт или горячее блюдо после пробной дегустации</x:v>
      </x:c>
      <x:c r="K94" s="28" t="str">
        <x:v>Гипотеза / практическая</x:v>
      </x:c>
      <x:c r="L94" s="28" t="str">
        <x:v>Таблица сочетания(1).pdf</x:v>
      </x:c>
      <x:c r="M94" s="28" t="str">
        <x:v>Таблица сочетания(1).pdf: 10</x:v>
      </x:c>
    </x:row>
    <x:row r="95" ht="64" customHeight="1">
      <x:c r="A95" s="28" t="str">
        <x:v>STN-0115</x:v>
      </x:c>
      <x:c r="B95" s="28" t="str">
        <x:v>персик</x:v>
      </x:c>
      <x:c r="C95" s="28" t="str">
        <x:v>персик</x:v>
      </x:c>
      <x:c r="D95" s="28" t="str">
        <x:v>запеченная индейка</x:v>
      </x:c>
      <x:c r="E95" s="28" t="str">
        <x:v>Мясо и птица</x:v>
      </x:c>
      <x:c r="F95" s="28" t="str">
        <x:v>комплементарность ароматических семейств, вкусовой контраст и матричный эффект</x:v>
      </x:c>
      <x:c r="G9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Запеченная индейка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H95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I95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95" s="28" t="str">
        <x:v>соус, глазировка, чатни, маринад, гарнир или основное блюдо</x:v>
      </x:c>
      <x:c r="K95" s="28" t="str">
        <x:v>Средняя</x:v>
      </x:c>
      <x:c r="L95" s="28" t="str">
        <x:v>The Art &amp; Science of Foodpairing.pdf</x:v>
      </x:c>
      <x:c r="M95" s="28" t="str">
        <x:v>The Art &amp; Science of Foodpairing.pdf: 260–261</x:v>
      </x:c>
    </x:row>
    <x:row r="96" ht="64" customHeight="1">
      <x:c r="A96" s="28" t="str">
        <x:v>STN-0116</x:v>
      </x:c>
      <x:c r="B96" s="28" t="str">
        <x:v>персик</x:v>
      </x:c>
      <x:c r="C96" s="28" t="str">
        <x:v>персик</x:v>
      </x:c>
      <x:c r="D96" s="28" t="str">
        <x:v>запеченная кольраби</x:v>
      </x:c>
      <x:c r="E96" s="28" t="str">
        <x:v>Овощи и корнеплоды</x:v>
      </x:c>
      <x:c r="F96" s="28" t="str">
        <x:v>комплементарность ароматических семейств, вкусовой контраст и матричный эффект</x:v>
      </x:c>
      <x:c r="G9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Запеченная кольраби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9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9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96" s="28" t="str">
        <x:v>соус, глазировка, чатни, маринад, гарнир или основное блюдо</x:v>
      </x:c>
      <x:c r="K96" s="28" t="str">
        <x:v>Средняя</x:v>
      </x:c>
      <x:c r="L96" s="28" t="str">
        <x:v>The Art &amp; Science of Foodpairing.pdf</x:v>
      </x:c>
      <x:c r="M96" s="28" t="str">
        <x:v>The Art &amp; Science of Foodpairing.pdf: 260–261</x:v>
      </x:c>
    </x:row>
    <x:row r="97" ht="64" customHeight="1">
      <x:c r="A97" s="28" t="str">
        <x:v>STN-0117</x:v>
      </x:c>
      <x:c r="B97" s="28" t="str">
        <x:v>персик</x:v>
      </x:c>
      <x:c r="C97" s="28" t="str">
        <x:v>персик</x:v>
      </x:c>
      <x:c r="D97" s="28" t="str">
        <x:v>запеченный бекон</x:v>
      </x:c>
      <x:c r="E97" s="28" t="str">
        <x:v>Мясо и птица</x:v>
      </x:c>
      <x:c r="F97" s="28" t="str">
        <x:v>комплементарность ароматических семейств, вкусовой контраст и матричный эффект</x:v>
      </x:c>
      <x:c r="G9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Запеченный бекон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H97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I97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97" s="28" t="str">
        <x:v>соус, глазировка, чатни, маринад, гарнир или основное блюдо</x:v>
      </x:c>
      <x:c r="K97" s="28" t="str">
        <x:v>Средняя</x:v>
      </x:c>
      <x:c r="L97" s="28" t="str">
        <x:v>The Art &amp; Science of Foodpairing.pdf</x:v>
      </x:c>
      <x:c r="M97" s="28" t="str">
        <x:v>The Art &amp; Science of Foodpairing.pdf: 260–261</x:v>
      </x:c>
    </x:row>
    <x:row r="98" ht="64" customHeight="1">
      <x:c r="A98" s="28" t="str">
        <x:v>STN-0118</x:v>
      </x:c>
      <x:c r="B98" s="28" t="str">
        <x:v>персик</x:v>
      </x:c>
      <x:c r="C98" s="28" t="str">
        <x:v>персик</x:v>
      </x:c>
      <x:c r="D98" s="28" t="str">
        <x:v>запеченный морской петух</x:v>
      </x:c>
      <x:c r="E98" s="28" t="str">
        <x:v>Рыба и морепродукты</x:v>
      </x:c>
      <x:c r="F98" s="28" t="str">
        <x:v>комплементарность ароматических семейств, вкусовой контраст и матричный эффект</x:v>
      </x:c>
      <x:c r="G9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Запеченный морской петух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9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98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98" s="28" t="str">
        <x:v>соус, глазировка, чатни, маринад, гарнир или основное блюдо</x:v>
      </x:c>
      <x:c r="K98" s="28" t="str">
        <x:v>Средняя</x:v>
      </x:c>
      <x:c r="L98" s="28" t="str">
        <x:v>The Art &amp; Science of Foodpairing.pdf</x:v>
      </x:c>
      <x:c r="M98" s="28" t="str">
        <x:v>The Art &amp; Science of Foodpairing.pdf: 260–261</x:v>
      </x:c>
    </x:row>
    <x:row r="99" ht="64" customHeight="1">
      <x:c r="A99" s="28" t="str">
        <x:v>STN-0119</x:v>
      </x:c>
      <x:c r="B99" s="28" t="str">
        <x:v>персик</x:v>
      </x:c>
      <x:c r="C99" s="28" t="str">
        <x:v>персик</x:v>
      </x:c>
      <x:c r="D99" s="28" t="str">
        <x:v>запеченный морской язык</x:v>
      </x:c>
      <x:c r="E99" s="28" t="str">
        <x:v>Рыба и морепродукты</x:v>
      </x:c>
      <x:c r="F99" s="28" t="str">
        <x:v>комплементарность ароматических семейств, вкусовой контраст и матричный эффект</x:v>
      </x:c>
      <x:c r="G9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Запеченный морской язык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9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99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99" s="28" t="str">
        <x:v>соус, глазировка, чатни, маринад, гарнир или основное блюдо</x:v>
      </x:c>
      <x:c r="K99" s="28" t="str">
        <x:v>Средняя</x:v>
      </x:c>
      <x:c r="L99" s="28" t="str">
        <x:v>The Art &amp; Science of Foodpairing.pdf</x:v>
      </x:c>
      <x:c r="M99" s="28" t="str">
        <x:v>The Art &amp; Science of Foodpairing.pdf: 103</x:v>
      </x:c>
    </x:row>
    <x:row r="100" ht="64" customHeight="1">
      <x:c r="A100" s="28" t="str">
        <x:v>STN-0120</x:v>
      </x:c>
      <x:c r="B100" s="28" t="str">
        <x:v>персик</x:v>
      </x:c>
      <x:c r="C100" s="28" t="str">
        <x:v>персик</x:v>
      </x:c>
      <x:c r="D100" s="28" t="str">
        <x:v>зеленые водоросли</x:v>
      </x:c>
      <x:c r="E100" s="28" t="str">
        <x:v>Рыба и морепродукты</x:v>
      </x:c>
      <x:c r="F100" s="28" t="str">
        <x:v>комплементарность ароматических семейств, вкусовой контраст и матричный эффект</x:v>
      </x:c>
      <x:c r="G10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Зеленые водоросли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0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00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100" s="28" t="str">
        <x:v>соус, глазировка, чатни, маринад, гарнир или основное блюдо</x:v>
      </x:c>
      <x:c r="K100" s="28" t="str">
        <x:v>Средняя</x:v>
      </x:c>
      <x:c r="L100" s="28" t="str">
        <x:v>The Art &amp; Science of Foodpairing.pdf</x:v>
      </x:c>
      <x:c r="M100" s="28" t="str">
        <x:v>The Art &amp; Science of Foodpairing.pdf: 267 | The Art &amp; Science of Foodpairing.pdf: 260–261</x:v>
      </x:c>
    </x:row>
    <x:row r="101" ht="64" customHeight="1">
      <x:c r="A101" s="28" t="str">
        <x:v>STN-0121</x:v>
      </x:c>
      <x:c r="B101" s="28" t="str">
        <x:v>персик</x:v>
      </x:c>
      <x:c r="C101" s="28" t="str">
        <x:v>персик</x:v>
      </x:c>
      <x:c r="D101" s="28" t="str">
        <x:v>зеленые оливки</x:v>
      </x:c>
      <x:c r="E101" s="28" t="str">
        <x:v>Овощи и корнеплоды</x:v>
      </x:c>
      <x:c r="F101" s="28" t="str">
        <x:v>комплементарность ароматических семейств, вкусовой контраст и матричный эффект</x:v>
      </x:c>
      <x:c r="G10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Зеленые оливки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0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0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1" s="28" t="str">
        <x:v>соус, глазировка, чатни, маринад, гарнир или основное блюдо</x:v>
      </x:c>
      <x:c r="K101" s="28" t="str">
        <x:v>Средняя</x:v>
      </x:c>
      <x:c r="L101" s="28" t="str">
        <x:v>The Art &amp; Science of Foodpairing.pdf</x:v>
      </x:c>
      <x:c r="M101" s="28" t="str">
        <x:v>The Art &amp; Science of Foodpairing.pdf: 260–261</x:v>
      </x:c>
    </x:row>
    <x:row r="102" ht="64" customHeight="1">
      <x:c r="A102" s="28" t="str">
        <x:v>STN-0122</x:v>
      </x:c>
      <x:c r="B102" s="28" t="str">
        <x:v>персик</x:v>
      </x:c>
      <x:c r="C102" s="28" t="str">
        <x:v>персик</x:v>
      </x:c>
      <x:c r="D102" s="28" t="str">
        <x:v>изюм</x:v>
      </x:c>
      <x:c r="E102" s="28" t="str">
        <x:v>Фрукты</x:v>
      </x:c>
      <x:c r="F102" s="28" t="str">
        <x:v>комплементарность ароматических семейств, вкусовой контраст и матричный эффект</x:v>
      </x:c>
      <x:c r="G10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Изюм относится к группе «Фрукты» и даёт профиль «зелёный, фруктовый, цветочный»; типичные соединения или классы: лактоны, терпены, эфиры.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фруктовая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0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0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2" s="28" t="str">
        <x:v>сорбет, салат, джем, кордиал, лимонад, коктейль или фруктовый соус</x:v>
      </x:c>
      <x:c r="K102" s="28" t="str">
        <x:v>Средняя</x:v>
      </x:c>
      <x:c r="L102" s="28" t="str">
        <x:v>The Art &amp; Science of Foodpairing.pdf</x:v>
      </x:c>
      <x:c r="M102" s="28" t="str">
        <x:v>The Art &amp; Science of Foodpairing.pdf: 260–261</x:v>
      </x:c>
    </x:row>
    <x:row r="103" ht="64" customHeight="1">
      <x:c r="A103" s="28" t="str">
        <x:v>STN-0123</x:v>
      </x:c>
      <x:c r="B103" s="28" t="str">
        <x:v>персик</x:v>
      </x:c>
      <x:c r="C103" s="28" t="str">
        <x:v>персик</x:v>
      </x:c>
      <x:c r="D103" s="28" t="str">
        <x:v>имбирь</x:v>
      </x:c>
      <x:c r="E103" s="28" t="str">
        <x:v>Специи и острые компоненты</x:v>
      </x:c>
      <x:c r="F103" s="28" t="str">
        <x:v>комплементарность ароматических семейств, вкусовой контраст и матричный эффект</x:v>
      </x:c>
      <x:c r="G10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03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03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03" s="28" t="str">
        <x:v>напиток, соус, десерт или горячее блюдо после пробной дегустации</x:v>
      </x:c>
      <x:c r="K103" s="28" t="str">
        <x:v>Гипотеза / практическая</x:v>
      </x:c>
      <x:c r="L103" s="28" t="str">
        <x:v>Таблица сочетания(1).pdf</x:v>
      </x:c>
      <x:c r="M103" s="28" t="str">
        <x:v>Таблица сочетания(1).pdf: 15</x:v>
      </x:c>
    </x:row>
    <x:row r="104" ht="64" customHeight="1">
      <x:c r="A104" s="28" t="str">
        <x:v>STN-0124</x:v>
      </x:c>
      <x:c r="B104" s="28" t="str">
        <x:v>персик</x:v>
      </x:c>
      <x:c r="C104" s="28" t="str">
        <x:v>персик</x:v>
      </x:c>
      <x:c r="D104" s="28" t="str">
        <x:v>инжир</x:v>
      </x:c>
      <x:c r="E104" s="28" t="str">
        <x:v>Субтропические фрукты</x:v>
      </x:c>
      <x:c r="F104" s="28" t="str">
        <x:v>прямое или классовое перекрытие характерных одорантов + вкусовой баланс</x:v>
      </x:c>
      <x:c r="G10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бензальдегид, линалоол. Общие ароматические направления: цветочный, лактонный, зелёный.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низкая кислотность; семена дают хруст.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пектиновая и сахаристая; сушёный инжир концентрирует сахар, фенолы и карамельные ноты.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10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10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4" s="28" t="str">
        <x:v>напиток, соус, десерт или горячее блюдо после пробной дегустации</x:v>
      </x:c>
      <x:c r="K104" s="28" t="str">
        <x:v>Гипотеза / практическая</x:v>
      </x:c>
      <x:c r="L104" s="28" t="str">
        <x:v>Таблица сочетания(1).pdf</x:v>
      </x:c>
      <x:c r="M104" s="28" t="str">
        <x:v>Таблица сочетания(1).pdf: Таблица сочетаний: 15 | Таблица сочетания(1).pdf: 15</x:v>
      </x:c>
    </x:row>
    <x:row r="105" ht="64" customHeight="1">
      <x:c r="A105" s="28" t="str">
        <x:v>STN-0125</x:v>
      </x:c>
      <x:c r="B105" s="28" t="str">
        <x:v>персик</x:v>
      </x:c>
      <x:c r="C105" s="28" t="str">
        <x:v>персик</x:v>
      </x:c>
      <x:c r="D105" s="28" t="str">
        <x:v>каламонси</x:v>
      </x:c>
      <x:c r="E105" s="28" t="str">
        <x:v>Цитрусовые</x:v>
      </x:c>
      <x:c r="F105" s="28" t="str">
        <x:v>комплементарность ароматических семейств, вкусовой контраст и матричный эффект</x:v>
      </x:c>
      <x:c r="G10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Каламонси относится к группе «Цитрусовые» и даёт профиль «цитрусовый, зелёный, травяной, камфорный»; типичные соединения или классы: лимонен, гамма-терпинен, цитраль, бета-пинен, линалол. По доступным материалам нельзя уверенно свести совместимость к одной общей молекуле. Общие ароматические направления: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— водная кислая фаза; цедра — масляная терпеновая.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Лаймовые цитрусы дают более зелёный и камфорный профиль, чем сладкий апельсин..</x:v>
      </x:c>
      <x:c r="H10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Лаймовые цитрусы дают более зелёный и камфорный профиль, чем сладкий апельсин..</x:v>
      </x:c>
      <x:c r="I10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5" s="28" t="str">
        <x:v>сорбет, салат, джем, кордиал, лимонад, коктейль или фруктовый соус</x:v>
      </x:c>
      <x:c r="K105" s="28" t="str">
        <x:v>Гипотеза / практическая</x:v>
      </x:c>
      <x:c r="L105" s="28" t="str">
        <x:v>The Art &amp; Science of Foodpairing.pdf</x:v>
      </x:c>
      <x:c r="M105" s="28" t="str">
        <x:v>The Art &amp; Science of Foodpairing.pdf: The Art &amp; Science of Foodpairing.pdf: 142</x:v>
      </x:c>
    </x:row>
    <x:row r="106" ht="64" customHeight="1">
      <x:c r="A106" s="28" t="str">
        <x:v>STN-0126</x:v>
      </x:c>
      <x:c r="B106" s="28" t="str">
        <x:v>персик</x:v>
      </x:c>
      <x:c r="C106" s="28" t="str">
        <x:v>персик</x:v>
      </x:c>
      <x:c r="D106" s="28" t="str">
        <x:v>канталупа</x:v>
      </x:c>
      <x:c r="E106" s="28" t="str">
        <x:v>Бахчевые</x:v>
      </x:c>
      <x:c r="F106" s="28" t="str">
        <x:v>комплементарность ароматических семейств, вкусовой контраст и матричный эффект</x:v>
      </x:c>
      <x:c r="G10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Канталупа относится к группе «Бахчевые» и даёт профиль «интенсивно сладкий, мускусный, цветочный и зелёный»; типичные соединения или классы: этил-2-метилбутират, этилбутират, C9-альдегиды, тиоэфиры.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выраженная сладость и слабая кислотность.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мягкая; аромат быстро улетучивается после нарезки.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H10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I10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6" s="28" t="str">
        <x:v>напиток, соус, десерт или горячее блюдо после пробной дегустации</x:v>
      </x:c>
      <x:c r="K106" s="28" t="str">
        <x:v>Средняя</x:v>
      </x:c>
      <x:c r="L106" s="28" t="str">
        <x:v>The Art &amp; Science of Foodpairing.pdf</x:v>
      </x:c>
      <x:c r="M106" s="28" t="str">
        <x:v>The Art &amp; Science of Foodpairing.pdf: 260–261</x:v>
      </x:c>
    </x:row>
    <x:row r="107" ht="64" customHeight="1">
      <x:c r="A107" s="28" t="str">
        <x:v>STN-0127</x:v>
      </x:c>
      <x:c r="B107" s="28" t="str">
        <x:v>персик</x:v>
      </x:c>
      <x:c r="C107" s="28" t="str">
        <x:v>персик</x:v>
      </x:c>
      <x:c r="D107" s="28" t="str">
        <x:v>карамель</x:v>
      </x:c>
      <x:c r="E107" s="28" t="str">
        <x:v>Сахара, мёд и кондитерские основы</x:v>
      </x:c>
      <x:c r="F107" s="28" t="str">
        <x:v>комплементарность ароматических семейств, вкусовой контраст и матричный эффект</x:v>
      </x:c>
      <x:c r="G10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10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10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7" s="28" t="str">
        <x:v>напиток, соус, десерт или горячее блюдо после пробной дегустации</x:v>
      </x:c>
      <x:c r="K107" s="28" t="str">
        <x:v>Гипотеза / практическая</x:v>
      </x:c>
      <x:c r="L107" s="28" t="str">
        <x:v>Таблица сочетания(1).pdf</x:v>
      </x:c>
      <x:c r="M107" s="28" t="str">
        <x:v>Таблица сочетания(1).pdf: 15</x:v>
      </x:c>
    </x:row>
    <x:row r="108" ht="64" customHeight="1">
      <x:c r="A108" s="28" t="str">
        <x:v>STN-0129</x:v>
      </x:c>
      <x:c r="B108" s="28" t="str">
        <x:v>персик</x:v>
      </x:c>
      <x:c r="C108" s="28" t="str">
        <x:v>персик</x:v>
      </x:c>
      <x:c r="D108" s="28" t="str">
        <x:v>кейл на пару</x:v>
      </x:c>
      <x:c r="E108" s="28" t="str">
        <x:v>Овощи и корнеплоды</x:v>
      </x:c>
      <x:c r="F108" s="28" t="str">
        <x:v>комплементарность ароматических семейств, вкусовой контраст и матричный эффект</x:v>
      </x:c>
      <x:c r="G10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Кейл на пару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0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0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8" s="28" t="str">
        <x:v>соус, глазировка, чатни, маринад, гарнир или основное блюдо</x:v>
      </x:c>
      <x:c r="K108" s="28" t="str">
        <x:v>Средняя</x:v>
      </x:c>
      <x:c r="L108" s="28" t="str">
        <x:v>The Art &amp; Science of Foodpairing.pdf</x:v>
      </x:c>
      <x:c r="M108" s="28" t="str">
        <x:v>The Art &amp; Science of Foodpairing.pdf: 260–261</x:v>
      </x:c>
    </x:row>
    <x:row r="109" ht="64" customHeight="1">
      <x:c r="A109" s="28" t="str">
        <x:v>STN-0131</x:v>
      </x:c>
      <x:c r="B109" s="28" t="str">
        <x:v>персик</x:v>
      </x:c>
      <x:c r="C109" s="28" t="str">
        <x:v>персик</x:v>
      </x:c>
      <x:c r="D109" s="28" t="str">
        <x:v>киви</x:v>
      </x:c>
      <x:c r="E109" s="28" t="str">
        <x:v>Тропические и субтропические фрукты</x:v>
      </x:c>
      <x:c r="F109" s="28" t="str">
        <x:v>прямое или классовое перекрытие характерных одорантов + вкусовой баланс</x:v>
      </x:c>
      <x:c r="G10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Киви относится к группе «Тропические и субтропические фрукты» и даёт профиль «зелёный, травянистый, цитрусовый, фруктовый и слегка морской»; типичные соединения или классы: гексаналь, (E)-2-гексеналь, этилбутират, метилбутират, линалоол; фермент актинидин. В рабочих профилях пересекаются: линалоол, гексаналь.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высокая кислотность, сладость и выраженная свежесть.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водная; содержит протеазу актинидин и кристаллы оксалата кальция.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H10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I10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09" s="28" t="str">
        <x:v>напиток, соус, десерт или горячее блюдо после пробной дегустации</x:v>
      </x:c>
      <x:c r="K109" s="28" t="str">
        <x:v>Средняя</x:v>
      </x:c>
      <x:c r="L109" s="28" t="str">
        <x:v>The Art &amp; Science of Foodpairing.pdf</x:v>
      </x:c>
      <x:c r="M109" s="28" t="str">
        <x:v>The Art &amp; Science of Foodpairing.pdf: 260–261</x:v>
      </x:c>
    </x:row>
    <x:row r="110" ht="64" customHeight="1">
      <x:c r="A110" s="28" t="str">
        <x:v>STN-0133</x:v>
      </x:c>
      <x:c r="B110" s="28" t="str">
        <x:v>персик</x:v>
      </x:c>
      <x:c r="C110" s="28" t="str">
        <x:v>персик</x:v>
      </x:c>
      <x:c r="D110" s="28" t="str">
        <x:v>кленовый сироп</x:v>
      </x:c>
      <x:c r="E110" s="28" t="str">
        <x:v>Сахара, мёд и кондитерские основы</x:v>
      </x:c>
      <x:c r="F110" s="28" t="str">
        <x:v>комплементарность ароматических семейств, вкусовой контраст и матричный эффект</x:v>
      </x:c>
      <x:c r="G11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11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11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0" s="28" t="str">
        <x:v>напиток, соус, десерт или горячее блюдо после пробной дегустации</x:v>
      </x:c>
      <x:c r="K110" s="28" t="str">
        <x:v>Гипотеза / практическая</x:v>
      </x:c>
      <x:c r="L110" s="28" t="str">
        <x:v>Таблица сочетания(1).pdf</x:v>
      </x:c>
      <x:c r="M110" s="28" t="str">
        <x:v>Таблица сочетания(1).pdf: 15</x:v>
      </x:c>
    </x:row>
    <x:row r="111" ht="64" customHeight="1">
      <x:c r="A111" s="28" t="str">
        <x:v>STN-0134</x:v>
      </x:c>
      <x:c r="B111" s="28" t="str">
        <x:v>персик</x:v>
      </x:c>
      <x:c r="C111" s="28" t="str">
        <x:v>персик</x:v>
      </x:c>
      <x:c r="D111" s="28" t="str">
        <x:v>клубника</x:v>
      </x:c>
      <x:c r="E111" s="28" t="str">
        <x:v>Ягоды</x:v>
      </x:c>
      <x:c r="F111" s="28" t="str">
        <x:v>комплементарность ароматических семейств, вкусовой контраст и матричный эффект</x:v>
      </x:c>
      <x:c r="G11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1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1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1" s="28" t="str">
        <x:v>сорбет, салат, джем, кордиал, лимонад, коктейль или фруктовый соус</x:v>
      </x:c>
      <x:c r="K111" s="28" t="str">
        <x:v>Высокая</x:v>
      </x:c>
      <x:c r="L111" s="28" t="str">
        <x:v>The Art &amp; Science of Foodpairing.pdf | Тезариус вкусов (Ники Сегнит)(1).pdf</x:v>
      </x:c>
      <x:c r="M111" s="28" t="str">
        <x:v>The Art &amp; Science of Foodpairing.pdf: Тезариус вкусов: 698, 751; The Art &amp; Science of Foodpairing: 71 | Тезариус вкусов (Ники Сегнит)(1).pdf: 698 | Тезариус вкусов (Ники Сегнит)(1).pdf: 751 | The Art &amp; Science of Foodpairing.pdf: 71</x:v>
      </x:c>
    </x:row>
    <x:row r="112" ht="64" customHeight="1">
      <x:c r="A112" s="28" t="str">
        <x:v>STN-0135</x:v>
      </x:c>
      <x:c r="B112" s="28" t="str">
        <x:v>персик</x:v>
      </x:c>
      <x:c r="C112" s="28" t="str">
        <x:v>персик</x:v>
      </x:c>
      <x:c r="D112" s="28" t="str">
        <x:v>клюква</x:v>
      </x:c>
      <x:c r="E112" s="28" t="str">
        <x:v>Ягоды</x:v>
      </x:c>
      <x:c r="F112" s="28" t="str">
        <x:v>комплементарность ароматических семейств, вкусовой контраст и матричный эффект</x:v>
      </x:c>
      <x:c r="G11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Клюква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1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1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2" s="28" t="str">
        <x:v>сорбет, салат, джем, кордиал, лимонад, коктейль или фруктовый соус</x:v>
      </x:c>
      <x:c r="K112" s="28" t="str">
        <x:v>Гипотеза / практическая</x:v>
      </x:c>
      <x:c r="L112" s="28" t="str">
        <x:v>Таблица сочетания(1).pdf</x:v>
      </x:c>
      <x:c r="M112" s="28" t="str">
        <x:v>Таблица сочетания(1).pdf: Таблица сочетаний: 6 | Таблица сочетания(1).pdf: 6</x:v>
      </x:c>
    </x:row>
    <x:row r="113" ht="64" customHeight="1">
      <x:c r="A113" s="28" t="str">
        <x:v>STN-0136</x:v>
      </x:c>
      <x:c r="B113" s="28" t="str">
        <x:v>персик</x:v>
      </x:c>
      <x:c r="C113" s="28" t="str">
        <x:v>персик</x:v>
      </x:c>
      <x:c r="D113" s="28" t="str">
        <x:v>кокос</x:v>
      </x:c>
      <x:c r="E113" s="28" t="str">
        <x:v>Тропические фрукты и жирные матрицы</x:v>
      </x:c>
      <x:c r="F113" s="28" t="str">
        <x:v>прямое или классовое перекрытие характерных одорантов + вкусовой баланс</x:v>
      </x:c>
      <x:c r="G11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В рабочих профилях пересекаются: декалактон.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богатая жиром эмульсия; хорошо растворяет гидрофобные терпены, специи и ароматические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11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11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3" s="28" t="str">
        <x:v>напиток, соус, десерт или горячее блюдо после пробной дегустации</x:v>
      </x:c>
      <x:c r="K113" s="28" t="str">
        <x:v>Высокая</x:v>
      </x:c>
      <x:c r="L113" s="28" t="str">
        <x:v>The Art &amp; Science of Foodpairing.pdf | Таблица сочетания(1).pdf</x:v>
      </x:c>
      <x:c r="M113" s="28" t="str">
        <x:v>The Art &amp; Science of Foodpairing.pdf: Таблица сочетаний: 15 | The Art &amp; Science of Foodpairing: 134 | Таблица сочетания(1).pdf: 15 | The Art &amp; Science of Foodpairing.pdf: 134</x:v>
      </x:c>
    </x:row>
    <x:row r="114" ht="64" customHeight="1">
      <x:c r="A114" s="28" t="str">
        <x:v>STN-0137</x:v>
      </x:c>
      <x:c r="B114" s="28" t="str">
        <x:v>персик</x:v>
      </x:c>
      <x:c r="C114" s="28" t="str">
        <x:v>персик</x:v>
      </x:c>
      <x:c r="D114" s="28" t="str">
        <x:v>корица</x:v>
      </x:c>
      <x:c r="E114" s="28" t="str">
        <x:v>Специи и острые компоненты</x:v>
      </x:c>
      <x:c r="F114" s="28" t="str">
        <x:v>комплементарность ароматических семейств, вкусовой контраст и матричный эффект</x:v>
      </x:c>
      <x:c r="G11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14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14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14" s="28" t="str">
        <x:v>напиток, соус, десерт или горячее блюдо после пробной дегустации</x:v>
      </x:c>
      <x:c r="K114" s="28" t="str">
        <x:v>Гипотеза / практическая</x:v>
      </x:c>
      <x:c r="L114" s="28" t="str">
        <x:v>Таблица сочетания(1).pdf</x:v>
      </x:c>
      <x:c r="M114" s="28" t="str">
        <x:v>Таблица сочетания(1).pdf: 15</x:v>
      </x:c>
    </x:row>
    <x:row r="115" ht="64" customHeight="1">
      <x:c r="A115" s="28" t="str">
        <x:v>STN-0138</x:v>
      </x:c>
      <x:c r="B115" s="28" t="str">
        <x:v>персик</x:v>
      </x:c>
      <x:c r="C115" s="28" t="str">
        <x:v>персик</x:v>
      </x:c>
      <x:c r="D115" s="28" t="str">
        <x:v>краснокочанная капуста</x:v>
      </x:c>
      <x:c r="E115" s="28" t="str">
        <x:v>Овощи и корнеплоды</x:v>
      </x:c>
      <x:c r="F115" s="28" t="str">
        <x:v>комплементарность ароматических семейств, вкусовой контраст и матричный эффект</x:v>
      </x:c>
      <x:c r="G11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Краснокочанная капуста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1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1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5" s="28" t="str">
        <x:v>соус, глазировка, чатни, маринад, гарнир или основное блюдо</x:v>
      </x:c>
      <x:c r="K115" s="28" t="str">
        <x:v>Средняя</x:v>
      </x:c>
      <x:c r="L115" s="28" t="str">
        <x:v>The Art &amp; Science of Foodpairing.pdf</x:v>
      </x:c>
      <x:c r="M115" s="28" t="str">
        <x:v>The Art &amp; Science of Foodpairing.pdf: 260–261</x:v>
      </x:c>
    </x:row>
    <x:row r="116" ht="64" customHeight="1">
      <x:c r="A116" s="28" t="str">
        <x:v>STN-0139</x:v>
      </x:c>
      <x:c r="B116" s="28" t="str">
        <x:v>персик</x:v>
      </x:c>
      <x:c r="C116" s="28" t="str">
        <x:v>персик</x:v>
      </x:c>
      <x:c r="D116" s="28" t="str">
        <x:v>красный хабанеро</x:v>
      </x:c>
      <x:c r="E116" s="28" t="str">
        <x:v>Специи и острые компоненты</x:v>
      </x:c>
      <x:c r="F116" s="28" t="str">
        <x:v>комплементарность ароматических семейств, вкусовой контраст и матричный эффект</x:v>
      </x:c>
      <x:c r="G11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Красный хабанеро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116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116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16" s="28" t="str">
        <x:v>напиток, соус, десерт или горячее блюдо после пробной дегустации</x:v>
      </x:c>
      <x:c r="K116" s="28" t="str">
        <x:v>Средняя</x:v>
      </x:c>
      <x:c r="L116" s="28" t="str">
        <x:v>The Art &amp; Science of Foodpairing.pdf</x:v>
      </x:c>
      <x:c r="M116" s="28" t="str">
        <x:v>The Art &amp; Science of Foodpairing.pdf: 94 | The Art &amp; Science of Foodpairing.pdf: 95</x:v>
      </x:c>
    </x:row>
    <x:row r="117" ht="64" customHeight="1">
      <x:c r="A117" s="28" t="str">
        <x:v>STN-0140</x:v>
      </x:c>
      <x:c r="B117" s="28" t="str">
        <x:v>персик</x:v>
      </x:c>
      <x:c r="C117" s="28" t="str">
        <x:v>персик</x:v>
      </x:c>
      <x:c r="D117" s="28" t="str">
        <x:v>лаванда</x:v>
      </x:c>
      <x:c r="E117" s="28" t="str">
        <x:v>Травы и цветы</x:v>
      </x:c>
      <x:c r="F117" s="28" t="str">
        <x:v>прямое или классовое перекрытие характерных одорантов + вкусовой баланс</x:v>
      </x:c>
      <x:c r="G11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Лаванда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1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1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7" s="28" t="str">
        <x:v>напиток, соус, десерт или горячее блюдо после пробной дегустации</x:v>
      </x:c>
      <x:c r="K117" s="28" t="str">
        <x:v>Гипотеза / практическая</x:v>
      </x:c>
      <x:c r="L117" s="28" t="str">
        <x:v>Таблица сочетания(1).pdf</x:v>
      </x:c>
      <x:c r="M117" s="28" t="str">
        <x:v>Таблица сочетания(1).pdf: 11</x:v>
      </x:c>
    </x:row>
    <x:row r="118" ht="64" customHeight="1">
      <x:c r="A118" s="28" t="str">
        <x:v>STN-0141</x:v>
      </x:c>
      <x:c r="B118" s="28" t="str">
        <x:v>персик</x:v>
      </x:c>
      <x:c r="C118" s="28" t="str">
        <x:v>персик</x:v>
      </x:c>
      <x:c r="D118" s="28" t="str">
        <x:v>лемонграсс</x:v>
      </x:c>
      <x:c r="E118" s="28" t="str">
        <x:v>Травы и цветы</x:v>
      </x:c>
      <x:c r="F118" s="28" t="str">
        <x:v>прямое или классовое перекрытие характерных одорантов + вкусовой баланс</x:v>
      </x:c>
      <x:c r="G11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Лемонграсс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1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1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8" s="28" t="str">
        <x:v>напиток, соус, десерт или горячее блюдо после пробной дегустации</x:v>
      </x:c>
      <x:c r="K118" s="28" t="str">
        <x:v>Высокая</x:v>
      </x:c>
      <x:c r="L118" s="28" t="str">
        <x:v>The Art &amp; Science of Foodpairing.pdf | Таблица сочетания(1).pdf</x:v>
      </x:c>
      <x:c r="M118" s="28" t="str">
        <x:v>Таблица сочетания(1).pdf: 11 | The Art &amp; Science of Foodpairing.pdf: 144</x:v>
      </x:c>
    </x:row>
    <x:row r="119" ht="64" customHeight="1">
      <x:c r="A119" s="28" t="str">
        <x:v>STN-0143</x:v>
      </x:c>
      <x:c r="B119" s="28" t="str">
        <x:v>персик</x:v>
      </x:c>
      <x:c r="C119" s="28" t="str">
        <x:v>персик</x:v>
      </x:c>
      <x:c r="D119" s="28" t="str">
        <x:v>лист шисо</x:v>
      </x:c>
      <x:c r="E119" s="28" t="str">
        <x:v>Травы, листья и цветы</x:v>
      </x:c>
      <x:c r="F119" s="28" t="str">
        <x:v>прямое или классовое перекрытие характерных одорантов + вкусовой баланс</x:v>
      </x:c>
      <x:c r="G11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Лист шисо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119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11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19" s="28" t="str">
        <x:v>напиток, соус, десерт или горячее блюдо после пробной дегустации</x:v>
      </x:c>
      <x:c r="K119" s="28" t="str">
        <x:v>Средняя</x:v>
      </x:c>
      <x:c r="L119" s="28" t="str">
        <x:v>The Art &amp; Science of Foodpairing.pdf</x:v>
      </x:c>
      <x:c r="M119" s="28" t="str">
        <x:v>The Art &amp; Science of Foodpairing.pdf: 260–261</x:v>
      </x:c>
    </x:row>
    <x:row r="120" ht="64" customHeight="1">
      <x:c r="A120" s="28" t="str">
        <x:v>STN-0144</x:v>
      </x:c>
      <x:c r="B120" s="28" t="str">
        <x:v>персик</x:v>
      </x:c>
      <x:c r="C120" s="28" t="str">
        <x:v>персик</x:v>
      </x:c>
      <x:c r="D120" s="28" t="str">
        <x:v>листья кориандра</x:v>
      </x:c>
      <x:c r="E120" s="28" t="str">
        <x:v>Травы/пряности</x:v>
      </x:c>
      <x:c r="F120" s="28" t="str">
        <x:v>комплементарность ароматических семейств, вкусовой контраст и матричный эффект</x:v>
      </x:c>
      <x:c r="G12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Листья кориандра относится к группе «Травы/пряности» и даёт профиль «цитрусовый, зелёный, цветочный»; типичные соединения или классы: линалол, деканаль, додеканаль.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травяной, слегка горький.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листья чувствительны к нагреву; семена устойчивее и слаще.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H12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I12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0" s="28" t="str">
        <x:v>напиток, соус, десерт или горячее блюдо после пробной дегустации</x:v>
      </x:c>
      <x:c r="K120" s="28" t="str">
        <x:v>Средняя</x:v>
      </x:c>
      <x:c r="L120" s="28" t="str">
        <x:v>The Art &amp; Science of Foodpairing.pdf</x:v>
      </x:c>
      <x:c r="M120" s="28" t="str">
        <x:v>The Art &amp; Science of Foodpairing.pdf: 98 | The Art &amp; Science of Foodpairing.pdf: 260–261</x:v>
      </x:c>
    </x:row>
    <x:row r="121" ht="64" customHeight="1">
      <x:c r="A121" s="28" t="str">
        <x:v>STN-0145</x:v>
      </x:c>
      <x:c r="B121" s="28" t="str">
        <x:v>персик</x:v>
      </x:c>
      <x:c r="C121" s="28" t="str">
        <x:v>персик</x:v>
      </x:c>
      <x:c r="D121" s="28" t="str">
        <x:v>листья пажитника</x:v>
      </x:c>
      <x:c r="E121" s="28" t="str">
        <x:v>Травы и цветы</x:v>
      </x:c>
      <x:c r="F121" s="28" t="str">
        <x:v>прямое или классовое перекрытие характерных одорантов + вкусовой баланс</x:v>
      </x:c>
      <x:c r="G12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Листья пажитника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2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2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1" s="28" t="str">
        <x:v>напиток, соус, десерт или горячее блюдо после пробной дегустации</x:v>
      </x:c>
      <x:c r="K121" s="28" t="str">
        <x:v>Средняя</x:v>
      </x:c>
      <x:c r="L121" s="28" t="str">
        <x:v>The Art &amp; Science of Foodpairing.pdf</x:v>
      </x:c>
      <x:c r="M121" s="28" t="str">
        <x:v>The Art &amp; Science of Foodpairing.pdf: 260–261</x:v>
      </x:c>
    </x:row>
    <x:row r="122" ht="64" customHeight="1">
      <x:c r="A122" s="28" t="str">
        <x:v>STN-0146</x:v>
      </x:c>
      <x:c r="B122" s="28" t="str">
        <x:v>персик</x:v>
      </x:c>
      <x:c r="C122" s="28" t="str">
        <x:v>персик</x:v>
      </x:c>
      <x:c r="D122" s="28" t="str">
        <x:v>личи</x:v>
      </x:c>
      <x:c r="E122" s="28" t="str">
        <x:v>Тропические фрукты</x:v>
      </x:c>
      <x:c r="F122" s="28" t="str">
        <x:v>прямое или классовое перекрытие характерных одорантов + вкусовой баланс</x:v>
      </x:c>
      <x:c r="G12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Личи относится к группе «Тропические фрукты» и даёт профиль «розовый, цветочный, виноградный и цитрусовый»; типичные соединения или классы: цис- и транс-розовый оксид, линалоол, гераниол, цитронеллол. В рабочих профилях пересекаются: линалоол.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чистая сладость, мягкая кислотность.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водная; цветочные терпены чувствительны к нагреву.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H12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I12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2" s="28" t="str">
        <x:v>напиток, соус, десерт или горячее блюдо после пробной дегустации</x:v>
      </x:c>
      <x:c r="K122" s="28" t="str">
        <x:v>Средняя</x:v>
      </x:c>
      <x:c r="L122" s="28" t="str">
        <x:v>The Art &amp; Science of Foodpairing.pdf</x:v>
      </x:c>
      <x:c r="M122" s="28" t="str">
        <x:v>The Art &amp; Science of Foodpairing.pdf: 260–261</x:v>
      </x:c>
    </x:row>
    <x:row r="123" ht="64" customHeight="1">
      <x:c r="A123" s="28" t="str">
        <x:v>STN-0148</x:v>
      </x:c>
      <x:c r="B123" s="28" t="str">
        <x:v>персик</x:v>
      </x:c>
      <x:c r="C123" s="28" t="str">
        <x:v>персик</x:v>
      </x:c>
      <x:c r="D123" s="28" t="str">
        <x:v>малина</x:v>
      </x:c>
      <x:c r="E123" s="28" t="str">
        <x:v>Ягоды</x:v>
      </x:c>
      <x:c r="F123" s="28" t="str">
        <x:v>комплементарность ароматических семейств, вкусовой контраст и матричный эффект</x:v>
      </x:c>
      <x:c r="G12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2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2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3" s="28" t="str">
        <x:v>сорбет, салат, джем, кордиал, лимонад, коктейль или фруктовый соус</x:v>
      </x:c>
      <x:c r="K123" s="28" t="str">
        <x:v>Высокая</x:v>
      </x:c>
      <x:c r="L123" s="28" t="str">
        <x:v>The Art &amp; Science of Foodpairing.pdf | Таблица сочетания(1).pdf | Тезариус вкусов (Ники Сегнит)(1).pdf</x:v>
      </x:c>
      <x:c r="M123" s="28" t="str">
        <x:v>The Art &amp; Science of Foodpairing.pdf: Тезариус вкусов: 751, 889; The Art &amp; Science of Foodpairing: 261; Таблица сочетаний: 19 | Таблица сочетания(1).pdf: 19 | Тезариус вкусов (Ники Сегнит)(1).pdf: 751 | Тезариус вкусов (Ники Сегнит)(1).pdf: 889 | The Art &amp; Science of Foodpairing.pdf: 338 | The Art &amp; Science of Foodpairing.pdf: 260–261</x:v>
      </x:c>
    </x:row>
    <x:row r="124" ht="64" customHeight="1">
      <x:c r="A124" s="28" t="str">
        <x:v>STN-0149</x:v>
      </x:c>
      <x:c r="B124" s="28" t="str">
        <x:v>персик</x:v>
      </x:c>
      <x:c r="C124" s="28" t="str">
        <x:v>персик</x:v>
      </x:c>
      <x:c r="D124" s="28" t="str">
        <x:v>манго</x:v>
      </x:c>
      <x:c r="E124" s="28" t="str">
        <x:v>Тропические фрукты</x:v>
      </x:c>
      <x:c r="F124" s="28" t="str">
        <x:v>прямое или классовое перекрытие характерных одорантов + вкусовой баланс</x:v>
      </x:c>
      <x:c r="G12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Манго относится к группе «Тропические фрукты» и даёт профиль «тропический, смолистый, цитрусовый, цветочный, сливочный; сильно зависит от сорта»; типичные соединения или классы: δ-3-карен, лимонен, мирцен, линалоол, γ- и δ-лактоны, фруктовые эфиры. В рабочих профилях пересекаются: линалоол. Общие ароматические направления: цветочный, сливочный.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умеренная кислотность, иногда смолистая горечь кожицы.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мякоть вязкая и богатая каротиноидами; ароматические терпены и лактоны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H12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кожица и сок могут давать смолистую горечь; слишком сладкие партнёры делают сочетание тяжёлым.</x:v>
      </x:c>
      <x:c r="I12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4" s="28" t="str">
        <x:v>напиток, соус, десерт или горячее блюдо после пробной дегустации</x:v>
      </x:c>
      <x:c r="K124" s="28" t="str">
        <x:v>Средняя</x:v>
      </x:c>
      <x:c r="L124" s="28" t="str">
        <x:v>Тезариус вкусов (Ники Сегнит)(1).pdf</x:v>
      </x:c>
      <x:c r="M124" s="28" t="str">
        <x:v>Тезариус вкусов (Ники Сегнит)(1).pdf: Тезаурус вкусов: 767, 751 | Тезариус вкусов (Ники Сегнит)(1).pdf: 751 | Тезариус вкусов (Ники Сегнит)(1).pdf: 767</x:v>
      </x:c>
    </x:row>
    <x:row r="125" ht="64" customHeight="1">
      <x:c r="A125" s="28" t="str">
        <x:v>STN-0150</x:v>
      </x:c>
      <x:c r="B125" s="28" t="str">
        <x:v>персик</x:v>
      </x:c>
      <x:c r="C125" s="28" t="str">
        <x:v>персик</x:v>
      </x:c>
      <x:c r="D125" s="28" t="str">
        <x:v>мандарин</x:v>
      </x:c>
      <x:c r="E125" s="28" t="str">
        <x:v>Цитрусовые</x:v>
      </x:c>
      <x:c r="F125" s="28" t="str">
        <x:v>прямое или классовое перекрытие характерных одорантов + вкусовой баланс</x:v>
      </x:c>
      <x:c r="G12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Мандарин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 и кислый, цедра содержит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12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12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5" s="28" t="str">
        <x:v>сорбет, салат, джем, кордиал, лимонад, коктейль или фруктовый соус</x:v>
      </x:c>
      <x:c r="K125" s="28" t="str">
        <x:v>Средняя</x:v>
      </x:c>
      <x:c r="L125" s="28" t="str">
        <x:v>The Art &amp; Science of Foodpairing.pdf</x:v>
      </x:c>
      <x:c r="M125" s="28" t="str">
        <x:v>The Art &amp; Science of Foodpairing.pdf: 260–261</x:v>
      </x:c>
    </x:row>
    <x:row r="126" ht="64" customHeight="1">
      <x:c r="A126" s="28" t="str">
        <x:v>STN-0151</x:v>
      </x:c>
      <x:c r="B126" s="28" t="str">
        <x:v>персик</x:v>
      </x:c>
      <x:c r="C126" s="28" t="str">
        <x:v>персик</x:v>
      </x:c>
      <x:c r="D126" s="28" t="str">
        <x:v>мед</x:v>
      </x:c>
      <x:c r="E126" s="28" t="str">
        <x:v>Сахара, мёд и кондитерские основы</x:v>
      </x:c>
      <x:c r="F126" s="28" t="str">
        <x:v>комплементарность ароматических семейств, вкусовой контраст и матричный эффект</x:v>
      </x:c>
      <x:c r="G12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вязкая сахарная; снижает летучесть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12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12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6" s="28" t="str">
        <x:v>напиток, соус, десерт или горячее блюдо после пробной дегустации</x:v>
      </x:c>
      <x:c r="K126" s="28" t="str">
        <x:v>Гипотеза / практическая</x:v>
      </x:c>
      <x:c r="L126" s="28" t="str">
        <x:v>Таблица сочетания(1).pdf</x:v>
      </x:c>
      <x:c r="M126" s="28" t="str">
        <x:v>Таблица сочетания(1).pdf: 9 | Таблица сочетания(1).pdf: 15</x:v>
      </x:c>
    </x:row>
    <x:row r="127" ht="64" customHeight="1">
      <x:c r="A127" s="28" t="str">
        <x:v>STN-0153</x:v>
      </x:c>
      <x:c r="B127" s="28" t="str">
        <x:v>персик</x:v>
      </x:c>
      <x:c r="C127" s="28" t="str">
        <x:v>персик</x:v>
      </x:c>
      <x:c r="D127" s="28" t="str">
        <x:v>момбин желтый</x:v>
      </x:c>
      <x:c r="E127" s="28" t="str">
        <x:v>Фрукты</x:v>
      </x:c>
      <x:c r="F127" s="28" t="str">
        <x:v>комплементарность ароматических семейств, вкусовой контраст и матричный эффект</x:v>
      </x:c>
      <x:c r="G12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Момбин желтый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2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2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7" s="28" t="str">
        <x:v>сорбет, салат, джем, кордиал, лимонад, коктейль или фруктовый соус</x:v>
      </x:c>
      <x:c r="K127" s="28" t="str">
        <x:v>Средняя</x:v>
      </x:c>
      <x:c r="L127" s="28" t="str">
        <x:v>The Art &amp; Science of Foodpairing.pdf</x:v>
      </x:c>
      <x:c r="M127" s="28" t="str">
        <x:v>The Art &amp; Science of Foodpairing.pdf: 260–261</x:v>
      </x:c>
    </x:row>
    <x:row r="128" ht="64" customHeight="1">
      <x:c r="A128" s="28" t="str">
        <x:v>STN-0156</x:v>
      </x:c>
      <x:c r="B128" s="28" t="str">
        <x:v>персик</x:v>
      </x:c>
      <x:c r="C128" s="28" t="str">
        <x:v>персик</x:v>
      </x:c>
      <x:c r="D128" s="28" t="str">
        <x:v>мушмула японская</x:v>
      </x:c>
      <x:c r="E128" s="28" t="str">
        <x:v>Фрукты</x:v>
      </x:c>
      <x:c r="F128" s="28" t="str">
        <x:v>комплементарность ароматических семейств, вкусовой контраст и матричный эффект</x:v>
      </x:c>
      <x:c r="G12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Мушмула японская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2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2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8" s="28" t="str">
        <x:v>сорбет, салат, джем, кордиал, лимонад, коктейль или фруктовый соус</x:v>
      </x:c>
      <x:c r="K128" s="28" t="str">
        <x:v>Средняя</x:v>
      </x:c>
      <x:c r="L128" s="28" t="str">
        <x:v>The Art &amp; Science of Foodpairing.pdf</x:v>
      </x:c>
      <x:c r="M128" s="28" t="str">
        <x:v>The Art &amp; Science of Foodpairing.pdf: 260–261</x:v>
      </x:c>
    </x:row>
    <x:row r="129" ht="64" customHeight="1">
      <x:c r="A129" s="28" t="str">
        <x:v>STN-0157</x:v>
      </x:c>
      <x:c r="B129" s="28" t="str">
        <x:v>персик</x:v>
      </x:c>
      <x:c r="C129" s="28" t="str">
        <x:v>персик</x:v>
      </x:c>
      <x:c r="D129" s="28" t="str">
        <x:v>мята</x:v>
      </x:c>
      <x:c r="E129" s="28" t="str">
        <x:v>Травы и цветы</x:v>
      </x:c>
      <x:c r="F129" s="28" t="str">
        <x:v>комплементарность ароматических семейств, вкусовой контраст и матричный эффект</x:v>
      </x:c>
      <x:c r="G12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2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2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29" s="28" t="str">
        <x:v>напиток, соус, десерт или горячее блюдо после пробной дегустации</x:v>
      </x:c>
      <x:c r="K129" s="28" t="str">
        <x:v>Гипотеза / практическая</x:v>
      </x:c>
      <x:c r="L129" s="28" t="str">
        <x:v>Таблица сочетания(1).pdf</x:v>
      </x:c>
      <x:c r="M129" s="28" t="str">
        <x:v>Таблица сочетания(1).pdf: 13 | Таблица сочетания(1).pdf: 15</x:v>
      </x:c>
    </x:row>
    <x:row r="130" ht="64" customHeight="1">
      <x:c r="A130" s="28" t="str">
        <x:v>STN-0158</x:v>
      </x:c>
      <x:c r="B130" s="28" t="str">
        <x:v>персик</x:v>
      </x:c>
      <x:c r="C130" s="28" t="str">
        <x:v>персик</x:v>
      </x:c>
      <x:c r="D130" s="28" t="str">
        <x:v>нектарин</x:v>
      </x:c>
      <x:c r="E130" s="28" t="str">
        <x:v>Косточковые фрукты</x:v>
      </x:c>
      <x:c r="F130" s="28" t="str">
        <x:v>прямое или классовое перекрытие характерных одорантов + вкусовой баланс</x:v>
      </x:c>
      <x:c r="G13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Нектарин относится к группе «Косточковые фрукты» и даёт профиль «персиковый, фруктовый, цветочный, зелёный, сливочно-лактонный»; типичные соединения или классы: γ- и δ-декалактон, γ- и δ-додекалактон, фруктовые эфиры, линалоол, бензальдегид, C6-альдегиды. В рабочих профилях пересекаются: бензальдегид, линалоол, декалактон, додекалактон. Общие ароматические направления: цветочный, лактонный, зелёный. Базовый фрукт даёт: выраженная сладость, умеренная кислотность; беломякотные сорта обычно слаще и мягче по кислоте. Партнёр добавляет: сладкий, сочный, с умеренной кислотностью; профиль близок к персику, но кожица гладкая и часто более ярко-фруктовая.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водно-пектиновая; гидрофобные лактоны лучше проявляются в жире 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H13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делает профиль джемовым и сглаживает различия между нектарином и персиком.</x:v>
      </x:c>
      <x:c r="I13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0" s="28" t="str">
        <x:v>напиток, соус, десерт или горячее блюдо после пробной дегустации</x:v>
      </x:c>
      <x:c r="K130" s="28" t="str">
        <x:v>Высокая</x:v>
      </x:c>
      <x:c r="L130" s="28" t="str">
        <x:v>The Art &amp; Science of Foodpairing.pdf | Таблица сочетания(1).pdf</x:v>
      </x:c>
      <x:c r="M130" s="28" t="str">
        <x:v>Таблица сочетания(1).pdf: 14 | Таблица сочетания(1).pdf: 15 | The Art &amp; Science of Foodpairing.pdf: 260 | The Art &amp; Science of Foodpairing.pdf: 260–261</x:v>
      </x:c>
    </x:row>
    <x:row r="131" ht="64" customHeight="1">
      <x:c r="A131" s="28" t="str">
        <x:v>STN-0160</x:v>
      </x:c>
      <x:c r="B131" s="28" t="str">
        <x:v>персик</x:v>
      </x:c>
      <x:c r="C131" s="28" t="str">
        <x:v>персик</x:v>
      </x:c>
      <x:c r="D131" s="28" t="str">
        <x:v>обжаренный bacon</x:v>
      </x:c>
      <x:c r="E131" s="28" t="str">
        <x:v>Прочее</x:v>
      </x:c>
      <x:c r="F131" s="28" t="str">
        <x:v>комплементарность ароматических семейств, вкусовой контраст и матричный эффект</x:v>
      </x:c>
      <x:c r="G13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bacon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3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3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1" s="28" t="str">
        <x:v>напиток, соус, десерт или горячее блюдо после пробной дегустации</x:v>
      </x:c>
      <x:c r="K131" s="28" t="str">
        <x:v>Средняя</x:v>
      </x:c>
      <x:c r="L131" s="28" t="str">
        <x:v>The Art &amp; Science of Foodpairing.pdf</x:v>
      </x:c>
      <x:c r="M131" s="28" t="str">
        <x:v>The Art &amp; Science of Foodpairing.pdf: 260–261</x:v>
      </x:c>
    </x:row>
    <x:row r="132" ht="64" customHeight="1">
      <x:c r="A132" s="28" t="str">
        <x:v>STN-0161</x:v>
      </x:c>
      <x:c r="B132" s="28" t="str">
        <x:v>персик</x:v>
      </x:c>
      <x:c r="C132" s="28" t="str">
        <x:v>персик</x:v>
      </x:c>
      <x:c r="D132" s="28" t="str">
        <x:v>обжаренный duck breast</x:v>
      </x:c>
      <x:c r="E132" s="28" t="str">
        <x:v>Прочее</x:v>
      </x:c>
      <x:c r="F132" s="28" t="str">
        <x:v>комплементарность ароматических семейств, вкусовой контраст и матричный эффект</x:v>
      </x:c>
      <x:c r="G13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duck breast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3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3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2" s="28" t="str">
        <x:v>напиток, соус, десерт или горячее блюдо после пробной дегустации</x:v>
      </x:c>
      <x:c r="K132" s="28" t="str">
        <x:v>Средняя</x:v>
      </x:c>
      <x:c r="L132" s="28" t="str">
        <x:v>The Art &amp; Science of Foodpairing.pdf</x:v>
      </x:c>
      <x:c r="M132" s="28" t="str">
        <x:v>The Art &amp; Science of Foodpairing.pdf: 260–261</x:v>
      </x:c>
    </x:row>
    <x:row r="133" ht="64" customHeight="1">
      <x:c r="A133" s="28" t="str">
        <x:v>STN-0163</x:v>
      </x:c>
      <x:c r="B133" s="28" t="str">
        <x:v>персик</x:v>
      </x:c>
      <x:c r="C133" s="28" t="str">
        <x:v>персик</x:v>
      </x:c>
      <x:c r="D133" s="28" t="str">
        <x:v>обжаренный страус</x:v>
      </x:c>
      <x:c r="E133" s="28" t="str">
        <x:v>Мясо и птица</x:v>
      </x:c>
      <x:c r="F133" s="28" t="str">
        <x:v>комплементарность ароматических семейств, вкусовой контраст и матричный эффект</x:v>
      </x:c>
      <x:c r="G13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Обжаренный страус относится к группе «Мясо и птица» и даёт профиль «жареный, мясной, сернистый, жирный»; типичные соединения или классы: пиразины, тиазолы, альдегиды жиров,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терпеновые масла; кислота снижает ощущение жирности.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H133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I133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133" s="28" t="str">
        <x:v>соус, глазировка, чатни, маринад, гарнир или основное блюдо</x:v>
      </x:c>
      <x:c r="K133" s="28" t="str">
        <x:v>Средняя</x:v>
      </x:c>
      <x:c r="L133" s="28" t="str">
        <x:v>The Art &amp; Science of Foodpairing.pdf</x:v>
      </x:c>
      <x:c r="M133" s="28" t="str">
        <x:v>The Art &amp; Science of Foodpairing.pdf: 260–261</x:v>
      </x:c>
    </x:row>
    <x:row r="134" ht="64" customHeight="1">
      <x:c r="A134" s="28" t="str">
        <x:v>STN-0164</x:v>
      </x:c>
      <x:c r="B134" s="28" t="str">
        <x:v>персик</x:v>
      </x:c>
      <x:c r="C134" s="28" t="str">
        <x:v>персик</x:v>
      </x:c>
      <x:c r="D134" s="28" t="str">
        <x:v>оливковое масло</x:v>
      </x:c>
      <x:c r="E134" s="28" t="str">
        <x:v>Молочные продукты и сыры</x:v>
      </x:c>
      <x:c r="F134" s="28" t="str">
        <x:v>комплементарность ароматических семейств, вкусовой контраст и матричный эффект</x:v>
      </x:c>
      <x:c r="G13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Общие ароматические направления: сливочный. Базовый фрукт даёт: выраженная сладость, умеренная кислотность; беломякотные сорта обычно слаще и мягче по кислоте. Партнёр добавляет: жирный, кислый/солёный.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жировая и белковая матрица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3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3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4" s="28" t="str">
        <x:v>напиток, соус, десерт или горячее блюдо после пробной дегустации</x:v>
      </x:c>
      <x:c r="K134" s="28" t="str">
        <x:v>Средняя</x:v>
      </x:c>
      <x:c r="L134" s="28" t="str">
        <x:v>The Art &amp; Science of Foodpairing.pdf</x:v>
      </x:c>
      <x:c r="M134" s="28" t="str">
        <x:v>The Art &amp; Science of Foodpairing.pdf: 172</x:v>
      </x:c>
    </x:row>
    <x:row r="135" ht="64" customHeight="1">
      <x:c r="A135" s="28" t="str">
        <x:v>STN-0165</x:v>
      </x:c>
      <x:c r="B135" s="28" t="str">
        <x:v>персик</x:v>
      </x:c>
      <x:c r="C135" s="28" t="str">
        <x:v>персик</x:v>
      </x:c>
      <x:c r="D135" s="28" t="str">
        <x:v>оливковое масло арбекина</x:v>
      </x:c>
      <x:c r="E135" s="28" t="str">
        <x:v>Прочее</x:v>
      </x:c>
      <x:c r="F135" s="28" t="str">
        <x:v>комплементарность ароматических семейств, вкусовой контраст и матричный эффект</x:v>
      </x:c>
      <x:c r="G13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Оливковое масло арбекина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баланс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матрица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3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3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5" s="28" t="str">
        <x:v>напиток, соус, десерт или горячее блюдо после пробной дегустации</x:v>
      </x:c>
      <x:c r="K135" s="28" t="str">
        <x:v>Средняя</x:v>
      </x:c>
      <x:c r="L135" s="28" t="str">
        <x:v>The Art &amp; Science of Foodpairing.pdf</x:v>
      </x:c>
      <x:c r="M135" s="28" t="str">
        <x:v>The Art &amp; Science of Foodpairing.pdf: 260–261</x:v>
      </x:c>
    </x:row>
    <x:row r="136" ht="64" customHeight="1">
      <x:c r="A136" s="28" t="str">
        <x:v>STN-0166</x:v>
      </x:c>
      <x:c r="B136" s="28" t="str">
        <x:v>персик</x:v>
      </x:c>
      <x:c r="C136" s="28" t="str">
        <x:v>персик</x:v>
      </x:c>
      <x:c r="D136" s="28" t="str">
        <x:v>отварная морковь</x:v>
      </x:c>
      <x:c r="E136" s="28" t="str">
        <x:v>Овощи</x:v>
      </x:c>
      <x:c r="F136" s="28" t="str">
        <x:v>комплементарность ароматических семейств, вкусовой контраст и матричный эффект</x:v>
      </x:c>
      <x:c r="G13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морковь относится к группе «Овощи» и даёт профиль «зелёный, землистый, растительный, иногда сернистый»; типичные соединения или классы: C6-альдегиды, метоксипиразины, геосмин (землистые),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сладковатый, горьковатый,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водная/крахмальная матрица; масло помогает распределить цедру.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H13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I13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6" s="28" t="str">
        <x:v>напиток, соус, десерт или горячее блюдо после пробной дегустации</x:v>
      </x:c>
      <x:c r="K136" s="28" t="str">
        <x:v>Средняя</x:v>
      </x:c>
      <x:c r="L136" s="28" t="str">
        <x:v>The Art &amp; Science of Foodpairing.pdf</x:v>
      </x:c>
      <x:c r="M136" s="28" t="str">
        <x:v>The Art &amp; Science of Foodpairing.pdf: 232</x:v>
      </x:c>
    </x:row>
    <x:row r="137" ht="64" customHeight="1">
      <x:c r="A137" s="28" t="str">
        <x:v>STN-0169</x:v>
      </x:c>
      <x:c r="B137" s="28" t="str">
        <x:v>персик</x:v>
      </x:c>
      <x:c r="C137" s="28" t="str">
        <x:v>персик</x:v>
      </x:c>
      <x:c r="D137" s="28" t="str">
        <x:v>отварная стручковая фасоль</x:v>
      </x:c>
      <x:c r="E137" s="28" t="str">
        <x:v>Овощи и корнеплоды</x:v>
      </x:c>
      <x:c r="F137" s="28" t="str">
        <x:v>комплементарность ароматических семейств, вкусовой контраст и матричный эффект</x:v>
      </x:c>
      <x:c r="G13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стручковая фасоль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3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3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7" s="28" t="str">
        <x:v>соус, глазировка, чатни, маринад, гарнир или основное блюдо</x:v>
      </x:c>
      <x:c r="K137" s="28" t="str">
        <x:v>Средняя</x:v>
      </x:c>
      <x:c r="L137" s="28" t="str">
        <x:v>The Art &amp; Science of Foodpairing.pdf</x:v>
      </x:c>
      <x:c r="M137" s="28" t="str">
        <x:v>The Art &amp; Science of Foodpairing.pdf: 260–261</x:v>
      </x:c>
    </x:row>
    <x:row r="138" ht="64" customHeight="1">
      <x:c r="A138" s="28" t="str">
        <x:v>STN-0170</x:v>
      </x:c>
      <x:c r="B138" s="28" t="str">
        <x:v>персик</x:v>
      </x:c>
      <x:c r="C138" s="28" t="str">
        <x:v>персик</x:v>
      </x:c>
      <x:c r="D138" s="28" t="str">
        <x:v>отварная тыква</x:v>
      </x:c>
      <x:c r="E138" s="28" t="str">
        <x:v>Овощи и корнеплоды</x:v>
      </x:c>
      <x:c r="F138" s="28" t="str">
        <x:v>комплементарность ароматических семейств, вкусовой контраст и матричный эффект</x:v>
      </x:c>
      <x:c r="G13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Отварная тыква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3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3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38" s="28" t="str">
        <x:v>соус, глазировка, чатни, маринад, гарнир или основное блюдо</x:v>
      </x:c>
      <x:c r="K138" s="28" t="str">
        <x:v>Средняя</x:v>
      </x:c>
      <x:c r="L138" s="28" t="str">
        <x:v>The Art &amp; Science of Foodpairing.pdf</x:v>
      </x:c>
      <x:c r="M138" s="28" t="str">
        <x:v>The Art &amp; Science of Foodpairing.pdf: 260–261</x:v>
      </x:c>
    </x:row>
    <x:row r="139" ht="64" customHeight="1">
      <x:c r="A139" s="28" t="str">
        <x:v>STN-0171</x:v>
      </x:c>
      <x:c r="B139" s="28" t="str">
        <x:v>персик</x:v>
      </x:c>
      <x:c r="C139" s="28" t="str">
        <x:v>персик</x:v>
      </x:c>
      <x:c r="D139" s="28" t="str">
        <x:v>отварное мясо бурого краба</x:v>
      </x:c>
      <x:c r="E139" s="28" t="str">
        <x:v>Мясо и птица</x:v>
      </x:c>
      <x:c r="F139" s="28" t="str">
        <x:v>комплементарность ароматических семейств, вкусовой контраст и матричный эффект</x:v>
      </x:c>
      <x:c r="G13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Отварное мясо бурого краба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H139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I139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139" s="28" t="str">
        <x:v>соус, глазировка, чатни, маринад, гарнир или основное блюдо</x:v>
      </x:c>
      <x:c r="K139" s="28" t="str">
        <x:v>Средняя</x:v>
      </x:c>
      <x:c r="L139" s="28" t="str">
        <x:v>The Art &amp; Science of Foodpairing.pdf</x:v>
      </x:c>
      <x:c r="M139" s="28" t="str">
        <x:v>The Art &amp; Science of Foodpairing.pdf: 260–261</x:v>
      </x:c>
    </x:row>
    <x:row r="140" ht="64" customHeight="1">
      <x:c r="A140" s="28" t="str">
        <x:v>STN-0172</x:v>
      </x:c>
      <x:c r="B140" s="28" t="str">
        <x:v>персик</x:v>
      </x:c>
      <x:c r="C140" s="28" t="str">
        <x:v>персик</x:v>
      </x:c>
      <x:c r="D140" s="28" t="str">
        <x:v>отварной broccoli</x:v>
      </x:c>
      <x:c r="E140" s="28" t="str">
        <x:v>Прочее</x:v>
      </x:c>
      <x:c r="F140" s="28" t="str">
        <x:v>комплементарность ароматических семейств, вкусовой контраст и матричный эффект</x:v>
      </x:c>
      <x:c r="G14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broccoli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4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4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0" s="28" t="str">
        <x:v>напиток, соус, десерт или горячее блюдо после пробной дегустации</x:v>
      </x:c>
      <x:c r="K140" s="28" t="str">
        <x:v>Средняя</x:v>
      </x:c>
      <x:c r="L140" s="28" t="str">
        <x:v>The Art &amp; Science of Foodpairing.pdf</x:v>
      </x:c>
      <x:c r="M140" s="28" t="str">
        <x:v>The Art &amp; Science of Foodpairing.pdf: 260–261</x:v>
      </x:c>
    </x:row>
    <x:row r="141" ht="64" customHeight="1">
      <x:c r="A141" s="28" t="str">
        <x:v>STN-0173</x:v>
      </x:c>
      <x:c r="B141" s="28" t="str">
        <x:v>персик</x:v>
      </x:c>
      <x:c r="C141" s="28" t="str">
        <x:v>персик</x:v>
      </x:c>
      <x:c r="D141" s="28" t="str">
        <x:v>отварной голубой краб</x:v>
      </x:c>
      <x:c r="E141" s="28" t="str">
        <x:v>Рыба и морепродукты</x:v>
      </x:c>
      <x:c r="F141" s="28" t="str">
        <x:v>комплементарность ароматических семейств, вкусовой контраст и матричный эффект</x:v>
      </x:c>
      <x:c r="G14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голубой краб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4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41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141" s="28" t="str">
        <x:v>соус, глазировка, чатни, маринад, гарнир или основное блюдо</x:v>
      </x:c>
      <x:c r="K141" s="28" t="str">
        <x:v>Средняя</x:v>
      </x:c>
      <x:c r="L141" s="28" t="str">
        <x:v>The Art &amp; Science of Foodpairing.pdf</x:v>
      </x:c>
      <x:c r="M141" s="28" t="str">
        <x:v>The Art &amp; Science of Foodpairing.pdf: 260–261</x:v>
      </x:c>
    </x:row>
    <x:row r="142" ht="64" customHeight="1">
      <x:c r="A142" s="28" t="str">
        <x:v>STN-0174</x:v>
      </x:c>
      <x:c r="B142" s="28" t="str">
        <x:v>персик</x:v>
      </x:c>
      <x:c r="C142" s="28" t="str">
        <x:v>персик</x:v>
      </x:c>
      <x:c r="D142" s="28" t="str">
        <x:v>отварной лангустин</x:v>
      </x:c>
      <x:c r="E142" s="28" t="str">
        <x:v>Рыба и морепродукты</x:v>
      </x:c>
      <x:c r="F142" s="28" t="str">
        <x:v>комплементарность ароматических семейств, вкусовой контраст и матричный эффект</x:v>
      </x:c>
      <x:c r="G14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лангустин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4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42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142" s="28" t="str">
        <x:v>соус, глазировка, чатни, маринад, гарнир или основное блюдо</x:v>
      </x:c>
      <x:c r="K142" s="28" t="str">
        <x:v>Средняя</x:v>
      </x:c>
      <x:c r="L142" s="28" t="str">
        <x:v>The Art &amp; Science of Foodpairing.pdf</x:v>
      </x:c>
      <x:c r="M142" s="28" t="str">
        <x:v>The Art &amp; Science of Foodpairing.pdf: 153</x:v>
      </x:c>
    </x:row>
    <x:row r="143" ht="64" customHeight="1">
      <x:c r="A143" s="28" t="str">
        <x:v>STN-0176</x:v>
      </x:c>
      <x:c r="B143" s="28" t="str">
        <x:v>персик</x:v>
      </x:c>
      <x:c r="C143" s="28" t="str">
        <x:v>персик</x:v>
      </x:c>
      <x:c r="D143" s="28" t="str">
        <x:v>отварной томатильо</x:v>
      </x:c>
      <x:c r="E143" s="28" t="str">
        <x:v>Овощи и корнеплоды</x:v>
      </x:c>
      <x:c r="F143" s="28" t="str">
        <x:v>комплементарность ароматических семейств, вкусовой контраст и матричный эффект</x:v>
      </x:c>
      <x:c r="G14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Отварной томатильо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4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4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3" s="28" t="str">
        <x:v>соус, глазировка, чатни, маринад, гарнир или основное блюдо</x:v>
      </x:c>
      <x:c r="K143" s="28" t="str">
        <x:v>Средняя</x:v>
      </x:c>
      <x:c r="L143" s="28" t="str">
        <x:v>The Art &amp; Science of Foodpairing.pdf</x:v>
      </x:c>
      <x:c r="M143" s="28" t="str">
        <x:v>The Art &amp; Science of Foodpairing.pdf: 260–261</x:v>
      </x:c>
    </x:row>
    <x:row r="144" ht="64" customHeight="1">
      <x:c r="A144" s="28" t="str">
        <x:v>STN-0177</x:v>
      </x:c>
      <x:c r="B144" s="28" t="str">
        <x:v>персик</x:v>
      </x:c>
      <x:c r="C144" s="28" t="str">
        <x:v>персик</x:v>
      </x:c>
      <x:c r="D144" s="28" t="str">
        <x:v>отварные бобы</x:v>
      </x:c>
      <x:c r="E144" s="28" t="str">
        <x:v>Овощи и корнеплоды</x:v>
      </x:c>
      <x:c r="F144" s="28" t="str">
        <x:v>комплементарность ароматических семейств, вкусовой контраст и матричный эффект</x:v>
      </x:c>
      <x:c r="G14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Отварные бобы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4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4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4" s="28" t="str">
        <x:v>соус, глазировка, чатни, маринад, гарнир или основное блюдо</x:v>
      </x:c>
      <x:c r="K144" s="28" t="str">
        <x:v>Средняя</x:v>
      </x:c>
      <x:c r="L144" s="28" t="str">
        <x:v>The Art &amp; Science of Foodpairing.pdf</x:v>
      </x:c>
      <x:c r="M144" s="28" t="str">
        <x:v>The Art &amp; Science of Foodpairing.pdf: 260–261</x:v>
      </x:c>
    </x:row>
    <x:row r="145" ht="64" customHeight="1">
      <x:c r="A145" s="28" t="str">
        <x:v>STN-0178</x:v>
      </x:c>
      <x:c r="B145" s="28" t="str">
        <x:v>персик</x:v>
      </x:c>
      <x:c r="C145" s="28" t="str">
        <x:v>персик</x:v>
      </x:c>
      <x:c r="D145" s="28" t="str">
        <x:v>папайя</x:v>
      </x:c>
      <x:c r="E145" s="28" t="str">
        <x:v>Тропические фрукты</x:v>
      </x:c>
      <x:c r="F145" s="28" t="str">
        <x:v>прямое или классовое перекрытие характерных одорантов + вкусовой баланс</x:v>
      </x:c>
      <x:c r="G14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Папайя относится к группе «Тропические фрукты» и даёт профиль «мягкий тропический, цветочный, мускусный и слегка зелёный»; типичные соединения или классы: линалоол, бензилацетат, этилбутират, метилбутират; в семенах и незрелом плоде — бензилизотиоцианат.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умеренная сладость, низкая кислотность; незрелый плод нейтральнее.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мягкая водная мякоть; содержит протеазу папаин.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перезрелая папайя может казаться мускусной; папаин размягчает белки при длительном контакте.</x:v>
      </x:c>
      <x:c r="H14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перезрелая папайя может казаться мускусной; папаин размягчает белки при длительном контакте.</x:v>
      </x:c>
      <x:c r="I14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5" s="28" t="str">
        <x:v>напиток, соус, десерт или горячее блюдо после пробной дегустации</x:v>
      </x:c>
      <x:c r="K145" s="28" t="str">
        <x:v>Гипотеза / практическая</x:v>
      </x:c>
      <x:c r="L145" s="28" t="str">
        <x:v>Таблица сочетания(1).pdf</x:v>
      </x:c>
      <x:c r="M145" s="28" t="str">
        <x:v>Таблица сочетания(1).pdf: Таблица сочетаний: 15 | Таблица сочетания(1).pdf: 15</x:v>
      </x:c>
    </x:row>
    <x:row r="146" ht="64" customHeight="1">
      <x:c r="A146" s="28" t="str">
        <x:v>STN-0179</x:v>
      </x:c>
      <x:c r="B146" s="28" t="str">
        <x:v>персик</x:v>
      </x:c>
      <x:c r="C146" s="28" t="str">
        <x:v>персик</x:v>
      </x:c>
      <x:c r="D146" s="28" t="str">
        <x:v>пастернак</x:v>
      </x:c>
      <x:c r="E146" s="28" t="str">
        <x:v>Прочее</x:v>
      </x:c>
      <x:c r="F146" s="28" t="str">
        <x:v>комплементарность ароматических семейств, вкусовой контраст и матричный эффект</x:v>
      </x:c>
      <x:c r="G14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Пастернак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4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4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6" s="28" t="str">
        <x:v>напиток, соус, десерт или горячее блюдо после пробной дегустации</x:v>
      </x:c>
      <x:c r="K146" s="28" t="str">
        <x:v>Средняя</x:v>
      </x:c>
      <x:c r="L146" s="28" t="str">
        <x:v>The Art &amp; Science of Foodpairing.pdf</x:v>
      </x:c>
      <x:c r="M146" s="28" t="str">
        <x:v>The Art &amp; Science of Foodpairing.pdf: 260–261</x:v>
      </x:c>
    </x:row>
    <x:row r="147" ht="64" customHeight="1">
      <x:c r="A147" s="28" t="str">
        <x:v>STN-0181</x:v>
      </x:c>
      <x:c r="B147" s="28" t="str">
        <x:v>персик</x:v>
      </x:c>
      <x:c r="C147" s="28" t="str">
        <x:v>персик</x:v>
      </x:c>
      <x:c r="D147" s="28" t="str">
        <x:v>перец рокото</x:v>
      </x:c>
      <x:c r="E147" s="28" t="str">
        <x:v>Специи и острые компоненты</x:v>
      </x:c>
      <x:c r="F147" s="28" t="str">
        <x:v>комплементарность ароматических семейств, вкусовой контраст и матричный эффект</x:v>
      </x:c>
      <x:c r="G14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Перец рокото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147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147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47" s="28" t="str">
        <x:v>напиток, соус, десерт или горячее блюдо после пробной дегустации</x:v>
      </x:c>
      <x:c r="K147" s="28" t="str">
        <x:v>Средняя</x:v>
      </x:c>
      <x:c r="L147" s="28" t="str">
        <x:v>The Art &amp; Science of Foodpairing.pdf</x:v>
      </x:c>
      <x:c r="M147" s="28" t="str">
        <x:v>The Art &amp; Science of Foodpairing.pdf: 260–261</x:v>
      </x:c>
    </x:row>
    <x:row r="148" ht="64" customHeight="1">
      <x:c r="A148" s="28" t="str">
        <x:v>STN-0182</x:v>
      </x:c>
      <x:c r="B148" s="28" t="str">
        <x:v>персик</x:v>
      </x:c>
      <x:c r="C148" s="28" t="str">
        <x:v>персик</x:v>
      </x:c>
      <x:c r="D148" s="28" t="str">
        <x:v>перец урфа</x:v>
      </x:c>
      <x:c r="E148" s="28" t="str">
        <x:v>Специи и острые компоненты</x:v>
      </x:c>
      <x:c r="F148" s="28" t="str">
        <x:v>комплементарность ароматических семейств, вкусовой контраст и матричный эффект</x:v>
      </x:c>
      <x:c r="G14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Перец урфа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ароматические масла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48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48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48" s="28" t="str">
        <x:v>напиток, соус, десерт или горячее блюдо после пробной дегустации</x:v>
      </x:c>
      <x:c r="K148" s="28" t="str">
        <x:v>Средняя</x:v>
      </x:c>
      <x:c r="L148" s="28" t="str">
        <x:v>The Art &amp; Science of Foodpairing.pdf</x:v>
      </x:c>
      <x:c r="M148" s="28" t="str">
        <x:v>The Art &amp; Science of Foodpairing.pdf: 260–261</x:v>
      </x:c>
    </x:row>
    <x:row r="149" ht="64" customHeight="1">
      <x:c r="A149" s="28" t="str">
        <x:v>STN-0183</x:v>
      </x:c>
      <x:c r="B149" s="28" t="str">
        <x:v>персик</x:v>
      </x:c>
      <x:c r="C149" s="28" t="str">
        <x:v>персик</x:v>
      </x:c>
      <x:c r="D149" s="28" t="str">
        <x:v>приготовленный black salsify</x:v>
      </x:c>
      <x:c r="E149" s="28" t="str">
        <x:v>Прочее</x:v>
      </x:c>
      <x:c r="F149" s="28" t="str">
        <x:v>комплементарность ароматических семейств, вкусовой контраст и матричный эффект</x:v>
      </x:c>
      <x:c r="G14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Приготовленный black salsify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4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4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49" s="28" t="str">
        <x:v>напиток, соус, десерт или горячее блюдо после пробной дегустации</x:v>
      </x:c>
      <x:c r="K149" s="28" t="str">
        <x:v>Средняя</x:v>
      </x:c>
      <x:c r="L149" s="28" t="str">
        <x:v>The Art &amp; Science of Foodpairing.pdf</x:v>
      </x:c>
      <x:c r="M149" s="28" t="str">
        <x:v>The Art &amp; Science of Foodpairing.pdf: 260–261</x:v>
      </x:c>
    </x:row>
    <x:row r="150" ht="64" customHeight="1">
      <x:c r="A150" s="28" t="str">
        <x:v>STN-0184</x:v>
      </x:c>
      <x:c r="B150" s="28" t="str">
        <x:v>персик</x:v>
      </x:c>
      <x:c r="C150" s="28" t="str">
        <x:v>персик</x:v>
      </x:c>
      <x:c r="D150" s="28" t="str">
        <x:v>припущенный тюрбо</x:v>
      </x:c>
      <x:c r="E150" s="28" t="str">
        <x:v>Рыба и морепродукты</x:v>
      </x:c>
      <x:c r="F150" s="28" t="str">
        <x:v>комплементарность ароматических семейств, вкусовой контраст и матричный эффект</x:v>
      </x:c>
      <x:c r="G15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Припущенный тюрбо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5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50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150" s="28" t="str">
        <x:v>соус, глазировка, чатни, маринад, гарнир или основное блюдо</x:v>
      </x:c>
      <x:c r="K150" s="28" t="str">
        <x:v>Средняя</x:v>
      </x:c>
      <x:c r="L150" s="28" t="str">
        <x:v>The Art &amp; Science of Foodpairing.pdf</x:v>
      </x:c>
      <x:c r="M150" s="28" t="str">
        <x:v>The Art &amp; Science of Foodpairing.pdf: 260–261</x:v>
      </x:c>
    </x:row>
    <x:row r="151" ht="64" customHeight="1">
      <x:c r="A151" s="28" t="str">
        <x:v>STN-0185</x:v>
      </x:c>
      <x:c r="B151" s="28" t="str">
        <x:v>персик</x:v>
      </x:c>
      <x:c r="C151" s="28" t="str">
        <x:v>персик</x:v>
      </x:c>
      <x:c r="D151" s="28" t="str">
        <x:v>прошутто</x:v>
      </x:c>
      <x:c r="E151" s="28" t="str">
        <x:v>Мясо и птица</x:v>
      </x:c>
      <x:c r="F151" s="28" t="str">
        <x:v>комплементарность ароматических семейств, вкусовой контраст и матричный эффект</x:v>
      </x:c>
      <x:c r="G15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Прошутто относится к группе «Мясо и птица» и даёт профиль «мясной, жареный, жирный и сернистый»; типичные соединения или классы: пиразины, тиазолы, альдегиды Стреккера,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терпены и смягчает кислоту.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реакции Майяра создают мост к карамельным, ореховым и сухофруктовым нотам.</x:v>
      </x:c>
      <x:c r="H151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 Для партнёра важно: реакции Майяра создают мост к карамельным, ореховым и сухофруктовым нотам.</x:v>
      </x:c>
      <x:c r="I151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151" s="28" t="str">
        <x:v>соус, глазировка, чатни, маринад, гарнир или основное блюдо</x:v>
      </x:c>
      <x:c r="K151" s="28" t="str">
        <x:v>Средняя</x:v>
      </x:c>
      <x:c r="L151" s="28" t="str">
        <x:v>Тезариус вкусов (Ники Сегнит)(1).pdf</x:v>
      </x:c>
      <x:c r="M151" s="28" t="str">
        <x:v>Тезариус вкусов (Ники Сегнит)(1).pdf: 459 | Тезариус вкусов (Ники Сегнит)(1).pdf: 751</x:v>
      </x:c>
    </x:row>
    <x:row r="152" ht="64" customHeight="1">
      <x:c r="A152" s="28" t="str">
        <x:v>STN-0186</x:v>
      </x:c>
      <x:c r="B152" s="28" t="str">
        <x:v>персик</x:v>
      </x:c>
      <x:c r="C152" s="28" t="str">
        <x:v>персик</x:v>
      </x:c>
      <x:c r="D152" s="28" t="str">
        <x:v>прошутто сан-даниэле</x:v>
      </x:c>
      <x:c r="E152" s="28" t="str">
        <x:v>Мясо и птица</x:v>
      </x:c>
      <x:c r="F152" s="28" t="str">
        <x:v>комплементарность ароматических семейств, вкусовой контраст и матричный эффект</x:v>
      </x:c>
      <x:c r="G15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Прошутто сан-даниэле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H152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I152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152" s="28" t="str">
        <x:v>соус, глазировка, чатни, маринад, гарнир или основное блюдо</x:v>
      </x:c>
      <x:c r="K152" s="28" t="str">
        <x:v>Средняя</x:v>
      </x:c>
      <x:c r="L152" s="28" t="str">
        <x:v>The Art &amp; Science of Foodpairing.pdf</x:v>
      </x:c>
      <x:c r="M152" s="28" t="str">
        <x:v>The Art &amp; Science of Foodpairing.pdf: 260–261</x:v>
      </x:c>
    </x:row>
    <x:row r="153" ht="64" customHeight="1">
      <x:c r="A153" s="28" t="str">
        <x:v>STN-0187</x:v>
      </x:c>
      <x:c r="B153" s="28" t="str">
        <x:v>персик</x:v>
      </x:c>
      <x:c r="C153" s="28" t="str">
        <x:v>персик</x:v>
      </x:c>
      <x:c r="D153" s="28" t="str">
        <x:v>радиккьо</x:v>
      </x:c>
      <x:c r="E153" s="28" t="str">
        <x:v>Овощи и корнеплоды</x:v>
      </x:c>
      <x:c r="F153" s="28" t="str">
        <x:v>комплементарность ароматических семейств, вкусовой контраст и матричный эффект</x:v>
      </x:c>
      <x:c r="G15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Радиккьо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5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5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3" s="28" t="str">
        <x:v>соус, глазировка, чатни, маринад, гарнир или основное блюдо</x:v>
      </x:c>
      <x:c r="K153" s="28" t="str">
        <x:v>Средняя</x:v>
      </x:c>
      <x:c r="L153" s="28" t="str">
        <x:v>The Art &amp; Science of Foodpairing.pdf</x:v>
      </x:c>
      <x:c r="M153" s="28" t="str">
        <x:v>The Art &amp; Science of Foodpairing.pdf: 260–261</x:v>
      </x:c>
    </x:row>
    <x:row r="154" ht="64" customHeight="1">
      <x:c r="A154" s="28" t="str">
        <x:v>STN-0188</x:v>
      </x:c>
      <x:c r="B154" s="28" t="str">
        <x:v>персик</x:v>
      </x:c>
      <x:c r="C154" s="28" t="str">
        <x:v>персик</x:v>
      </x:c>
      <x:c r="D154" s="28" t="str">
        <x:v>ревень</x:v>
      </x:c>
      <x:c r="E154" s="28" t="str">
        <x:v>Прочее</x:v>
      </x:c>
      <x:c r="F154" s="28" t="str">
        <x:v>комплементарность ароматических семейств, вкусовой контраст и матричный эффект</x:v>
      </x:c>
      <x:c r="G15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Ревень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5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5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4" s="28" t="str">
        <x:v>напиток, соус, десерт или горячее блюдо после пробной дегустации</x:v>
      </x:c>
      <x:c r="K154" s="28" t="str">
        <x:v>Гипотеза / практическая</x:v>
      </x:c>
      <x:c r="L154" s="28" t="str">
        <x:v>Таблица сочетания(1).pdf</x:v>
      </x:c>
      <x:c r="M154" s="28" t="str">
        <x:v>Таблица сочетания(1).pdf: 19</x:v>
      </x:c>
    </x:row>
    <x:row r="155" ht="64" customHeight="1">
      <x:c r="A155" s="28" t="str">
        <x:v>STN-0189</x:v>
      </x:c>
      <x:c r="B155" s="28" t="str">
        <x:v>персик</x:v>
      </x:c>
      <x:c r="C155" s="28" t="str">
        <x:v>персик</x:v>
      </x:c>
      <x:c r="D155" s="28" t="str">
        <x:v>роза</x:v>
      </x:c>
      <x:c r="E155" s="28" t="str">
        <x:v>Травы и цветы</x:v>
      </x:c>
      <x:c r="F155" s="28" t="str">
        <x:v>прямое или классовое перекрытие характерных одорантов + вкусовой баланс</x:v>
      </x:c>
      <x:c r="G15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Роза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5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5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5" s="28" t="str">
        <x:v>напиток, соус, десерт или горячее блюдо после пробной дегустации</x:v>
      </x:c>
      <x:c r="K155" s="28" t="str">
        <x:v>Гипотеза / практическая</x:v>
      </x:c>
      <x:c r="L155" s="28" t="str">
        <x:v>Таблица сочетания(1).pdf</x:v>
      </x:c>
      <x:c r="M155" s="28" t="str">
        <x:v>Таблица сочетания(1).pdf: 19</x:v>
      </x:c>
    </x:row>
    <x:row r="156" ht="64" customHeight="1">
      <x:c r="A156" s="28" t="str">
        <x:v>STN-0190</x:v>
      </x:c>
      <x:c r="B156" s="28" t="str">
        <x:v>персик</x:v>
      </x:c>
      <x:c r="C156" s="28" t="str">
        <x:v>персик</x:v>
      </x:c>
      <x:c r="D156" s="28" t="str">
        <x:v>салями милано</x:v>
      </x:c>
      <x:c r="E156" s="28" t="str">
        <x:v>Мясо и птица</x:v>
      </x:c>
      <x:c r="F156" s="28" t="str">
        <x:v>комплементарность ароматических семейств, вкусовой контраст и матричный эффект</x:v>
      </x:c>
      <x:c r="G15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Салями милано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несёт зелёные и цветочные ноты; лактоны хорошо удерживаются жиром и этанолом. Партнёр: жир удерживает фруктовые лактоны; белок смягчает кислотность. Обработка: 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H156" s="28" t="str">
        <x:v>спелость резко увеличивает аромат; нагрев усиливает варенье, карамель и миндальные оттенки, но снижает свежую цветочность. Обжарка создаёт пиразины и фураны; фруктовый компонент лучше добавлять как глазировку или соус ближе к завершению.</x:v>
      </x:c>
      <x:c r="I156" s="28" t="str">
        <x:v>незрелый плод ароматически беден; перезрелый быстро окисляется; косточки не использовать без безопасной технологии. Избыток сахара делает соус липким и скрывает умами; кислоту и соль корректируют после уваривания.</x:v>
      </x:c>
      <x:c r="J156" s="28" t="str">
        <x:v>соус, глазировка, чатни, маринад, гарнир или основное блюдо</x:v>
      </x:c>
      <x:c r="K156" s="28" t="str">
        <x:v>Средняя</x:v>
      </x:c>
      <x:c r="L156" s="28" t="str">
        <x:v>The Art &amp; Science of Foodpairing.pdf</x:v>
      </x:c>
      <x:c r="M156" s="28" t="str">
        <x:v>The Art &amp; Science of Foodpairing.pdf: 260–261</x:v>
      </x:c>
    </x:row>
    <x:row r="157" ht="64" customHeight="1">
      <x:c r="A157" s="28" t="str">
        <x:v>STN-0192</x:v>
      </x:c>
      <x:c r="B157" s="28" t="str">
        <x:v>персик</x:v>
      </x:c>
      <x:c r="C157" s="28" t="str">
        <x:v>персик</x:v>
      </x:c>
      <x:c r="D157" s="28" t="str">
        <x:v>свежий корень имбиря</x:v>
      </x:c>
      <x:c r="E157" s="28" t="str">
        <x:v>Специи</x:v>
      </x:c>
      <x:c r="F157" s="28" t="str">
        <x:v>комплементарность ароматических семейств, вкусовой контраст и матричный эффект</x:v>
      </x:c>
      <x:c r="G15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Свежий корень имбиря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пряный, иногда горький.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хорошо извлекаются спиртом и жиром.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5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5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7" s="28" t="str">
        <x:v>напиток, соус, десерт или горячее блюдо после пробной дегустации</x:v>
      </x:c>
      <x:c r="K157" s="28" t="str">
        <x:v>Средняя</x:v>
      </x:c>
      <x:c r="L157" s="28" t="str">
        <x:v>The Art &amp; Science of Foodpairing.pdf</x:v>
      </x:c>
      <x:c r="M157" s="28" t="str">
        <x:v>The Art &amp; Science of Foodpairing.pdf: 142 | The Art &amp; Science of Foodpairing.pdf: 143</x:v>
      </x:c>
    </x:row>
    <x:row r="158" ht="64" customHeight="1">
      <x:c r="A158" s="28" t="str">
        <x:v>STN-0193</x:v>
      </x:c>
      <x:c r="B158" s="28" t="str">
        <x:v>персик</x:v>
      </x:c>
      <x:c r="C158" s="28" t="str">
        <x:v>персик</x:v>
      </x:c>
      <x:c r="D158" s="28" t="str">
        <x:v>сельдерей</x:v>
      </x:c>
      <x:c r="E158" s="28" t="str">
        <x:v>Овощи и бобовые</x:v>
      </x:c>
      <x:c r="F158" s="28" t="str">
        <x:v>комплементарность ароматических семейств, вкусовой контраст и матричный эффект</x:v>
      </x:c>
      <x:c r="G15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Сельдерей относится к группе «Овощи и бобовые» и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варьирует от сладости до горечи, умами и крахмалистости.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водная, волокнистая или крахмальная.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H15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I15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8" s="28" t="str">
        <x:v>напиток, соус, десерт или горячее блюдо после пробной дегустации</x:v>
      </x:c>
      <x:c r="K158" s="28" t="str">
        <x:v>Средняя</x:v>
      </x:c>
      <x:c r="L158" s="28" t="str">
        <x:v>The Art &amp; Science of Foodpairing.pdf</x:v>
      </x:c>
      <x:c r="M158" s="28" t="str">
        <x:v>The Art &amp; Science of Foodpairing.pdf: 260–261</x:v>
      </x:c>
    </x:row>
    <x:row r="159" ht="64" customHeight="1">
      <x:c r="A159" s="28" t="str">
        <x:v>STN-0194</x:v>
      </x:c>
      <x:c r="B159" s="28" t="str">
        <x:v>персик</x:v>
      </x:c>
      <x:c r="C159" s="28" t="str">
        <x:v>персик</x:v>
      </x:c>
      <x:c r="D159" s="28" t="str">
        <x:v>скрэмбл</x:v>
      </x:c>
      <x:c r="E159" s="28" t="str">
        <x:v>Прочее</x:v>
      </x:c>
      <x:c r="F159" s="28" t="str">
        <x:v>комплементарность ароматических семейств, вкусовой контраст и матричный эффект</x:v>
      </x:c>
      <x:c r="G15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Скрэмбл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15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15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59" s="28" t="str">
        <x:v>напиток, соус, десерт или горячее блюдо после пробной дегустации</x:v>
      </x:c>
      <x:c r="K159" s="28" t="str">
        <x:v>Средняя</x:v>
      </x:c>
      <x:c r="L159" s="28" t="str">
        <x:v>The Art &amp; Science of Foodpairing.pdf</x:v>
      </x:c>
      <x:c r="M159" s="28" t="str">
        <x:v>The Art &amp; Science of Foodpairing.pdf: 260–261</x:v>
      </x:c>
    </x:row>
    <x:row r="160" ht="64" customHeight="1">
      <x:c r="A160" s="28" t="str">
        <x:v>STN-0195</x:v>
      </x:c>
      <x:c r="B160" s="28" t="str">
        <x:v>персик</x:v>
      </x:c>
      <x:c r="C160" s="28" t="str">
        <x:v>персик</x:v>
      </x:c>
      <x:c r="D160" s="28" t="str">
        <x:v>слива</x:v>
      </x:c>
      <x:c r="E160" s="28" t="str">
        <x:v>Косточковые фрукты</x:v>
      </x:c>
      <x:c r="F160" s="28" t="str">
        <x:v>прямое или классовое перекрытие характерных одорантов + вкусовой баланс</x:v>
      </x:c>
      <x:c r="G16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Слива относится к группе «Косточковые фрукты» и даёт профиль «винно-фруктовый, цветочный, зелёный, пряный, миндальный; от свежего до тёмно-джемового»; типичные соединения или классы: фруктовые эфиры, γ- и δ-лактоны, бензальдегид, линалоол, C6-альдегиды, дамасконы. В рабочих профилях пересекаются: бензальдегид,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 и заметная яблочно-лимонная кислотность; кожица часто терпкая.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сочная пектиновая мякоть; кожица богата полифенолами; аромат хорошо работает в воде, сахаре 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H16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I16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0" s="28" t="str">
        <x:v>напиток, соус, десерт или горячее блюдо после пробной дегустации</x:v>
      </x:c>
      <x:c r="K160" s="28" t="str">
        <x:v>Высокая</x:v>
      </x:c>
      <x:c r="L160" s="28" t="str">
        <x:v>The Art &amp; Science of Foodpairing.pdf | Таблица сочетания(1).pdf</x:v>
      </x:c>
      <x:c r="M160" s="28" t="str">
        <x:v>Таблица сочетания(1).pdf: 17 | The Art &amp; Science of Foodpairing.pdf: 260</x:v>
      </x:c>
    </x:row>
    <x:row r="161" ht="64" customHeight="1">
      <x:c r="A161" s="28" t="str">
        <x:v>STN-0196</x:v>
      </x:c>
      <x:c r="B161" s="28" t="str">
        <x:v>персик</x:v>
      </x:c>
      <x:c r="C161" s="28" t="str">
        <x:v>персик</x:v>
      </x:c>
      <x:c r="D161" s="28" t="str">
        <x:v>смородина</x:v>
      </x:c>
      <x:c r="E161" s="28" t="str">
        <x:v>Ягоды</x:v>
      </x:c>
      <x:c r="F161" s="28" t="str">
        <x:v>комплементарность ароматических семейств, вкусовой контраст и матричный эффект</x:v>
      </x:c>
      <x:c r="G16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6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6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1" s="28" t="str">
        <x:v>сорбет, салат, джем, кордиал, лимонад, коктейль или фруктовый соус</x:v>
      </x:c>
      <x:c r="K161" s="28" t="str">
        <x:v>Гипотеза / практическая</x:v>
      </x:c>
      <x:c r="L161" s="28" t="str">
        <x:v>Таблица сочетания(1).pdf</x:v>
      </x:c>
      <x:c r="M161" s="28" t="str">
        <x:v>Таблица сочетания(1).pdf: Таблица сочетаний: 15 | Таблица сочетания(1).pdf: 15</x:v>
      </x:c>
    </x:row>
    <x:row r="162" ht="64" customHeight="1">
      <x:c r="A162" s="28" t="str">
        <x:v>STN-0197</x:v>
      </x:c>
      <x:c r="B162" s="28" t="str">
        <x:v>персик</x:v>
      </x:c>
      <x:c r="C162" s="28" t="str">
        <x:v>персик</x:v>
      </x:c>
      <x:c r="D162" s="28" t="str">
        <x:v>сок яблока кешью</x:v>
      </x:c>
      <x:c r="E162" s="28" t="str">
        <x:v>Фрукты</x:v>
      </x:c>
      <x:c r="F162" s="28" t="str">
        <x:v>комплементарность ароматических семейств, вкусовой контраст и матричный эффект</x:v>
      </x:c>
      <x:c r="G16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Сок яблока кешью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преимущественно водно-пектиновая матрица.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6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6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2" s="28" t="str">
        <x:v>сорбет, салат, джем, кордиал, лимонад, коктейль или фруктовый соус</x:v>
      </x:c>
      <x:c r="K162" s="28" t="str">
        <x:v>Средняя</x:v>
      </x:c>
      <x:c r="L162" s="28" t="str">
        <x:v>The Art &amp; Science of Foodpairing.pdf</x:v>
      </x:c>
      <x:c r="M162" s="28" t="str">
        <x:v>The Art &amp; Science of Foodpairing.pdf: 260–261</x:v>
      </x:c>
    </x:row>
    <x:row r="163" ht="64" customHeight="1">
      <x:c r="A163" s="28" t="str">
        <x:v>STN-0198</x:v>
      </x:c>
      <x:c r="B163" s="28" t="str">
        <x:v>персик</x:v>
      </x:c>
      <x:c r="C163" s="28" t="str">
        <x:v>персик</x:v>
      </x:c>
      <x:c r="D163" s="28" t="str">
        <x:v>сушеная вешенка</x:v>
      </x:c>
      <x:c r="E163" s="28" t="str">
        <x:v>Прочее</x:v>
      </x:c>
      <x:c r="F163" s="28" t="str">
        <x:v>комплементарность ароматических семейств, вкусовой контраст и матричный эффект</x:v>
      </x:c>
      <x:c r="G16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Сушеная вешенка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16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16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3" s="28" t="str">
        <x:v>напиток, соус, десерт или горячее блюдо после пробной дегустации</x:v>
      </x:c>
      <x:c r="K163" s="28" t="str">
        <x:v>Средняя</x:v>
      </x:c>
      <x:c r="L163" s="28" t="str">
        <x:v>The Art &amp; Science of Foodpairing.pdf</x:v>
      </x:c>
      <x:c r="M163" s="28" t="str">
        <x:v>The Art &amp; Science of Foodpairing.pdf: 260–261</x:v>
      </x:c>
    </x:row>
    <x:row r="164" ht="64" customHeight="1">
      <x:c r="A164" s="28" t="str">
        <x:v>STN-0200</x:v>
      </x:c>
      <x:c r="B164" s="28" t="str">
        <x:v>персик</x:v>
      </x:c>
      <x:c r="C164" s="28" t="str">
        <x:v>персик</x:v>
      </x:c>
      <x:c r="D164" s="28" t="str">
        <x:v>сушеные белые грибы</x:v>
      </x:c>
      <x:c r="E164" s="28" t="str">
        <x:v>Грибы и трюфели</x:v>
      </x:c>
      <x:c r="F164" s="28" t="str">
        <x:v>комплементарность ароматических семейств, вкусовой контраст и матричный эффект</x:v>
      </x:c>
      <x:c r="G16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белые грибы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умами и лёгкая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вода и клетчатка; обжарка создаёт новые жареные молекулы.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6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6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4" s="28" t="str">
        <x:v>соус, глазировка, чатни, маринад, гарнир или основное блюдо</x:v>
      </x:c>
      <x:c r="K164" s="28" t="str">
        <x:v>Средняя</x:v>
      </x:c>
      <x:c r="L164" s="28" t="str">
        <x:v>The Art &amp; Science of Foodpairing.pdf</x:v>
      </x:c>
      <x:c r="M164" s="28" t="str">
        <x:v>The Art &amp; Science of Foodpairing.pdf: 260–261</x:v>
      </x:c>
    </x:row>
    <x:row r="165" ht="64" customHeight="1">
      <x:c r="A165" s="28" t="str">
        <x:v>STN-0201</x:v>
      </x:c>
      <x:c r="B165" s="28" t="str">
        <x:v>персик</x:v>
      </x:c>
      <x:c r="C165" s="28" t="str">
        <x:v>персик</x:v>
      </x:c>
      <x:c r="D165" s="28" t="str">
        <x:v>сушеные листья тмина</x:v>
      </x:c>
      <x:c r="E165" s="28" t="str">
        <x:v>Прочее</x:v>
      </x:c>
      <x:c r="F165" s="28" t="str">
        <x:v>комплементарность ароматических семейств, вкусовой контраст и матричный эффект</x:v>
      </x:c>
      <x:c r="G16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листья тмина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продукта.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зависит от формы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16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16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5" s="28" t="str">
        <x:v>напиток, соус, десерт или горячее блюдо после пробной дегустации</x:v>
      </x:c>
      <x:c r="K165" s="28" t="str">
        <x:v>Средняя</x:v>
      </x:c>
      <x:c r="L165" s="28" t="str">
        <x:v>The Art &amp; Science of Foodpairing.pdf</x:v>
      </x:c>
      <x:c r="M165" s="28" t="str">
        <x:v>The Art &amp; Science of Foodpairing.pdf: 260–261</x:v>
      </x:c>
    </x:row>
    <x:row r="166" ht="64" customHeight="1">
      <x:c r="A166" s="28" t="str">
        <x:v>STN-0202</x:v>
      </x:c>
      <x:c r="B166" s="28" t="str">
        <x:v>персик</x:v>
      </x:c>
      <x:c r="C166" s="28" t="str">
        <x:v>персик</x:v>
      </x:c>
      <x:c r="D166" s="28" t="str">
        <x:v>сушеные семена черного тмина</x:v>
      </x:c>
      <x:c r="E166" s="28" t="str">
        <x:v>Специи и острые компоненты</x:v>
      </x:c>
      <x:c r="F166" s="28" t="str">
        <x:v>комплементарность ароматических семейств, вкусовой контраст и матричный эффект</x:v>
      </x:c>
      <x:c r="G16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семена черного тмина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166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166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66" s="28" t="str">
        <x:v>напиток, соус, десерт или горячее блюдо после пробной дегустации</x:v>
      </x:c>
      <x:c r="K166" s="28" t="str">
        <x:v>Средняя</x:v>
      </x:c>
      <x:c r="L166" s="28" t="str">
        <x:v>The Art &amp; Science of Foodpairing.pdf</x:v>
      </x:c>
      <x:c r="M166" s="28" t="str">
        <x:v>The Art &amp; Science of Foodpairing.pdf: 260–261</x:v>
      </x:c>
    </x:row>
    <x:row r="167" ht="64" customHeight="1">
      <x:c r="A167" s="28" t="str">
        <x:v>STN-0203</x:v>
      </x:c>
      <x:c r="B167" s="28" t="str">
        <x:v>персик</x:v>
      </x:c>
      <x:c r="C167" s="28" t="str">
        <x:v>персик</x:v>
      </x:c>
      <x:c r="D167" s="28" t="str">
        <x:v>сушеные цветы сакуры</x:v>
      </x:c>
      <x:c r="E167" s="28" t="str">
        <x:v>Травы, листья и цветы</x:v>
      </x:c>
      <x:c r="F167" s="28" t="str">
        <x:v>прямое или классовое перекрытие характерных одорантов + вкусовой баланс</x:v>
      </x:c>
      <x:c r="G16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Сушеные цветы сакуры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167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16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7" s="28" t="str">
        <x:v>напиток, соус, десерт или горячее блюдо после пробной дегустации</x:v>
      </x:c>
      <x:c r="K167" s="28" t="str">
        <x:v>Средняя</x:v>
      </x:c>
      <x:c r="L167" s="28" t="str">
        <x:v>The Art &amp; Science of Foodpairing.pdf</x:v>
      </x:c>
      <x:c r="M167" s="28" t="str">
        <x:v>The Art &amp; Science of Foodpairing.pdf: 260–261</x:v>
      </x:c>
    </x:row>
    <x:row r="168" ht="64" customHeight="1">
      <x:c r="A168" s="28" t="str">
        <x:v>STN-0205</x:v>
      </x:c>
      <x:c r="B168" s="28" t="str">
        <x:v>персик</x:v>
      </x:c>
      <x:c r="C168" s="28" t="str">
        <x:v>персик</x:v>
      </x:c>
      <x:c r="D168" s="28" t="str">
        <x:v>сычуаньский перец</x:v>
      </x:c>
      <x:c r="E168" s="28" t="str">
        <x:v>Специи и острые компоненты</x:v>
      </x:c>
      <x:c r="F168" s="28" t="str">
        <x:v>комплементарность ароматических семейств, вкусовой контраст и матричный эффект</x:v>
      </x:c>
      <x:c r="G16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Сычуаньский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несёт зелёные и цветочные ноты; лактоны хорошо удерживаются жиром и этанолом. Партнёр: гидрофобные молекулы хорошо переходят в жир и этанол. Обработка: 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H168" s="28" t="str">
        <x:v>спелость резко увеличивает аромат; нагрев усиливает варенье, карамель и миндальные оттенки, но снижает свежую цветочность. Краткая инфузия сохраняет детализацию; длительный нагрев и настаивание повышают горечь и остроту.</x:v>
      </x:c>
      <x:c r="I168" s="28" t="str">
        <x:v>незрелый плод ароматически беден; перезрелый быстро окисляется; косточки не использовать без безопасной технологии. Специя легко доминирует; начинайте с низкой дозировки и учитывайте рост остроты после выдержки.</x:v>
      </x:c>
      <x:c r="J168" s="28" t="str">
        <x:v>напиток, соус, десерт или горячее блюдо после пробной дегустации</x:v>
      </x:c>
      <x:c r="K168" s="28" t="str">
        <x:v>Средняя</x:v>
      </x:c>
      <x:c r="L168" s="28" t="str">
        <x:v>The Art &amp; Science of Foodpairing.pdf</x:v>
      </x:c>
      <x:c r="M168" s="28" t="str">
        <x:v>The Art &amp; Science of Foodpairing.pdf: 260–261</x:v>
      </x:c>
    </x:row>
    <x:row r="169" ht="64" customHeight="1">
      <x:c r="A169" s="28" t="str">
        <x:v>STN-0206</x:v>
      </x:c>
      <x:c r="B169" s="28" t="str">
        <x:v>персик</x:v>
      </x:c>
      <x:c r="C169" s="28" t="str">
        <x:v>персик</x:v>
      </x:c>
      <x:c r="D169" s="28" t="str">
        <x:v>таитянская ваниль</x:v>
      </x:c>
      <x:c r="E169" s="28" t="str">
        <x:v>Прочее</x:v>
      </x:c>
      <x:c r="F169" s="28" t="str">
        <x:v>комплементарность ароматических семейств, вкусовой контраст и матричный эффект</x:v>
      </x:c>
      <x:c r="G16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Таитянская ваниль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6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6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69" s="28" t="str">
        <x:v>напиток, соус, десерт или горячее блюдо после пробной дегустации</x:v>
      </x:c>
      <x:c r="K169" s="28" t="str">
        <x:v>Средняя</x:v>
      </x:c>
      <x:c r="L169" s="28" t="str">
        <x:v>The Art &amp; Science of Foodpairing.pdf</x:v>
      </x:c>
      <x:c r="M169" s="28" t="str">
        <x:v>The Art &amp; Science of Foodpairing.pdf: 260–261</x:v>
      </x:c>
    </x:row>
    <x:row r="170" ht="64" customHeight="1">
      <x:c r="A170" s="28" t="str">
        <x:v>STN-0207</x:v>
      </x:c>
      <x:c r="B170" s="28" t="str">
        <x:v>персик</x:v>
      </x:c>
      <x:c r="C170" s="28" t="str">
        <x:v>персик</x:v>
      </x:c>
      <x:c r="D170" s="28" t="str">
        <x:v>темный шоколад</x:v>
      </x:c>
      <x:c r="E170" s="28" t="str">
        <x:v>Чай, кофе и какао</x:v>
      </x:c>
      <x:c r="F170" s="28" t="str">
        <x:v>комплементарность ароматических семейств, вкусовой контраст и матричный эффект</x:v>
      </x:c>
      <x:c r="G17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Темный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горечь, терпкость и жареная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водные настои извлекают полифенолы; жир и сахар смягчают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17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17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70" s="28" t="str">
        <x:v>напиток, соус, десерт или горячее блюдо после пробной дегустации</x:v>
      </x:c>
      <x:c r="K170" s="28" t="str">
        <x:v>Средняя</x:v>
      </x:c>
      <x:c r="L170" s="28" t="str">
        <x:v>The Art &amp; Science of Foodpairing.pdf</x:v>
      </x:c>
      <x:c r="M170" s="28" t="str">
        <x:v>The Art &amp; Science of Foodpairing.pdf: 260–261</x:v>
      </x:c>
    </x:row>
    <x:row r="171" ht="64" customHeight="1">
      <x:c r="A171" s="28" t="str">
        <x:v>STN-0209</x:v>
      </x:c>
      <x:c r="B171" s="28" t="str">
        <x:v>персик</x:v>
      </x:c>
      <x:c r="C171" s="28" t="str">
        <x:v>персик</x:v>
      </x:c>
      <x:c r="D171" s="28" t="str">
        <x:v>томаты черри</x:v>
      </x:c>
      <x:c r="E171" s="28" t="str">
        <x:v>Овощи и корнеплоды</x:v>
      </x:c>
      <x:c r="F171" s="28" t="str">
        <x:v>комплементарность ароматических семейств, вкусовой контраст и матричный эффект</x:v>
      </x:c>
      <x:c r="G17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Томаты черри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7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7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71" s="28" t="str">
        <x:v>соус, глазировка, чатни, маринад, гарнир или основное блюдо</x:v>
      </x:c>
      <x:c r="K171" s="28" t="str">
        <x:v>Средняя</x:v>
      </x:c>
      <x:c r="L171" s="28" t="str">
        <x:v>The Art &amp; Science of Foodpairing.pdf</x:v>
      </x:c>
      <x:c r="M171" s="28" t="str">
        <x:v>The Art &amp; Science of Foodpairing.pdf: 260–261</x:v>
      </x:c>
    </x:row>
    <x:row r="172" ht="64" customHeight="1">
      <x:c r="A172" s="28" t="str">
        <x:v>STN-0210</x:v>
      </x:c>
      <x:c r="B172" s="28" t="str">
        <x:v>персик</x:v>
      </x:c>
      <x:c r="C172" s="28" t="str">
        <x:v>персик</x:v>
      </x:c>
      <x:c r="D172" s="28" t="str">
        <x:v>тушеная пикша</x:v>
      </x:c>
      <x:c r="E172" s="28" t="str">
        <x:v>Рыба и морепродукты</x:v>
      </x:c>
      <x:c r="F172" s="28" t="str">
        <x:v>комплементарность ароматических семейств, вкусовой контраст и матричный эффект</x:v>
      </x:c>
      <x:c r="G17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Тушеная пикша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7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72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172" s="28" t="str">
        <x:v>соус, глазировка, чатни, маринад, гарнир или основное блюдо</x:v>
      </x:c>
      <x:c r="K172" s="28" t="str">
        <x:v>Средняя</x:v>
      </x:c>
      <x:c r="L172" s="28" t="str">
        <x:v>The Art &amp; Science of Foodpairing.pdf</x:v>
      </x:c>
      <x:c r="M172" s="28" t="str">
        <x:v>The Art &amp; Science of Foodpairing.pdf: 260–261</x:v>
      </x:c>
    </x:row>
    <x:row r="173" ht="64" customHeight="1">
      <x:c r="A173" s="28" t="str">
        <x:v>STN-0211</x:v>
      </x:c>
      <x:c r="B173" s="28" t="str">
        <x:v>персик</x:v>
      </x:c>
      <x:c r="C173" s="28" t="str">
        <x:v>персик</x:v>
      </x:c>
      <x:c r="D173" s="28" t="str">
        <x:v>укроп</x:v>
      </x:c>
      <x:c r="E173" s="28" t="str">
        <x:v>Травы и цветы</x:v>
      </x:c>
      <x:c r="F173" s="28" t="str">
        <x:v>прямое или классовое перекрытие характерных одорантов + вкусовой баланс</x:v>
      </x:c>
      <x:c r="G17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7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7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73" s="28" t="str">
        <x:v>напиток, соус, десерт или горячее блюдо после пробной дегустации</x:v>
      </x:c>
      <x:c r="K173" s="28" t="str">
        <x:v>Средняя</x:v>
      </x:c>
      <x:c r="L173" s="28" t="str">
        <x:v>The Art &amp; Science of Foodpairing.pdf</x:v>
      </x:c>
      <x:c r="M173" s="28" t="str">
        <x:v>The Art &amp; Science of Foodpairing.pdf: 260–261</x:v>
      </x:c>
    </x:row>
    <x:row r="174" ht="64" customHeight="1">
      <x:c r="A174" s="28" t="str">
        <x:v>STN-0212</x:v>
      </x:c>
      <x:c r="B174" s="28" t="str">
        <x:v>персик</x:v>
      </x:c>
      <x:c r="C174" s="28" t="str">
        <x:v>персик</x:v>
      </x:c>
      <x:c r="D174" s="28" t="str">
        <x:v>фиалка</x:v>
      </x:c>
      <x:c r="E174" s="28" t="str">
        <x:v>Травы и цветы</x:v>
      </x:c>
      <x:c r="F174" s="28" t="str">
        <x:v>прямое или классовое перекрытие характерных одорантов + вкусовой баланс</x:v>
      </x:c>
      <x:c r="G17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Фиалка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7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7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74" s="28" t="str">
        <x:v>напиток, соус, десерт или горячее блюдо после пробной дегустации</x:v>
      </x:c>
      <x:c r="K174" s="28" t="str">
        <x:v>Гипотеза / практическая</x:v>
      </x:c>
      <x:c r="L174" s="28" t="str">
        <x:v>Таблица сочетания(1).pdf</x:v>
      </x:c>
      <x:c r="M174" s="28" t="str">
        <x:v>Таблица сочетания(1).pdf: 21</x:v>
      </x:c>
    </x:row>
    <x:row r="175" ht="64" customHeight="1">
      <x:c r="A175" s="28" t="str">
        <x:v>STN-0213</x:v>
      </x:c>
      <x:c r="B175" s="28" t="str">
        <x:v>персик</x:v>
      </x:c>
      <x:c r="C175" s="28" t="str">
        <x:v>персик</x:v>
      </x:c>
      <x:c r="D175" s="28" t="str">
        <x:v>филе скумбрии</x:v>
      </x:c>
      <x:c r="E175" s="28" t="str">
        <x:v>Рыба и морепродукты</x:v>
      </x:c>
      <x:c r="F175" s="28" t="str">
        <x:v>комплементарность ароматических семейств, вкусовой контраст и матричный эффект</x:v>
      </x:c>
      <x:c r="G17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Филе скумбрии относится к группе «Рыба и морепродукты» и даёт профиль «морской, йодистый, зелёный, жирный»; типичные соединения или классы: альдегиды окисления липидов, бромфенолы, диметилсульфид, умами-соединения. По доступным материалам нельзя уверенно свести совместимость к одной общей молекуле. Общие ароматические направления: зелёный.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кислота может денатурировать поверхностные белки; жир рыбы удерживает терпены.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H17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I175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175" s="28" t="str">
        <x:v>соус, глазировка, чатни, маринад, гарнир или основное блюдо</x:v>
      </x:c>
      <x:c r="K175" s="28" t="str">
        <x:v>Средняя</x:v>
      </x:c>
      <x:c r="L175" s="28" t="str">
        <x:v>The Art &amp; Science of Foodpairing.pdf</x:v>
      </x:c>
      <x:c r="M175" s="28" t="str">
        <x:v>The Art &amp; Science of Foodpairing.pdf: 260–261</x:v>
      </x:c>
    </x:row>
    <x:row r="176" ht="64" customHeight="1">
      <x:c r="A176" s="28" t="str">
        <x:v>STN-0214</x:v>
      </x:c>
      <x:c r="B176" s="28" t="str">
        <x:v>персик</x:v>
      </x:c>
      <x:c r="C176" s="28" t="str">
        <x:v>персик</x:v>
      </x:c>
      <x:c r="D176" s="28" t="str">
        <x:v>филе трески</x:v>
      </x:c>
      <x:c r="E176" s="28" t="str">
        <x:v>Рыба и морепродукты</x:v>
      </x:c>
      <x:c r="F176" s="28" t="str">
        <x:v>комплементарность ароматических семейств, вкусовой контраст и матричный эффект</x:v>
      </x:c>
      <x:c r="G17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Филе трески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несёт зелёные и цветочные ноты; лактоны хорошо удерживаются жиром и этанолом. Партнёр: водно-белковая матрица; жирная рыба лучше удерживает лактоны.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7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76" s="28" t="str">
        <x:v>незрелый плод ароматически беден; перезрелый быстро окисляется; косточки не использовать без безопасной технологии. Сильная сладость и длительный контакт с кислотой могут замаскировать морской вкус и изменить белковую текстуру.</x:v>
      </x:c>
      <x:c r="J176" s="28" t="str">
        <x:v>соус, глазировка, чатни, маринад, гарнир или основное блюдо</x:v>
      </x:c>
      <x:c r="K176" s="28" t="str">
        <x:v>Средняя</x:v>
      </x:c>
      <x:c r="L176" s="28" t="str">
        <x:v>The Art &amp; Science of Foodpairing.pdf</x:v>
      </x:c>
      <x:c r="M176" s="28" t="str">
        <x:v>The Art &amp; Science of Foodpairing.pdf: 260–261</x:v>
      </x:c>
    </x:row>
    <x:row r="177" ht="64" customHeight="1">
      <x:c r="A177" s="28" t="str">
        <x:v>STN-0217</x:v>
      </x:c>
      <x:c r="B177" s="28" t="str">
        <x:v>персик</x:v>
      </x:c>
      <x:c r="C177" s="28" t="str">
        <x:v>персик</x:v>
      </x:c>
      <x:c r="D177" s="28" t="str">
        <x:v>хвоя сосны</x:v>
      </x:c>
      <x:c r="E177" s="28" t="str">
        <x:v>Травы, листья и цветы</x:v>
      </x:c>
      <x:c r="F177" s="28" t="str">
        <x:v>прямое или классовое перекрытие характерных одорантов + вкусовой баланс</x:v>
      </x:c>
      <x:c r="G17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Хвоя сосны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177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17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77" s="28" t="str">
        <x:v>напиток, соус, десерт или горячее блюдо после пробной дегустации</x:v>
      </x:c>
      <x:c r="K177" s="28" t="str">
        <x:v>Средняя</x:v>
      </x:c>
      <x:c r="L177" s="28" t="str">
        <x:v>The Art &amp; Science of Foodpairing.pdf</x:v>
      </x:c>
      <x:c r="M177" s="28" t="str">
        <x:v>The Art &amp; Science of Foodpairing.pdf: 260–261</x:v>
      </x:c>
    </x:row>
    <x:row r="178" ht="64" customHeight="1">
      <x:c r="A178" s="28" t="str">
        <x:v>STN-0218</x:v>
      </x:c>
      <x:c r="B178" s="28" t="str">
        <x:v>персик</x:v>
      </x:c>
      <x:c r="C178" s="28" t="str">
        <x:v>персик</x:v>
      </x:c>
      <x:c r="D178" s="28" t="str">
        <x:v>цветы бузины</x:v>
      </x:c>
      <x:c r="E178" s="28" t="str">
        <x:v>Травы и цветы</x:v>
      </x:c>
      <x:c r="F178" s="28" t="str">
        <x:v>прямое или классовое перекрытие характерных одорантов + вкусовой баланс</x:v>
      </x:c>
      <x:c r="G17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Цветы бузины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раскрываются в жире или этаноле.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178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17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78" s="28" t="str">
        <x:v>напиток, соус, десерт или горячее блюдо после пробной дегустации</x:v>
      </x:c>
      <x:c r="K178" s="28" t="str">
        <x:v>Средняя</x:v>
      </x:c>
      <x:c r="L178" s="28" t="str">
        <x:v>The Art &amp; Science of Foodpairing.pdf</x:v>
      </x:c>
      <x:c r="M178" s="28" t="str">
        <x:v>The Art &amp; Science of Foodpairing.pdf: 260–261</x:v>
      </x:c>
    </x:row>
    <x:row r="179" ht="64" customHeight="1">
      <x:c r="A179" s="28" t="str">
        <x:v>STN-0219</x:v>
      </x:c>
      <x:c r="B179" s="28" t="str">
        <x:v>персик</x:v>
      </x:c>
      <x:c r="C179" s="28" t="str">
        <x:v>персик</x:v>
      </x:c>
      <x:c r="D179" s="28" t="str">
        <x:v>цикорий</x:v>
      </x:c>
      <x:c r="E179" s="28" t="str">
        <x:v>Овощи и корнеплоды</x:v>
      </x:c>
      <x:c r="F179" s="28" t="str">
        <x:v>комплементарность ароматических семейств, вкусовой контраст и матричный эффект</x:v>
      </x:c>
      <x:c r="G17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Цикорий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По доступным материалам нельзя уверенно свести совместимость к одной общей молекуле. Общие ароматические направления: зелёный. Базовый фрукт даёт: выраженная сладость, умеренная кислотность; беломякотные сорта обычно слаще и мягче по кислоте.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водная и клетчаточная матрица; обжарка усиливает сладость и Майяр.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7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7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79" s="28" t="str">
        <x:v>соус, глазировка, чатни, маринад, гарнир или основное блюдо</x:v>
      </x:c>
      <x:c r="K179" s="28" t="str">
        <x:v>Средняя</x:v>
      </x:c>
      <x:c r="L179" s="28" t="str">
        <x:v>The Art &amp; Science of Foodpairing.pdf</x:v>
      </x:c>
      <x:c r="M179" s="28" t="str">
        <x:v>The Art &amp; Science of Foodpairing.pdf: 260–261</x:v>
      </x:c>
    </x:row>
    <x:row r="180" ht="64" customHeight="1">
      <x:c r="A180" s="28" t="str">
        <x:v>STN-0220</x:v>
      </x:c>
      <x:c r="B180" s="28" t="str">
        <x:v>персик</x:v>
      </x:c>
      <x:c r="C180" s="28" t="str">
        <x:v>персик</x:v>
      </x:c>
      <x:c r="D180" s="28" t="str">
        <x:v>цитрусовые</x:v>
      </x:c>
      <x:c r="E180" s="28" t="str">
        <x:v>Цитрусовые</x:v>
      </x:c>
      <x:c r="F180" s="28" t="str">
        <x:v>прямое или классовое перекрытие характерных одорантов + вкусовой баланс</x:v>
      </x:c>
      <x:c r="G18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Цитрусовые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 и кислый, цедра содержит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18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18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0" s="28" t="str">
        <x:v>сорбет, салат, джем, кордиал, лимонад, коктейль или фруктовый соус</x:v>
      </x:c>
      <x:c r="K180" s="28" t="str">
        <x:v>Гипотеза / практическая</x:v>
      </x:c>
      <x:c r="L180" s="28" t="str">
        <x:v>Таблица сочетания(1).pdf</x:v>
      </x:c>
      <x:c r="M180" s="28" t="str">
        <x:v>Таблица сочетания(1).pdf: Таблица сочетания(1).pdf: 15 | Таблица сочетания(1).pdf: 15</x:v>
      </x:c>
    </x:row>
    <x:row r="181" ht="64" customHeight="1">
      <x:c r="A181" s="28" t="str">
        <x:v>STN-0221</x:v>
      </x:c>
      <x:c r="B181" s="28" t="str">
        <x:v>персик</x:v>
      </x:c>
      <x:c r="C181" s="28" t="str">
        <x:v>персик</x:v>
      </x:c>
      <x:c r="D181" s="28" t="str">
        <x:v>цукаты из апельсиновой кожуры</x:v>
      </x:c>
      <x:c r="E181" s="28" t="str">
        <x:v>Цитрусовые</x:v>
      </x:c>
      <x:c r="F181" s="28" t="str">
        <x:v>комплементарность ароматических семейств, вкусовой контраст и матричный эффект</x:v>
      </x:c>
      <x:c r="G18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Цукаты из апельсиновой кожуры относится к группе «Цитрусовые» и даёт профиль «цитрусовый, сладко-фруктовый, цветочный, восковой»; типичные соединения или классы: лимонен, линалол, деканаль, октаналь, мирцен. По доступным материалам нельзя уверенно свести совместимость к одной общей молекуле.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сок водный; цедра и ликёры несут гидрофобные эфирные масла.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Апельсиновый профиль строится на лимонене и альдегидах с восково-сладкой нотой..</x:v>
      </x:c>
      <x:c r="H18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Апельсиновый профиль строится на лимонене и альдегидах с восково-сладкой нотой..</x:v>
      </x:c>
      <x:c r="I18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1" s="28" t="str">
        <x:v>сорбет, салат, джем, кордиал, лимонад, коктейль или фруктовый соус</x:v>
      </x:c>
      <x:c r="K181" s="28" t="str">
        <x:v>Гипотеза / практическая</x:v>
      </x:c>
      <x:c r="L181" s="28" t="str">
        <x:v>The Art &amp; Science of Foodpairing.pdf</x:v>
      </x:c>
      <x:c r="M181" s="28" t="str">
        <x:v>The Art &amp; Science of Foodpairing.pdf: The Art &amp; Science of Foodpairing.pdf: 267</x:v>
      </x:c>
    </x:row>
    <x:row r="182" ht="64" customHeight="1">
      <x:c r="A182" s="28" t="str">
        <x:v>STN-0222</x:v>
      </x:c>
      <x:c r="B182" s="28" t="str">
        <x:v>персик</x:v>
      </x:c>
      <x:c r="C182" s="28" t="str">
        <x:v>персик</x:v>
      </x:c>
      <x:c r="D182" s="28" t="str">
        <x:v>черешня</x:v>
      </x:c>
      <x:c r="E182" s="28" t="str">
        <x:v>Ягоды и производные</x:v>
      </x:c>
      <x:c r="F182" s="28" t="str">
        <x:v>прямое или классовое перекрытие характерных одорантов + вкусовой баланс</x:v>
      </x:c>
      <x:c r="G18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Черешня относится к группе «Ягоды и производные» и даёт профиль «миндальный, сладко-фруктовый, цветочный»; типичные соединения или классы: бензальдегид, бета-дамасценон, эфиры. В рабочих профилях пересекаются: бензальдегид. Общие ароматические направления: цветочный. Базовый фрукт даёт: выраженная сладость, умеренная кислотность; беломякотные сорта обычно слаще и мягче по кислоте. Партнёр добавляет: сладкий, умеренно кислый.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нежнее кислой вишни; легко становится приторной.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H18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I18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2" s="28" t="str">
        <x:v>напиток, соус, десерт или горячее блюдо после пробной дегустации</x:v>
      </x:c>
      <x:c r="K182" s="28" t="str">
        <x:v>Средняя</x:v>
      </x:c>
      <x:c r="L182" s="28" t="str">
        <x:v>The Art &amp; Science of Foodpairing.pdf</x:v>
      </x:c>
      <x:c r="M182" s="28" t="str">
        <x:v>The Art &amp; Science of Foodpairing.pdf: The Art &amp; Science of Foodpairing: 260, 261 | The Art &amp; Science of Foodpairing.pdf: 260–261</x:v>
      </x:c>
    </x:row>
    <x:row r="183" ht="64" customHeight="1">
      <x:c r="A183" s="28" t="str">
        <x:v>STN-0223</x:v>
      </x:c>
      <x:c r="B183" s="28" t="str">
        <x:v>персик</x:v>
      </x:c>
      <x:c r="C183" s="28" t="str">
        <x:v>персик</x:v>
      </x:c>
      <x:c r="D183" s="28" t="str">
        <x:v>черная смородина</x:v>
      </x:c>
      <x:c r="E183" s="28" t="str">
        <x:v>Ягоды</x:v>
      </x:c>
      <x:c r="F183" s="28" t="str">
        <x:v>комплементарность ароматических семейств, вкусовой контраст и матричный эффект</x:v>
      </x:c>
      <x:c r="G18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Черная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8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83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3" s="28" t="str">
        <x:v>сорбет, салат, джем, кордиал, лимонад, коктейль или фруктовый соус</x:v>
      </x:c>
      <x:c r="K183" s="28" t="str">
        <x:v>Гипотеза / практическая</x:v>
      </x:c>
      <x:c r="L183" s="28" t="str">
        <x:v>Таблица сочетания(1).pdf</x:v>
      </x:c>
      <x:c r="M183" s="28" t="str">
        <x:v>Таблица сочетания(1).pdf: Таблица сочетаний: 2 | Таблица сочетания(1).pdf: 2</x:v>
      </x:c>
    </x:row>
    <x:row r="184" ht="64" customHeight="1">
      <x:c r="A184" s="28" t="str">
        <x:v>STN-0224</x:v>
      </x:c>
      <x:c r="B184" s="28" t="str">
        <x:v>персик</x:v>
      </x:c>
      <x:c r="C184" s="28" t="str">
        <x:v>персик</x:v>
      </x:c>
      <x:c r="D184" s="28" t="str">
        <x:v>черника</x:v>
      </x:c>
      <x:c r="E184" s="28" t="str">
        <x:v>Ягоды</x:v>
      </x:c>
      <x:c r="F184" s="28" t="str">
        <x:v>комплементарность ароматических семейств, вкусовой контраст и матричный эффект</x:v>
      </x:c>
      <x:c r="G184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несёт зелёные и цветочные ноты; лактоны хорошо удерживаются жиром и этанолом. Партнёр: водная пектиновая; антоцианы влияют на цвет, но не являются главными одорантами.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184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184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4" s="28" t="str">
        <x:v>сорбет, салат, джем, кордиал, лимонад, коктейль или фруктовый соус</x:v>
      </x:c>
      <x:c r="K184" s="28" t="str">
        <x:v>Средняя</x:v>
      </x:c>
      <x:c r="L184" s="28" t="str">
        <x:v>Тезариус вкусов (Ники Сегнит)(1).pdf</x:v>
      </x:c>
      <x:c r="M184" s="28" t="str">
        <x:v>Тезариус вкусов (Ники Сегнит)(1).pdf: Тезариус вкусов: 751, 905 | Тезариус вкусов (Ники Сегнит)(1).pdf: 751 | Тезариус вкусов (Ники Сегнит)(1).pdf: 905</x:v>
      </x:c>
    </x:row>
    <x:row r="185" ht="64" customHeight="1">
      <x:c r="A185" s="28" t="str">
        <x:v>STN-0225</x:v>
      </x:c>
      <x:c r="B185" s="28" t="str">
        <x:v>персик</x:v>
      </x:c>
      <x:c r="C185" s="28" t="str">
        <x:v>персик</x:v>
      </x:c>
      <x:c r="D185" s="28" t="str">
        <x:v>чернослив</x:v>
      </x:c>
      <x:c r="E185" s="28" t="str">
        <x:v>Сушёные косточковые фрукты</x:v>
      </x:c>
      <x:c r="F185" s="28" t="str">
        <x:v>прямое или классовое перекрытие характерных одорантов + вкусовой баланс</x:v>
      </x:c>
      <x:c r="G185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Чернослив относится к группе «Сушёные косточковые фрукты» и даёт профиль «тёмно-фруктовый, карамельный, винный, слегка дымный и миндальный»; типичные соединения или классы: фурфурол, 5-метилфурфурол, мальтол, лактоны, бензальдегид, продукты термического распада сахаров. В рабочих профилях пересекаются: бензальдегид. Базовый фрукт даёт: выраженная сладость, умеренная кислотность; беломякотные сорта обычно слаще и мягче по кислоте.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маловодная, богатая сахарами, пектином и сорбитолом; хорошо удерживает специи и алкоголь.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H185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I185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5" s="28" t="str">
        <x:v>напиток, соус, десерт или горячее блюдо после пробной дегустации</x:v>
      </x:c>
      <x:c r="K185" s="28" t="str">
        <x:v>Средняя</x:v>
      </x:c>
      <x:c r="L185" s="28" t="str">
        <x:v>The Art &amp; Science of Foodpairing.pdf</x:v>
      </x:c>
      <x:c r="M185" s="28" t="str">
        <x:v>The Art &amp; Science of Foodpairing.pdf: 260 | The Art &amp; Science of Foodpairing.pdf: 260–261</x:v>
      </x:c>
    </x:row>
    <x:row r="186" ht="64" customHeight="1">
      <x:c r="A186" s="28" t="str">
        <x:v>STN-0226</x:v>
      </x:c>
      <x:c r="B186" s="28" t="str">
        <x:v>персик</x:v>
      </x:c>
      <x:c r="C186" s="28" t="str">
        <x:v>персик</x:v>
      </x:c>
      <x:c r="D186" s="28" t="str">
        <x:v>черный трюфель</x:v>
      </x:c>
      <x:c r="E186" s="28" t="str">
        <x:v>Грибы и трюфели</x:v>
      </x:c>
      <x:c r="F186" s="28" t="str">
        <x:v>комплементарность ароматических семейств, вкусовой контраст и матричный эффект</x:v>
      </x:c>
      <x:c r="G186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Черный трюфель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умами и лёгкая горечь.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вода и клетчатка; обжарка создаёт новые жареные молекулы.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86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86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6" s="28" t="str">
        <x:v>соус, глазировка, чатни, маринад, гарнир или основное блюдо</x:v>
      </x:c>
      <x:c r="K186" s="28" t="str">
        <x:v>Средняя</x:v>
      </x:c>
      <x:c r="L186" s="28" t="str">
        <x:v>The Art &amp; Science of Foodpairing.pdf</x:v>
      </x:c>
      <x:c r="M186" s="28" t="str">
        <x:v>The Art &amp; Science of Foodpairing.pdf: 192</x:v>
      </x:c>
    </x:row>
    <x:row r="187" ht="64" customHeight="1">
      <x:c r="A187" s="28" t="str">
        <x:v>STN-0227</x:v>
      </x:c>
      <x:c r="B187" s="28" t="str">
        <x:v>персик</x:v>
      </x:c>
      <x:c r="C187" s="28" t="str">
        <x:v>персик</x:v>
      </x:c>
      <x:c r="D187" s="28" t="str">
        <x:v>шиитаке</x:v>
      </x:c>
      <x:c r="E187" s="28" t="str">
        <x:v>Прочее</x:v>
      </x:c>
      <x:c r="F187" s="28" t="str">
        <x:v>комплементарность ароматических семейств, вкусовой контраст и матричный эффект</x:v>
      </x:c>
      <x:c r="G187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Шиитаке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87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87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7" s="28" t="str">
        <x:v>напиток, соус, десерт или горячее блюдо после пробной дегустации</x:v>
      </x:c>
      <x:c r="K187" s="28" t="str">
        <x:v>Средняя</x:v>
      </x:c>
      <x:c r="L187" s="28" t="str">
        <x:v>The Art &amp; Science of Foodpairing.pdf</x:v>
      </x:c>
      <x:c r="M187" s="28" t="str">
        <x:v>The Art &amp; Science of Foodpairing.pdf: 126</x:v>
      </x:c>
    </x:row>
    <x:row r="188" ht="64" customHeight="1">
      <x:c r="A188" s="28" t="str">
        <x:v>STN-0228</x:v>
      </x:c>
      <x:c r="B188" s="28" t="str">
        <x:v>персик</x:v>
      </x:c>
      <x:c r="C188" s="28" t="str">
        <x:v>персик</x:v>
      </x:c>
      <x:c r="D188" s="28" t="str">
        <x:v>шнитт-лук</x:v>
      </x:c>
      <x:c r="E188" s="28" t="str">
        <x:v>Травы, листья и цветы</x:v>
      </x:c>
      <x:c r="F188" s="28" t="str">
        <x:v>прямое или классовое перекрытие характерных одорантов + вкусовой баланс</x:v>
      </x:c>
      <x:c r="G188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Шнитт-лук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сочная пектиновая мякоть; кожица несёт зелёные и цветочные ноты; лактоны хорошо удерживаются жиром и этанолом. Партнёр: эфирные масла гидрофобны и лучше экстрагируются жиром или этанолом. Обработка: 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H188" s="28" t="str">
        <x:v>спелость резко увеличивает аромат; нагрев усиливает варенье, карамель и миндальные оттенки, но снижает свежую цветочность. Травы лучше вводить холодной мацерацией или в финале: длительный нагрев удаляет летучие терпены.</x:v>
      </x:c>
      <x:c r="I188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8" s="28" t="str">
        <x:v>напиток, соус, десерт или горячее блюдо после пробной дегустации</x:v>
      </x:c>
      <x:c r="K188" s="28" t="str">
        <x:v>Средняя</x:v>
      </x:c>
      <x:c r="L188" s="28" t="str">
        <x:v>The Art &amp; Science of Foodpairing.pdf</x:v>
      </x:c>
      <x:c r="M188" s="28" t="str">
        <x:v>The Art &amp; Science of Foodpairing.pdf: 260–261</x:v>
      </x:c>
    </x:row>
    <x:row r="189" ht="64" customHeight="1">
      <x:c r="A189" s="28" t="str">
        <x:v>STN-0229</x:v>
      </x:c>
      <x:c r="B189" s="28" t="str">
        <x:v>персик</x:v>
      </x:c>
      <x:c r="C189" s="28" t="str">
        <x:v>персик</x:v>
      </x:c>
      <x:c r="D189" s="28" t="str">
        <x:v>шоколад</x:v>
      </x:c>
      <x:c r="E189" s="28" t="str">
        <x:v>Чай, кофе и какао</x:v>
      </x:c>
      <x:c r="F189" s="28" t="str">
        <x:v>комплементарность ароматических семейств, вкусовой контраст и матричный эффект</x:v>
      </x:c>
      <x:c r="G189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горечь, терпкость и жареная сладость.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водные настои извлекают полифенолы; жир и сахар смягчают горечь.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189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189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89" s="28" t="str">
        <x:v>напиток, соус, десерт или горячее блюдо после пробной дегустации</x:v>
      </x:c>
      <x:c r="K189" s="28" t="str">
        <x:v>Высокая</x:v>
      </x:c>
      <x:c r="L189" s="28" t="str">
        <x:v>The Art &amp; Science of Foodpairing.pdf | Таблица сочетания(1).pdf</x:v>
      </x:c>
      <x:c r="M189" s="28" t="str">
        <x:v>Таблица сочетания(1).pdf: 15 | The Art &amp; Science of Foodpairing.pdf: 62</x:v>
      </x:c>
    </x:row>
    <x:row r="190" ht="64" customHeight="1">
      <x:c r="A190" s="28" t="str">
        <x:v>STN-0230</x:v>
      </x:c>
      <x:c r="B190" s="28" t="str">
        <x:v>персик</x:v>
      </x:c>
      <x:c r="C190" s="28" t="str">
        <x:v>персик</x:v>
      </x:c>
      <x:c r="D190" s="28" t="str">
        <x:v>эстрагон</x:v>
      </x:c>
      <x:c r="E190" s="28" t="str">
        <x:v>Травы и цветы</x:v>
      </x:c>
      <x:c r="F190" s="28" t="str">
        <x:v>прямое или классовое перекрытие характерных одорантов + вкусовой баланс</x:v>
      </x:c>
      <x:c r="G190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Эстрагон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цветочный, зелёный. Базовый фрукт даёт: выраженная сладость, умеренная кислотность; беломякотные сорта обычно слаще и мягче по кислоте. Партнёр добавляет: горьковатый, свежий.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летучие масла чувствительны к нагреву.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90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90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90" s="28" t="str">
        <x:v>напиток, соус, десерт или горячее блюдо после пробной дегустации</x:v>
      </x:c>
      <x:c r="K190" s="28" t="str">
        <x:v>Средняя</x:v>
      </x:c>
      <x:c r="L190" s="28" t="str">
        <x:v>The Art &amp; Science of Foodpairing.pdf</x:v>
      </x:c>
      <x:c r="M190" s="28" t="str">
        <x:v>The Art &amp; Science of Foodpairing.pdf: 260–261</x:v>
      </x:c>
    </x:row>
    <x:row r="191" ht="64" customHeight="1">
      <x:c r="A191" s="28" t="str">
        <x:v>STN-0231</x:v>
      </x:c>
      <x:c r="B191" s="28" t="str">
        <x:v>персик</x:v>
      </x:c>
      <x:c r="C191" s="28" t="str">
        <x:v>персик</x:v>
      </x:c>
      <x:c r="D191" s="28" t="str">
        <x:v>ягоды</x:v>
      </x:c>
      <x:c r="E191" s="28" t="str">
        <x:v>Прочее</x:v>
      </x:c>
      <x:c r="F191" s="28" t="str">
        <x:v>комплементарность ароматических семейств, вкусовой контраст и матричный эффект</x:v>
      </x:c>
      <x:c r="G191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Ягоды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зависит от ингредиента.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механизм зависит от конкретного продукта.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91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91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91" s="28" t="str">
        <x:v>напиток, соус, десерт или горячее блюдо после пробной дегустации</x:v>
      </x:c>
      <x:c r="K191" s="28" t="str">
        <x:v>Гипотеза / практическая</x:v>
      </x:c>
      <x:c r="L191" s="28" t="str">
        <x:v>Таблица сочетания(1).pdf</x:v>
      </x:c>
      <x:c r="M191" s="28" t="str">
        <x:v>Таблица сочетания(1).pdf: 15</x:v>
      </x:c>
    </x:row>
    <x:row r="192" ht="64" customHeight="1">
      <x:c r="A192" s="28" t="str">
        <x:v>STN-0232</x:v>
      </x:c>
      <x:c r="B192" s="28" t="str">
        <x:v>персик</x:v>
      </x:c>
      <x:c r="C192" s="28" t="str">
        <x:v>персик</x:v>
      </x:c>
      <x:c r="D192" s="28" t="str">
        <x:v>ягоды можжевельника</x:v>
      </x:c>
      <x:c r="E192" s="28" t="str">
        <x:v>Прочее</x:v>
      </x:c>
      <x:c r="F192" s="28" t="str">
        <x:v>комплементарность ароматических семейств, вкусовой контраст и матричный эффект</x:v>
      </x:c>
      <x:c r="G192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Ягоды можжевельника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выраженная сладость, умеренная кислотность; беломякотные сорта обычно слаще и мягче по кислоте.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несёт зелёные и цветочные ноты; лактоны хорошо удерживаются жиром и этанолом. Партнёр: важны вода, жир, белок, сахар и температура.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192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192" s="28" t="str">
        <x:v>незрелый плод ароматически беден; перезрелый быстро окисляется; косточки не использовать без безопасной технологии. Главный риск — неверная дозировка и потеря свежих летучих нот после нагрева или выдержки.</x:v>
      </x:c>
      <x:c r="J192" s="28" t="str">
        <x:v>напиток, соус, десерт или горячее блюдо после пробной дегустации</x:v>
      </x:c>
      <x:c r="K192" s="28" t="str">
        <x:v>Гипотеза / практическая</x:v>
      </x:c>
      <x:c r="L192" s="28" t="str">
        <x:v>Таблица сочетания(1).pdf</x:v>
      </x:c>
      <x:c r="M192" s="28" t="str">
        <x:v>Таблица сочетания(1).pdf: 10</x:v>
      </x:c>
    </x:row>
    <x:row r="193" ht="64" customHeight="1">
      <x:c r="A193" s="28" t="str">
        <x:v>STN-0233</x:v>
      </x:c>
      <x:c r="B193" s="28" t="str">
        <x:v>персик</x:v>
      </x:c>
      <x:c r="C193" s="28" t="str">
        <x:v>персик</x:v>
      </x:c>
      <x:c r="D193" s="28" t="str">
        <x:v>японский соевый соус</x:v>
      </x:c>
      <x:c r="E193" s="28" t="str">
        <x:v>Ферментированные продукты, соусы и уксусы</x:v>
      </x:c>
      <x:c r="F193" s="28" t="str">
        <x:v>комплементарность ароматических семейств, вкусовой контраст и матричный эффект</x:v>
      </x:c>
      <x:c r="G193" s="28" t="str">
        <x:v>Персик формирует профиль «сливочный, персиковый, кокосово-лактонный, цветочный, зелёный»; характерные соединения: γ- и δ-декалактон, γ- и δ-додекалактон, линалоол, бензальдегид, гексаналь, цис-3-гексенол. Японский соевый соус относится к группе «Ферментированные продукты, соусы и уксусы» и даёт профиль «кислый, умами, ферментированный, солёный»; типичные соединения или классы: уксусная кислота, эфиры, аминокислотные и ферментационные соединения. По доступным материалам нельзя уверенно свести совместимость к одной общей молекуле. Кислота, соль и умами усиливают контраст с фруктовой сладостью; сочетание работает в малой дозировке как приправа. Матрица пары: сочная пектиновая мякоть; кожица несёт зелёные и цветочные ноты; лактоны хорошо удерживаются жиром и этанолом. Партнёр: водная и солевая матрица; часть ароматов удерживается белком и сахаром. Обработка: 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H193" s="28" t="str">
        <x:v>спелость резко увеличивает аромат; нагрев усиливает варенье, карамель и миндальные оттенки, но снижает свежую цветочность. Холодная обработка лучше сохраняет летучие эфиры; нагрев смещает профиль к джему, карамели и сухофруктам.</x:v>
      </x:c>
      <x:c r="I193" s="28" t="str">
        <x:v>незрелый плод ароматически беден; перезрелый быстро окисляется; косточки не использовать без безопасной технологии. Соль и кислота быстро становятся доминирующими; используйте как акцент.</x:v>
      </x:c>
      <x:c r="J193" s="28" t="str">
        <x:v>соус, глазировка, чатни, маринад, гарнир или основное блюдо</x:v>
      </x:c>
      <x:c r="K193" s="28" t="str">
        <x:v>Средняя</x:v>
      </x:c>
      <x:c r="L193" s="28" t="str">
        <x:v>The Art &amp; Science of Foodpairing.pdf</x:v>
      </x:c>
      <x:c r="M193" s="28" t="str">
        <x:v>The Art &amp; Science of Foodpairing.pdf: 301</x:v>
      </x:c>
    </x:row>
    <x:row r="194" ht="64" customHeight="1">
      <x:c r="A194" s="28" t="str">
        <x:v>STN-0236</x:v>
      </x:c>
      <x:c r="B194" s="28" t="str">
        <x:v>нектарин</x:v>
      </x:c>
      <x:c r="C194" s="28" t="str">
        <x:v>нектарин</x:v>
      </x:c>
      <x:c r="D194" s="28" t="str">
        <x:v>авокадо</x:v>
      </x:c>
      <x:c r="E194" s="28" t="str">
        <x:v>Тропические фрукты и жирные матрицы</x:v>
      </x:c>
      <x:c r="F194" s="28" t="str">
        <x:v>комплементарность ароматических семейств, вкусовой контраст и матричный эффект</x:v>
      </x:c>
      <x:c r="G19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мягкий, жирный, почти несладкий; лёгкая растительная горечь.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высокожировая эмульсия; хорошо растворяет гидрофобные ароматические молекулы.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19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19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4" s="28" t="str">
        <x:v>напиток, соус, десерт или горячее блюдо после пробной дегустации</x:v>
      </x:c>
      <x:c r="K194" s="28" t="str">
        <x:v>Средняя</x:v>
      </x:c>
      <x:c r="L194" s="28" t="str">
        <x:v>The Art &amp; Science of Foodpairing.pdf</x:v>
      </x:c>
      <x:c r="M194" s="28" t="str">
        <x:v>The Art &amp; Science of Foodpairing.pdf: 260–261</x:v>
      </x:c>
    </x:row>
    <x:row r="195" ht="64" customHeight="1">
      <x:c r="A195" s="28" t="str">
        <x:v>STN-0237</x:v>
      </x:c>
      <x:c r="B195" s="28" t="str">
        <x:v>нектарин</x:v>
      </x:c>
      <x:c r="C195" s="28" t="str">
        <x:v>нектарин</x:v>
      </x:c>
      <x:c r="D195" s="28" t="str">
        <x:v>айва</x:v>
      </x:c>
      <x:c r="E195" s="28" t="str">
        <x:v>Семечковые фрукты</x:v>
      </x:c>
      <x:c r="F195" s="28" t="str">
        <x:v>прямое или классовое перекрытие характерных одорантов + вкусовой баланс</x:v>
      </x:c>
      <x:c r="G19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Айва относится к группе «Семечковые фрукты» и даёт профиль «цветочный, яблочно-грушевый, цитрусовый, медовый и слегка древесный»; типичные соединения или классы: эфиры жирных кислот, лактоны, линалоол, α-терпинеол, C6-альдегиды. В рабочих профилях пересекаются: линалоол, c6-альдегиды, эфиры.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кислотность и выраженная терпкость в сыром виде; после нагрева — сладко-фруктовый профиль.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плотная, пектиновая и малосочная; хорошо удерживает аромат в желе и сиропах.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сырая айва жёсткая и вяжущая; избыток дубильных веществ требует сахара, жира или длительного нагрева.</x:v>
      </x:c>
      <x:c r="H19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сырая айва жёсткая и вяжущая; избыток дубильных веществ требует сахара, жира или длительного нагрева.</x:v>
      </x:c>
      <x:c r="I19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5" s="28" t="str">
        <x:v>напиток, соус, десерт или горячее блюдо после пробной дегустации</x:v>
      </x:c>
      <x:c r="K195" s="28" t="str">
        <x:v>Гипотеза / практическая</x:v>
      </x:c>
      <x:c r="L195" s="28" t="str">
        <x:v>Таблица сочетания(1).pdf</x:v>
      </x:c>
      <x:c r="M195" s="28" t="str">
        <x:v>Таблица сочетания(1).pdf: Таблица сочетаний: 18 | Таблица сочетания(1).pdf: 18</x:v>
      </x:c>
    </x:row>
    <x:row r="196" ht="64" customHeight="1">
      <x:c r="A196" s="28" t="str">
        <x:v>STN-0239</x:v>
      </x:c>
      <x:c r="B196" s="28" t="str">
        <x:v>нектарин</x:v>
      </x:c>
      <x:c r="C196" s="28" t="str">
        <x:v>нектарин</x:v>
      </x:c>
      <x:c r="D196" s="28" t="str">
        <x:v>ананас</x:v>
      </x:c>
      <x:c r="E196" s="28" t="str">
        <x:v>Тропические фрукты</x:v>
      </x:c>
      <x:c r="F196" s="28" t="str">
        <x:v>комплементарность ароматических семейств, вкусовой контраст и матричный эффект</x:v>
      </x:c>
      <x:c r="G19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Ананас относится к группе «Тропические фрукты» и даёт профиль «яркий фруктовый, конфетный, цитрусовый, зелёный и слегка сернистый»; типичные соединения или классы: метилгексаноат, этилгексаноат, этилбутират, метил-3-(метилтио)пропионат и другие сернистые следы. По доступным материалам нельзя уверенно свести совместимость к одной общей молекуле. Общие ароматические направления: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выраженная сладость и кислотность; лёгкая терпкость сердцевины.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кислая; содержит протеазу бромелайн, разрушающую белки.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H19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I19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6" s="28" t="str">
        <x:v>напиток, соус, десерт или горячее блюдо после пробной дегустации</x:v>
      </x:c>
      <x:c r="K196" s="28" t="str">
        <x:v>Средняя</x:v>
      </x:c>
      <x:c r="L196" s="28" t="str">
        <x:v>The Art &amp; Science of Foodpairing.pdf</x:v>
      </x:c>
      <x:c r="M196" s="28" t="str">
        <x:v>The Art &amp; Science of Foodpairing.pdf: The Art &amp; Science of Foodpairing: 243 | The Art &amp; Science of Foodpairing.pdf: 243</x:v>
      </x:c>
    </x:row>
    <x:row r="197" ht="64" customHeight="1">
      <x:c r="A197" s="28" t="str">
        <x:v>STN-0240</x:v>
      </x:c>
      <x:c r="B197" s="28" t="str">
        <x:v>нектарин</x:v>
      </x:c>
      <x:c r="C197" s="28" t="str">
        <x:v>нектарин</x:v>
      </x:c>
      <x:c r="D197" s="28" t="str">
        <x:v>анис</x:v>
      </x:c>
      <x:c r="E197" s="28" t="str">
        <x:v>Специи и острые компоненты</x:v>
      </x:c>
      <x:c r="F197" s="28" t="str">
        <x:v>комплементарность ароматических семейств, вкусовой контраст и матричный эффект</x:v>
      </x:c>
      <x:c r="G19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Анис относится к группе «Специи и острые компоненты» и даёт профиль «сладкий лакричный и пряный»; типичные соединения или классы: анетол.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197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197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197" s="28" t="str">
        <x:v>напиток, соус, десерт или горячее блюдо после пробной дегустации</x:v>
      </x:c>
      <x:c r="K197" s="28" t="str">
        <x:v>Гипотеза / практическая</x:v>
      </x:c>
      <x:c r="L197" s="28" t="str">
        <x:v>Таблица сочетания(1).pdf</x:v>
      </x:c>
      <x:c r="M197" s="28" t="str">
        <x:v>Таблица сочетания(1).pdf: 14</x:v>
      </x:c>
    </x:row>
    <x:row r="198" ht="64" customHeight="1">
      <x:c r="A198" s="28" t="str">
        <x:v>STN-0241</x:v>
      </x:c>
      <x:c r="B198" s="28" t="str">
        <x:v>нектарин</x:v>
      </x:c>
      <x:c r="C198" s="28" t="str">
        <x:v>нектарин</x:v>
      </x:c>
      <x:c r="D198" s="28" t="str">
        <x:v>апельсин</x:v>
      </x:c>
      <x:c r="E198" s="28" t="str">
        <x:v>Цитрусовые</x:v>
      </x:c>
      <x:c r="F198" s="28" t="str">
        <x:v>прямое или классовое перекрытие характерных одорантов + вкусовой баланс</x:v>
      </x:c>
      <x:c r="G19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19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19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8" s="28" t="str">
        <x:v>сорбет, салат, джем, кордиал, лимонад, коктейль или фруктовый соус</x:v>
      </x:c>
      <x:c r="K198" s="28" t="str">
        <x:v>Гипотеза / практическая</x:v>
      </x:c>
      <x:c r="L198" s="28" t="str">
        <x:v>Таблица сочетания(1).pdf</x:v>
      </x:c>
      <x:c r="M198" s="28" t="str">
        <x:v>Таблица сочетания(1).pdf: Таблица сочетания(1).pdf: 14 | Таблица сочетания(1).pdf: 14</x:v>
      </x:c>
    </x:row>
    <x:row r="199" ht="64" customHeight="1">
      <x:c r="A199" s="28" t="str">
        <x:v>STN-0242</x:v>
      </x:c>
      <x:c r="B199" s="28" t="str">
        <x:v>нектарин</x:v>
      </x:c>
      <x:c r="C199" s="28" t="str">
        <x:v>нектарин</x:v>
      </x:c>
      <x:c r="D199" s="28" t="str">
        <x:v>артишок</x:v>
      </x:c>
      <x:c r="E199" s="28" t="str">
        <x:v>Овощи и грибы</x:v>
      </x:c>
      <x:c r="F199" s="28" t="str">
        <x:v>прямое или классовое перекрытие характерных одорантов + вкусовой баланс</x:v>
      </x:c>
      <x:c r="G19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Артишок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растительный, иногда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высокая доля воды; нагрев меняет зелёный профиль.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19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19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199" s="28" t="str">
        <x:v>напиток, соус, десерт или горячее блюдо после пробной дегустации</x:v>
      </x:c>
      <x:c r="K199" s="28" t="str">
        <x:v>Средняя</x:v>
      </x:c>
      <x:c r="L199" s="28" t="str">
        <x:v>The Art &amp; Science of Foodpairing.pdf</x:v>
      </x:c>
      <x:c r="M199" s="28" t="str">
        <x:v>The Art &amp; Science of Foodpairing.pdf: 329</x:v>
      </x:c>
    </x:row>
    <x:row r="200" ht="64" customHeight="1">
      <x:c r="A200" s="28" t="str">
        <x:v>STN-0243</x:v>
      </x:c>
      <x:c r="B200" s="28" t="str">
        <x:v>нектарин</x:v>
      </x:c>
      <x:c r="C200" s="28" t="str">
        <x:v>нектарин</x:v>
      </x:c>
      <x:c r="D200" s="28" t="str">
        <x:v>бадьян</x:v>
      </x:c>
      <x:c r="E200" s="28" t="str">
        <x:v>Специи и острые компоненты</x:v>
      </x:c>
      <x:c r="F200" s="28" t="str">
        <x:v>комплементарность ароматических семейств, вкусовой контраст и матричный эффект</x:v>
      </x:c>
      <x:c r="G20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Бадьян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00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00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00" s="28" t="str">
        <x:v>напиток, соус, десерт или горячее блюдо после пробной дегустации</x:v>
      </x:c>
      <x:c r="K200" s="28" t="str">
        <x:v>Средняя</x:v>
      </x:c>
      <x:c r="L200" s="28" t="str">
        <x:v>The Art &amp; Science of Foodpairing.pdf</x:v>
      </x:c>
      <x:c r="M200" s="28" t="str">
        <x:v>The Art &amp; Science of Foodpairing.pdf: 260–261</x:v>
      </x:c>
    </x:row>
    <x:row r="201" ht="64" customHeight="1">
      <x:c r="A201" s="28" t="str">
        <x:v>STN-0244</x:v>
      </x:c>
      <x:c r="B201" s="28" t="str">
        <x:v>нектарин</x:v>
      </x:c>
      <x:c r="C201" s="28" t="str">
        <x:v>нектарин</x:v>
      </x:c>
      <x:c r="D201" s="28" t="str">
        <x:v>байонская ветчина</x:v>
      </x:c>
      <x:c r="E201" s="28" t="str">
        <x:v>Мясо и птица</x:v>
      </x:c>
      <x:c r="F201" s="28" t="str">
        <x:v>комплементарность ароматических семейств, вкусовой контраст и матричный эффект</x:v>
      </x:c>
      <x:c r="G20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Байонская ветчина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H201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I201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01" s="28" t="str">
        <x:v>соус, глазировка, чатни, маринад, гарнир или основное блюдо</x:v>
      </x:c>
      <x:c r="K201" s="28" t="str">
        <x:v>Средняя</x:v>
      </x:c>
      <x:c r="L201" s="28" t="str">
        <x:v>The Art &amp; Science of Foodpairing.pdf</x:v>
      </x:c>
      <x:c r="M201" s="28" t="str">
        <x:v>The Art &amp; Science of Foodpairing.pdf: 260–261</x:v>
      </x:c>
    </x:row>
    <x:row r="202" ht="64" customHeight="1">
      <x:c r="A202" s="28" t="str">
        <x:v>STN-0245</x:v>
      </x:c>
      <x:c r="B202" s="28" t="str">
        <x:v>нектарин</x:v>
      </x:c>
      <x:c r="C202" s="28" t="str">
        <x:v>нектарин</x:v>
      </x:c>
      <x:c r="D202" s="28" t="str">
        <x:v>баранина на гриле</x:v>
      </x:c>
      <x:c r="E202" s="28" t="str">
        <x:v>Мясо и птица</x:v>
      </x:c>
      <x:c r="F202" s="28" t="str">
        <x:v>комплементарность ароматических семейств, вкусовой контраст и матричный эффект</x:v>
      </x:c>
      <x:c r="G20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Баранина на гриле относится к группе «Мясо и птица» и даёт профиль «жареный, жирный, сернистый, умами»; типичные соединения или классы: альдегиды, пиразины,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переносит аромат; реакция Майяра создаёт новые одоранты.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H202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 Для партнёра важно: Справочный групповой профиль; для точного состава конкретного сорта или бренда нужен инструментальный анализ..</x:v>
      </x:c>
      <x:c r="I202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02" s="28" t="str">
        <x:v>соус, глазировка, чатни, маринад, гарнир или основное блюдо</x:v>
      </x:c>
      <x:c r="K202" s="28" t="str">
        <x:v>Средняя</x:v>
      </x:c>
      <x:c r="L202" s="28" t="str">
        <x:v>The Art &amp; Science of Foodpairing.pdf</x:v>
      </x:c>
      <x:c r="M202" s="28" t="str">
        <x:v>The Art &amp; Science of Foodpairing.pdf: 260–261</x:v>
      </x:c>
    </x:row>
    <x:row r="203" ht="64" customHeight="1">
      <x:c r="A203" s="28" t="str">
        <x:v>STN-0247</x:v>
      </x:c>
      <x:c r="B203" s="28" t="str">
        <x:v>нектарин</x:v>
      </x:c>
      <x:c r="C203" s="28" t="str">
        <x:v>нектарин</x:v>
      </x:c>
      <x:c r="D203" s="28" t="str">
        <x:v>белый перец</x:v>
      </x:c>
      <x:c r="E203" s="28" t="str">
        <x:v>Специи и острые компоненты</x:v>
      </x:c>
      <x:c r="F203" s="28" t="str">
        <x:v>комплементарность ароматических семейств, вкусовой контраст и матричный эффект</x:v>
      </x:c>
      <x:c r="G20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Белый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203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203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03" s="28" t="str">
        <x:v>напиток, соус, десерт или горячее блюдо после пробной дегустации</x:v>
      </x:c>
      <x:c r="K203" s="28" t="str">
        <x:v>Средняя</x:v>
      </x:c>
      <x:c r="L203" s="28" t="str">
        <x:v>The Art &amp; Science of Foodpairing.pdf</x:v>
      </x:c>
      <x:c r="M203" s="28" t="str">
        <x:v>The Art &amp; Science of Foodpairing.pdf: 273</x:v>
      </x:c>
    </x:row>
    <x:row r="204" ht="64" customHeight="1">
      <x:c r="A204" s="28" t="str">
        <x:v>STN-0249</x:v>
      </x:c>
      <x:c r="B204" s="28" t="str">
        <x:v>нектарин</x:v>
      </x:c>
      <x:c r="C204" s="28" t="str">
        <x:v>нектарин</x:v>
      </x:c>
      <x:c r="D204" s="28" t="str">
        <x:v>бергамот</x:v>
      </x:c>
      <x:c r="E204" s="28" t="str">
        <x:v>Цитрусовые</x:v>
      </x:c>
      <x:c r="F204" s="28" t="str">
        <x:v>прямое или классовое перекрытие характерных одорантов + вкусовой баланс</x:v>
      </x:c>
      <x:c r="G20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Бергамот относится к группе «Цитрусовые» и даёт профиль «зелёный, цветочный, цитрусовый»; типичные соединения или классы: лимонен, линалоол, цитраль.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вода и эфирные масла; цедра гидрофобна.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0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0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4" s="28" t="str">
        <x:v>сорбет, салат, джем, кордиал, лимонад, коктейль или фруктовый соус</x:v>
      </x:c>
      <x:c r="K204" s="28" t="str">
        <x:v>Средняя</x:v>
      </x:c>
      <x:c r="L204" s="28" t="str">
        <x:v>The Art &amp; Science of Foodpairing.pdf</x:v>
      </x:c>
      <x:c r="M204" s="28" t="str">
        <x:v>The Art &amp; Science of Foodpairing.pdf: 260–261</x:v>
      </x:c>
    </x:row>
    <x:row r="205" ht="64" customHeight="1">
      <x:c r="A205" s="28" t="str">
        <x:v>STN-0250</x:v>
      </x:c>
      <x:c r="B205" s="28" t="str">
        <x:v>нектарин</x:v>
      </x:c>
      <x:c r="C205" s="28" t="str">
        <x:v>нектарин</x:v>
      </x:c>
      <x:c r="D205" s="28" t="str">
        <x:v>бриошь</x:v>
      </x:c>
      <x:c r="E205" s="28" t="str">
        <x:v>Злаки, хлеб и выпечка</x:v>
      </x:c>
      <x:c r="F205" s="28" t="str">
        <x:v>комплементарность ароматических семейств, вкусовой контраст и матричный эффект</x:v>
      </x:c>
      <x:c r="G20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Бриошь относится к группе «Злаки, хлеб и выпечка» и даёт профиль «хлебный, зерновой, ореховый, жареный и карамельный»; типичные соединения или классы: 2-ацетил-1-пирролин, пиразины, фураны, мальтол.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крахмалистость, лёгкая сладость и жареная горечь.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крахмал и клетчатка смягчают кислоту и поглощают ароматические соусы.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H20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выпечка и обжарка создают основные ароматические мосты через Майяр.</x:v>
      </x:c>
      <x:c r="I20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5" s="28" t="str">
        <x:v>напиток, соус, десерт или горячее блюдо после пробной дегустации</x:v>
      </x:c>
      <x:c r="K205" s="28" t="str">
        <x:v>Средняя</x:v>
      </x:c>
      <x:c r="L205" s="28" t="str">
        <x:v>The Art &amp; Science of Foodpairing.pdf</x:v>
      </x:c>
      <x:c r="M205" s="28" t="str">
        <x:v>The Art &amp; Science of Foodpairing.pdf: 260–261</x:v>
      </x:c>
    </x:row>
    <x:row r="206" ht="64" customHeight="1">
      <x:c r="A206" s="28" t="str">
        <x:v>STN-0251</x:v>
      </x:c>
      <x:c r="B206" s="28" t="str">
        <x:v>нектарин</x:v>
      </x:c>
      <x:c r="C206" s="28" t="str">
        <x:v>нектарин</x:v>
      </x:c>
      <x:c r="D206" s="28" t="str">
        <x:v>вакаме</x:v>
      </x:c>
      <x:c r="E206" s="28" t="str">
        <x:v>Рыба и морепродукты</x:v>
      </x:c>
      <x:c r="F206" s="28" t="str">
        <x:v>комплементарность ароматических семейств, вкусовой контраст и матричный эффект</x:v>
      </x:c>
      <x:c r="G20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Вакаме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0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06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06" s="28" t="str">
        <x:v>соус, глазировка, чатни, маринад, гарнир или основное блюдо</x:v>
      </x:c>
      <x:c r="K206" s="28" t="str">
        <x:v>Средняя</x:v>
      </x:c>
      <x:c r="L206" s="28" t="str">
        <x:v>The Art &amp; Science of Foodpairing.pdf</x:v>
      </x:c>
      <x:c r="M206" s="28" t="str">
        <x:v>The Art &amp; Science of Foodpairing.pdf: 260–261</x:v>
      </x:c>
    </x:row>
    <x:row r="207" ht="64" customHeight="1">
      <x:c r="A207" s="28" t="str">
        <x:v>STN-0252</x:v>
      </x:c>
      <x:c r="B207" s="28" t="str">
        <x:v>нектарин</x:v>
      </x:c>
      <x:c r="C207" s="28" t="str">
        <x:v>нектарин</x:v>
      </x:c>
      <x:c r="D207" s="28" t="str">
        <x:v>вишня</x:v>
      </x:c>
      <x:c r="E207" s="28" t="str">
        <x:v>Косточковые фрукты</x:v>
      </x:c>
      <x:c r="F207" s="28" t="str">
        <x:v>прямое или классовое перекрытие характерных одорантов + вкусовой баланс</x:v>
      </x:c>
      <x:c r="G20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линалоол, эфиры. Общие ароматические направления: цветочный, фруктовый, лактонный.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 и умеренная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пектиновая; кожица и косточка могут давать терпкость и миндальные ноты.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20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20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7" s="28" t="str">
        <x:v>напиток, соус, десерт или горячее блюдо после пробной дегустации</x:v>
      </x:c>
      <x:c r="K207" s="28" t="str">
        <x:v>Гипотеза / практическая</x:v>
      </x:c>
      <x:c r="L207" s="28" t="str">
        <x:v>Таблица сочетания(1).pdf</x:v>
      </x:c>
      <x:c r="M207" s="28" t="str">
        <x:v>Таблица сочетания(1).pdf: Таблица сочетаний: 4, 14 | Таблица сочетания(1).pdf: 4 | Таблица сочетания(1).pdf: 14</x:v>
      </x:c>
    </x:row>
    <x:row r="208" ht="64" customHeight="1">
      <x:c r="A208" s="28" t="str">
        <x:v>STN-0253</x:v>
      </x:c>
      <x:c r="B208" s="28" t="str">
        <x:v>нектарин</x:v>
      </x:c>
      <x:c r="C208" s="28" t="str">
        <x:v>нектарин</x:v>
      </x:c>
      <x:c r="D208" s="28" t="str">
        <x:v>восковая тыква</x:v>
      </x:c>
      <x:c r="E208" s="28" t="str">
        <x:v>Овощи и корнеплоды</x:v>
      </x:c>
      <x:c r="F208" s="28" t="str">
        <x:v>прямое или классовое перекрытие характерных одорантов + вкусовой баланс</x:v>
      </x:c>
      <x:c r="G20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Восковая тыква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0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0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08" s="28" t="str">
        <x:v>соус, глазировка, чатни, маринад, гарнир или основное блюдо</x:v>
      </x:c>
      <x:c r="K208" s="28" t="str">
        <x:v>Средняя</x:v>
      </x:c>
      <x:c r="L208" s="28" t="str">
        <x:v>The Art &amp; Science of Foodpairing.pdf</x:v>
      </x:c>
      <x:c r="M208" s="28" t="str">
        <x:v>The Art &amp; Science of Foodpairing.pdf: 260–261</x:v>
      </x:c>
    </x:row>
    <x:row r="209" ht="64" customHeight="1">
      <x:c r="A209" s="28" t="str">
        <x:v>STN-0255</x:v>
      </x:c>
      <x:c r="B209" s="28" t="str">
        <x:v>нектарин</x:v>
      </x:c>
      <x:c r="C209" s="28" t="str">
        <x:v>нектарин</x:v>
      </x:c>
      <x:c r="D209" s="28" t="str">
        <x:v>говяжий бульон</x:v>
      </x:c>
      <x:c r="E209" s="28" t="str">
        <x:v>Мясо и птица</x:v>
      </x:c>
      <x:c r="F209" s="28" t="str">
        <x:v>комплементарность ароматических семейств, вкусовой контраст и матричный эффект</x:v>
      </x:c>
      <x:c r="G20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Говяжий бульон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H209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I209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09" s="28" t="str">
        <x:v>соус, глазировка, чатни, маринад, гарнир или основное блюдо</x:v>
      </x:c>
      <x:c r="K209" s="28" t="str">
        <x:v>Средняя</x:v>
      </x:c>
      <x:c r="L209" s="28" t="str">
        <x:v>The Art &amp; Science of Foodpairing.pdf</x:v>
      </x:c>
      <x:c r="M209" s="28" t="str">
        <x:v>The Art &amp; Science of Foodpairing.pdf: 260–261</x:v>
      </x:c>
    </x:row>
    <x:row r="210" ht="64" customHeight="1">
      <x:c r="A210" s="28" t="str">
        <x:v>STN-0256</x:v>
      </x:c>
      <x:c r="B210" s="28" t="str">
        <x:v>нектарин</x:v>
      </x:c>
      <x:c r="C210" s="28" t="str">
        <x:v>нектарин</x:v>
      </x:c>
      <x:c r="D210" s="28" t="str">
        <x:v>голубика</x:v>
      </x:c>
      <x:c r="E210" s="28" t="str">
        <x:v>Ягоды</x:v>
      </x:c>
      <x:c r="F210" s="28" t="str">
        <x:v>прямое или классовое перекрытие характерных одорантов + вкусовой баланс</x:v>
      </x:c>
      <x:c r="G21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1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1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0" s="28" t="str">
        <x:v>сорбет, салат, джем, кордиал, лимонад, коктейль или фруктовый соус</x:v>
      </x:c>
      <x:c r="K210" s="28" t="str">
        <x:v>Высокая</x:v>
      </x:c>
      <x:c r="L210" s="28" t="str">
        <x:v>The Art &amp; Science of Foodpairing.pdf | Таблица сочетания(1).pdf</x:v>
      </x:c>
      <x:c r="M210" s="28" t="str">
        <x:v>Таблица сочетания(1).pdf: Таблица сочетаний: 14 | Таблица сочетания(1).pdf: 14 | The Art &amp; Science of Foodpairing.pdf: 202</x:v>
      </x:c>
    </x:row>
    <x:row r="211" ht="64" customHeight="1">
      <x:c r="A211" s="28" t="str">
        <x:v>STN-0257</x:v>
      </x:c>
      <x:c r="B211" s="28" t="str">
        <x:v>нектарин</x:v>
      </x:c>
      <x:c r="C211" s="28" t="str">
        <x:v>нектарин</x:v>
      </x:c>
      <x:c r="D211" s="28" t="str">
        <x:v>горгонзола</x:v>
      </x:c>
      <x:c r="E211" s="28" t="str">
        <x:v>Прочее</x:v>
      </x:c>
      <x:c r="F211" s="28" t="str">
        <x:v>комплементарность ароматических семейств, вкусовой контраст и матричный эффект</x:v>
      </x:c>
      <x:c r="G21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Горгонзола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важны вода, жир, белок, сахар и температура.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21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21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1" s="28" t="str">
        <x:v>напиток, соус, десерт или горячее блюдо после пробной дегустации</x:v>
      </x:c>
      <x:c r="K211" s="28" t="str">
        <x:v>Средняя</x:v>
      </x:c>
      <x:c r="L211" s="28" t="str">
        <x:v>The Art &amp; Science of Foodpairing.pdf</x:v>
      </x:c>
      <x:c r="M211" s="28" t="str">
        <x:v>The Art &amp; Science of Foodpairing.pdf: 260–261</x:v>
      </x:c>
    </x:row>
    <x:row r="212" ht="64" customHeight="1">
      <x:c r="A212" s="28" t="str">
        <x:v>STN-0258</x:v>
      </x:c>
      <x:c r="B212" s="28" t="str">
        <x:v>нектарин</x:v>
      </x:c>
      <x:c r="C212" s="28" t="str">
        <x:v>нектарин</x:v>
      </x:c>
      <x:c r="D212" s="28" t="str">
        <x:v>гранат</x:v>
      </x:c>
      <x:c r="E212" s="28" t="str">
        <x:v>Субтропические фрукты</x:v>
      </x:c>
      <x:c r="F212" s="28" t="str">
        <x:v>прямое или классовое перекрытие характерных одорантов + вкусовой баланс</x:v>
      </x:c>
      <x:c r="G21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Гранат относится к группе «Субтропические фрукты» и даёт профиль «красно-фруктовый, цветочный, зелёный и винный»; типичные соединения или классы: гексаналь, (E)-2-гексеналь, эфиры, терпены; нелетучие пуникалагины и антоцианы. В рабочих профилях пересекаются: эфиры. Общие ароматические направления: цветочный,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яркая кислотность, сладость и выраженная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водный сок с полифенолами; семена дают хруст и лёгкую горечь.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H21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гранатовая меласса быстро становится слишком кислой и терпкой; антоцианы отвечают за цвет, а не за аромат.</x:v>
      </x:c>
      <x:c r="I21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2" s="28" t="str">
        <x:v>напиток, соус, десерт или горячее блюдо после пробной дегустации</x:v>
      </x:c>
      <x:c r="K212" s="28" t="str">
        <x:v>Средняя</x:v>
      </x:c>
      <x:c r="L212" s="28" t="str">
        <x:v>The Art &amp; Science of Foodpairing.pdf</x:v>
      </x:c>
      <x:c r="M212" s="28" t="str">
        <x:v>The Art &amp; Science of Foodpairing.pdf: 260–261</x:v>
      </x:c>
    </x:row>
    <x:row r="213" ht="64" customHeight="1">
      <x:c r="A213" s="28" t="str">
        <x:v>STN-0259</x:v>
      </x:c>
      <x:c r="B213" s="28" t="str">
        <x:v>нектарин</x:v>
      </x:c>
      <x:c r="C213" s="28" t="str">
        <x:v>нектарин</x:v>
      </x:c>
      <x:c r="D213" s="28" t="str">
        <x:v>грейпфрут</x:v>
      </x:c>
      <x:c r="E213" s="28" t="str">
        <x:v>Цитрусовые</x:v>
      </x:c>
      <x:c r="F213" s="28" t="str">
        <x:v>прямое или классовое перекрытие характерных одорантов + вкусовой баланс</x:v>
      </x:c>
      <x:c r="G21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Грейпфрут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1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1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3" s="28" t="str">
        <x:v>сорбет, салат, джем, кордиал, лимонад, коктейль или фруктовый соус</x:v>
      </x:c>
      <x:c r="K213" s="28" t="str">
        <x:v>Средняя</x:v>
      </x:c>
      <x:c r="L213" s="28" t="str">
        <x:v>The Art &amp; Science of Foodpairing.pdf</x:v>
      </x:c>
      <x:c r="M213" s="28" t="str">
        <x:v>The Art &amp; Science of Foodpairing.pdf: 359</x:v>
      </x:c>
    </x:row>
    <x:row r="214" ht="64" customHeight="1">
      <x:c r="A214" s="28" t="str">
        <x:v>STN-0260</x:v>
      </x:c>
      <x:c r="B214" s="28" t="str">
        <x:v>нектарин</x:v>
      </x:c>
      <x:c r="C214" s="28" t="str">
        <x:v>нектарин</x:v>
      </x:c>
      <x:c r="D214" s="28" t="str">
        <x:v>груша</x:v>
      </x:c>
      <x:c r="E214" s="28" t="str">
        <x:v>Семечковые фрукты</x:v>
      </x:c>
      <x:c r="F214" s="28" t="str">
        <x:v>прямое или классовое перекрытие характерных одорантов + вкусовой баланс</x:v>
      </x:c>
      <x:c r="G21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Груша относится к группе «Семечковые фрукты» и даёт профиль «сочный фруктовый, цветочный, медовый, зелёный; у зрелых сортов — винный и пряный»; типичные соединения или классы: этил (E,Z)-2,4-декадиеноат («грушевый эфир»), гексилацетат, бутилацетат, гексаналь, линалоол. В рабочих профилях пересекаются: линалоол. Общие ароматические направления: цветочный,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мягкая сладость, умеренная кислотность, иногда лёгкая зернистость и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водная, богатая пектином и каменистыми клетками; летучие эфиры чувствительны к перегреву.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H21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I21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4" s="28" t="str">
        <x:v>напиток, соус, десерт или горячее блюдо после пробной дегустации</x:v>
      </x:c>
      <x:c r="K214" s="28" t="str">
        <x:v>Гипотеза / практическая</x:v>
      </x:c>
      <x:c r="L214" s="28" t="str">
        <x:v>The Art &amp; Science of Foodpairing.pdf</x:v>
      </x:c>
      <x:c r="M214" s="28" t="str">
        <x:v>The Art &amp; Science of Foodpairing.pdf: The Art &amp; Science of Foodpairing: 351</x:v>
      </x:c>
    </x:row>
    <x:row r="215" ht="64" customHeight="1">
      <x:c r="A215" s="28" t="str">
        <x:v>STN-0261</x:v>
      </x:c>
      <x:c r="B215" s="28" t="str">
        <x:v>нектарин</x:v>
      </x:c>
      <x:c r="C215" s="28" t="str">
        <x:v>нектарин</x:v>
      </x:c>
      <x:c r="D215" s="28" t="str">
        <x:v>груша conference</x:v>
      </x:c>
      <x:c r="E215" s="28" t="str">
        <x:v>Фрукты</x:v>
      </x:c>
      <x:c r="F215" s="28" t="str">
        <x:v>прямое или классовое перекрытие характерных одорантов + вкусовой баланс</x:v>
      </x:c>
      <x:c r="G21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Груша conference относится к группе «Фрукты» и даёт профиль «зелёный, фруктовый, цветочный»; типичные соединения или классы: лактоны, терпены, эфиры.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фруктовая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1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1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5" s="28" t="str">
        <x:v>сорбет, салат, джем, кордиал, лимонад, коктейль или фруктовый соус</x:v>
      </x:c>
      <x:c r="K215" s="28" t="str">
        <x:v>Средняя</x:v>
      </x:c>
      <x:c r="L215" s="28" t="str">
        <x:v>The Art &amp; Science of Foodpairing.pdf</x:v>
      </x:c>
      <x:c r="M215" s="28" t="str">
        <x:v>The Art &amp; Science of Foodpairing.pdf: 351</x:v>
      </x:c>
    </x:row>
    <x:row r="216" ht="64" customHeight="1">
      <x:c r="A216" s="28" t="str">
        <x:v>STN-0262</x:v>
      </x:c>
      <x:c r="B216" s="28" t="str">
        <x:v>нектарин</x:v>
      </x:c>
      <x:c r="C216" s="28" t="str">
        <x:v>нектарин</x:v>
      </x:c>
      <x:c r="D216" s="28" t="str">
        <x:v>грюйер</x:v>
      </x:c>
      <x:c r="E216" s="28" t="str">
        <x:v>Молочные продукты и сыры</x:v>
      </x:c>
      <x:c r="F216" s="28" t="str">
        <x:v>комплементарность ароматических семейств, вкусовой контраст и матричный эффект</x:v>
      </x:c>
      <x:c r="G21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Грюйер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жирный, кислый/солёный.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жировая и белковая матрица смягчает кислотность.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1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1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6" s="28" t="str">
        <x:v>напиток, соус, десерт или горячее блюдо после пробной дегустации</x:v>
      </x:c>
      <x:c r="K216" s="28" t="str">
        <x:v>Средняя</x:v>
      </x:c>
      <x:c r="L216" s="28" t="str">
        <x:v>The Art &amp; Science of Foodpairing.pdf</x:v>
      </x:c>
      <x:c r="M216" s="28" t="str">
        <x:v>The Art &amp; Science of Foodpairing.pdf: 260–261</x:v>
      </x:c>
    </x:row>
    <x:row r="217" ht="64" customHeight="1">
      <x:c r="A217" s="28" t="str">
        <x:v>STN-0263</x:v>
      </x:c>
      <x:c r="B217" s="28" t="str">
        <x:v>нектарин</x:v>
      </x:c>
      <x:c r="C217" s="28" t="str">
        <x:v>нектарин</x:v>
      </x:c>
      <x:c r="D217" s="28" t="str">
        <x:v>доджанг</x:v>
      </x:c>
      <x:c r="E217" s="28" t="str">
        <x:v>Ферментированные продукты, соусы и уксусы</x:v>
      </x:c>
      <x:c r="F217" s="28" t="str">
        <x:v>прямое или классовое перекрытие характерных одорантов + вкусовой баланс</x:v>
      </x:c>
      <x:c r="G21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Доджанг относится к группе «Ферментированные продукты, соусы и уксусы» и даёт профиль «кислый, умами, ферментированный»; типичные соединения или классы: аминокислоты, органические кислоты, эфиры. В рабочих профилях пересекаются: эфиры. Кислота, соль и умами усиливают контраст с фруктовой сладостью; сочетание работает в малой дозировке как приправа. Матрица пары: водно-пектиновая; гидрофобные лактоны лучше проявляются в жире и этаноле. Партнёр: вода, соль и продукты ферментации.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1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17" s="28" t="str">
        <x:v>не перегревать и не переслащивать; иначе исчезает свежая фруктовая детализация. Соль и кислота быстро становятся доминирующими; используйте как акцент.</x:v>
      </x:c>
      <x:c r="J217" s="28" t="str">
        <x:v>соус, глазировка, чатни, маринад, гарнир или основное блюдо</x:v>
      </x:c>
      <x:c r="K217" s="28" t="str">
        <x:v>Средняя</x:v>
      </x:c>
      <x:c r="L217" s="28" t="str">
        <x:v>The Art &amp; Science of Foodpairing.pdf</x:v>
      </x:c>
      <x:c r="M217" s="28" t="str">
        <x:v>The Art &amp; Science of Foodpairing.pdf: 260–261</x:v>
      </x:c>
    </x:row>
    <x:row r="218" ht="64" customHeight="1">
      <x:c r="A218" s="28" t="str">
        <x:v>STN-0264</x:v>
      </x:c>
      <x:c r="B218" s="28" t="str">
        <x:v>нектарин</x:v>
      </x:c>
      <x:c r="C218" s="28" t="str">
        <x:v>нектарин</x:v>
      </x:c>
      <x:c r="D218" s="28" t="str">
        <x:v>дыня ханидью</x:v>
      </x:c>
      <x:c r="E218" s="28" t="str">
        <x:v>Фрукты</x:v>
      </x:c>
      <x:c r="F218" s="28" t="str">
        <x:v>прямое или классовое перекрытие характерных одорантов + вкусовой баланс</x:v>
      </x:c>
      <x:c r="G21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Дыня ханидью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1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1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8" s="28" t="str">
        <x:v>сорбет, салат, джем, кордиал, лимонад, коктейль или фруктовый соус</x:v>
      </x:c>
      <x:c r="K218" s="28" t="str">
        <x:v>Средняя</x:v>
      </x:c>
      <x:c r="L218" s="28" t="str">
        <x:v>The Art &amp; Science of Foodpairing.pdf</x:v>
      </x:c>
      <x:c r="M218" s="28" t="str">
        <x:v>The Art &amp; Science of Foodpairing.pdf: 260–261</x:v>
      </x:c>
    </x:row>
    <x:row r="219" ht="64" customHeight="1">
      <x:c r="A219" s="28" t="str">
        <x:v>STN-0265</x:v>
      </x:c>
      <x:c r="B219" s="28" t="str">
        <x:v>нектарин</x:v>
      </x:c>
      <x:c r="C219" s="28" t="str">
        <x:v>нектарин</x:v>
      </x:c>
      <x:c r="D219" s="28" t="str">
        <x:v>ежевика</x:v>
      </x:c>
      <x:c r="E219" s="28" t="str">
        <x:v>Ягоды</x:v>
      </x:c>
      <x:c r="F219" s="28" t="str">
        <x:v>прямое или классовое перекрытие характерных одорантов + вкусовой баланс</x:v>
      </x:c>
      <x:c r="G21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Ежевика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1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1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19" s="28" t="str">
        <x:v>сорбет, салат, джем, кордиал, лимонад, коктейль или фруктовый соус</x:v>
      </x:c>
      <x:c r="K219" s="28" t="str">
        <x:v>Высокая</x:v>
      </x:c>
      <x:c r="L219" s="28" t="str">
        <x:v>The Art &amp; Science of Foodpairing.pdf | Таблица сочетания(1).pdf</x:v>
      </x:c>
      <x:c r="M219" s="28" t="str">
        <x:v>Таблица сочетания(1).pdf: Таблица сочетаний: 14 | Таблица сочетания(1).pdf: 14 | The Art &amp; Science of Foodpairing.pdf: 260–261</x:v>
      </x:c>
    </x:row>
    <x:row r="220" ht="64" customHeight="1">
      <x:c r="A220" s="28" t="str">
        <x:v>STN-0266</x:v>
      </x:c>
      <x:c r="B220" s="28" t="str">
        <x:v>нектарин</x:v>
      </x:c>
      <x:c r="C220" s="28" t="str">
        <x:v>нектарин</x:v>
      </x:c>
      <x:c r="D220" s="28" t="str">
        <x:v>жареное филе куриной грудки</x:v>
      </x:c>
      <x:c r="E220" s="28" t="str">
        <x:v>Прочее</x:v>
      </x:c>
      <x:c r="F220" s="28" t="str">
        <x:v>комплементарность ароматических семейств, вкусовой контраст и матричный эффект</x:v>
      </x:c>
      <x:c r="G22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Жареное филе куриной грудки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важны вода, жир, белок, сахар и температура.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22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22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0" s="28" t="str">
        <x:v>напиток, соус, десерт или горячее блюдо после пробной дегустации</x:v>
      </x:c>
      <x:c r="K220" s="28" t="str">
        <x:v>Средняя</x:v>
      </x:c>
      <x:c r="L220" s="28" t="str">
        <x:v>The Art &amp; Science of Foodpairing.pdf</x:v>
      </x:c>
      <x:c r="M220" s="28" t="str">
        <x:v>The Art &amp; Science of Foodpairing.pdf: 260–261</x:v>
      </x:c>
    </x:row>
    <x:row r="221" ht="64" customHeight="1">
      <x:c r="A221" s="28" t="str">
        <x:v>STN-0267</x:v>
      </x:c>
      <x:c r="B221" s="28" t="str">
        <x:v>нектарин</x:v>
      </x:c>
      <x:c r="C221" s="28" t="str">
        <x:v>нектарин</x:v>
      </x:c>
      <x:c r="D221" s="28" t="str">
        <x:v>запеченная индейка</x:v>
      </x:c>
      <x:c r="E221" s="28" t="str">
        <x:v>Мясо и птица</x:v>
      </x:c>
      <x:c r="F221" s="28" t="str">
        <x:v>комплементарность ароматических семейств, вкусовой контраст и матричный эффект</x:v>
      </x:c>
      <x:c r="G22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Запеченная индейка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H221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I221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21" s="28" t="str">
        <x:v>соус, глазировка, чатни, маринад, гарнир или основное блюдо</x:v>
      </x:c>
      <x:c r="K221" s="28" t="str">
        <x:v>Средняя</x:v>
      </x:c>
      <x:c r="L221" s="28" t="str">
        <x:v>The Art &amp; Science of Foodpairing.pdf</x:v>
      </x:c>
      <x:c r="M221" s="28" t="str">
        <x:v>The Art &amp; Science of Foodpairing.pdf: 260–261</x:v>
      </x:c>
    </x:row>
    <x:row r="222" ht="64" customHeight="1">
      <x:c r="A222" s="28" t="str">
        <x:v>STN-0268</x:v>
      </x:c>
      <x:c r="B222" s="28" t="str">
        <x:v>нектарин</x:v>
      </x:c>
      <x:c r="C222" s="28" t="str">
        <x:v>нектарин</x:v>
      </x:c>
      <x:c r="D222" s="28" t="str">
        <x:v>запеченная кольраби</x:v>
      </x:c>
      <x:c r="E222" s="28" t="str">
        <x:v>Овощи и корнеплоды</x:v>
      </x:c>
      <x:c r="F222" s="28" t="str">
        <x:v>прямое или классовое перекрытие характерных одорантов + вкусовой баланс</x:v>
      </x:c>
      <x:c r="G22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Запеченная кольраби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2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2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2" s="28" t="str">
        <x:v>соус, глазировка, чатни, маринад, гарнир или основное блюдо</x:v>
      </x:c>
      <x:c r="K222" s="28" t="str">
        <x:v>Средняя</x:v>
      </x:c>
      <x:c r="L222" s="28" t="str">
        <x:v>The Art &amp; Science of Foodpairing.pdf</x:v>
      </x:c>
      <x:c r="M222" s="28" t="str">
        <x:v>The Art &amp; Science of Foodpairing.pdf: 260–261</x:v>
      </x:c>
    </x:row>
    <x:row r="223" ht="64" customHeight="1">
      <x:c r="A223" s="28" t="str">
        <x:v>STN-0269</x:v>
      </x:c>
      <x:c r="B223" s="28" t="str">
        <x:v>нектарин</x:v>
      </x:c>
      <x:c r="C223" s="28" t="str">
        <x:v>нектарин</x:v>
      </x:c>
      <x:c r="D223" s="28" t="str">
        <x:v>запеченный бекон</x:v>
      </x:c>
      <x:c r="E223" s="28" t="str">
        <x:v>Мясо и птица</x:v>
      </x:c>
      <x:c r="F223" s="28" t="str">
        <x:v>комплементарность ароматических семейств, вкусовой контраст и матричный эффект</x:v>
      </x:c>
      <x:c r="G22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Запеченный бекон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H223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I223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23" s="28" t="str">
        <x:v>соус, глазировка, чатни, маринад, гарнир или основное блюдо</x:v>
      </x:c>
      <x:c r="K223" s="28" t="str">
        <x:v>Средняя</x:v>
      </x:c>
      <x:c r="L223" s="28" t="str">
        <x:v>The Art &amp; Science of Foodpairing.pdf</x:v>
      </x:c>
      <x:c r="M223" s="28" t="str">
        <x:v>The Art &amp; Science of Foodpairing.pdf: 260–261</x:v>
      </x:c>
    </x:row>
    <x:row r="224" ht="64" customHeight="1">
      <x:c r="A224" s="28" t="str">
        <x:v>STN-0270</x:v>
      </x:c>
      <x:c r="B224" s="28" t="str">
        <x:v>нектарин</x:v>
      </x:c>
      <x:c r="C224" s="28" t="str">
        <x:v>нектарин</x:v>
      </x:c>
      <x:c r="D224" s="28" t="str">
        <x:v>запеченный морской петух</x:v>
      </x:c>
      <x:c r="E224" s="28" t="str">
        <x:v>Рыба и морепродукты</x:v>
      </x:c>
      <x:c r="F224" s="28" t="str">
        <x:v>комплементарность ароматических семейств, вкусовой контраст и матричный эффект</x:v>
      </x:c>
      <x:c r="G22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Запеченный морской петух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2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24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24" s="28" t="str">
        <x:v>соус, глазировка, чатни, маринад, гарнир или основное блюдо</x:v>
      </x:c>
      <x:c r="K224" s="28" t="str">
        <x:v>Средняя</x:v>
      </x:c>
      <x:c r="L224" s="28" t="str">
        <x:v>The Art &amp; Science of Foodpairing.pdf</x:v>
      </x:c>
      <x:c r="M224" s="28" t="str">
        <x:v>The Art &amp; Science of Foodpairing.pdf: 260–261</x:v>
      </x:c>
    </x:row>
    <x:row r="225" ht="64" customHeight="1">
      <x:c r="A225" s="28" t="str">
        <x:v>STN-0271</x:v>
      </x:c>
      <x:c r="B225" s="28" t="str">
        <x:v>нектарин</x:v>
      </x:c>
      <x:c r="C225" s="28" t="str">
        <x:v>нектарин</x:v>
      </x:c>
      <x:c r="D225" s="28" t="str">
        <x:v>зеленые водоросли</x:v>
      </x:c>
      <x:c r="E225" s="28" t="str">
        <x:v>Рыба и морепродукты</x:v>
      </x:c>
      <x:c r="F225" s="28" t="str">
        <x:v>комплементарность ароматических семейств, вкусовой контраст и матричный эффект</x:v>
      </x:c>
      <x:c r="G22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Зеленые водоросли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2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25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25" s="28" t="str">
        <x:v>соус, глазировка, чатни, маринад, гарнир или основное блюдо</x:v>
      </x:c>
      <x:c r="K225" s="28" t="str">
        <x:v>Средняя</x:v>
      </x:c>
      <x:c r="L225" s="28" t="str">
        <x:v>The Art &amp; Science of Foodpairing.pdf</x:v>
      </x:c>
      <x:c r="M225" s="28" t="str">
        <x:v>The Art &amp; Science of Foodpairing.pdf: 260–261</x:v>
      </x:c>
    </x:row>
    <x:row r="226" ht="64" customHeight="1">
      <x:c r="A226" s="28" t="str">
        <x:v>STN-0272</x:v>
      </x:c>
      <x:c r="B226" s="28" t="str">
        <x:v>нектарин</x:v>
      </x:c>
      <x:c r="C226" s="28" t="str">
        <x:v>нектарин</x:v>
      </x:c>
      <x:c r="D226" s="28" t="str">
        <x:v>зеленые оливки</x:v>
      </x:c>
      <x:c r="E226" s="28" t="str">
        <x:v>Овощи и корнеплоды</x:v>
      </x:c>
      <x:c r="F226" s="28" t="str">
        <x:v>прямое или классовое перекрытие характерных одорантов + вкусовой баланс</x:v>
      </x:c>
      <x:c r="G22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Зеленые оливки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2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2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6" s="28" t="str">
        <x:v>соус, глазировка, чатни, маринад, гарнир или основное блюдо</x:v>
      </x:c>
      <x:c r="K226" s="28" t="str">
        <x:v>Средняя</x:v>
      </x:c>
      <x:c r="L226" s="28" t="str">
        <x:v>The Art &amp; Science of Foodpairing.pdf</x:v>
      </x:c>
      <x:c r="M226" s="28" t="str">
        <x:v>The Art &amp; Science of Foodpairing.pdf: 260–261</x:v>
      </x:c>
    </x:row>
    <x:row r="227" ht="64" customHeight="1">
      <x:c r="A227" s="28" t="str">
        <x:v>STN-0273</x:v>
      </x:c>
      <x:c r="B227" s="28" t="str">
        <x:v>нектарин</x:v>
      </x:c>
      <x:c r="C227" s="28" t="str">
        <x:v>нектарин</x:v>
      </x:c>
      <x:c r="D227" s="28" t="str">
        <x:v>изюм</x:v>
      </x:c>
      <x:c r="E227" s="28" t="str">
        <x:v>Фрукты</x:v>
      </x:c>
      <x:c r="F227" s="28" t="str">
        <x:v>прямое или классовое перекрытие характерных одорантов + вкусовой баланс</x:v>
      </x:c>
      <x:c r="G22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Изюм относится к группе «Фрукты» и даёт профиль «зелёный, фруктовый, цветочный»; типичные соединения или классы: лактоны, терпены, эфиры.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фруктовая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2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2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7" s="28" t="str">
        <x:v>сорбет, салат, джем, кордиал, лимонад, коктейль или фруктовый соус</x:v>
      </x:c>
      <x:c r="K227" s="28" t="str">
        <x:v>Средняя</x:v>
      </x:c>
      <x:c r="L227" s="28" t="str">
        <x:v>The Art &amp; Science of Foodpairing.pdf</x:v>
      </x:c>
      <x:c r="M227" s="28" t="str">
        <x:v>The Art &amp; Science of Foodpairing.pdf: 260–261</x:v>
      </x:c>
    </x:row>
    <x:row r="228" ht="64" customHeight="1">
      <x:c r="A228" s="28" t="str">
        <x:v>STN-0274</x:v>
      </x:c>
      <x:c r="B228" s="28" t="str">
        <x:v>нектарин</x:v>
      </x:c>
      <x:c r="C228" s="28" t="str">
        <x:v>нектарин</x:v>
      </x:c>
      <x:c r="D228" s="28" t="str">
        <x:v>инжир</x:v>
      </x:c>
      <x:c r="E228" s="28" t="str">
        <x:v>Субтропические фрукты</x:v>
      </x:c>
      <x:c r="F228" s="28" t="str">
        <x:v>прямое или классовое перекрытие характерных одорантов + вкусовой баланс</x:v>
      </x:c>
      <x:c r="G22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бензальдегид, линалоол. Общие ароматические направления: цветочный, лактонный,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сладость, низкая кислотность; семена дают хруст.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пектиновая и сахаристая; сушёный инжир концентрирует сахар, фенолы и карамельные ноты.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22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22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8" s="28" t="str">
        <x:v>напиток, соус, десерт или горячее блюдо после пробной дегустации</x:v>
      </x:c>
      <x:c r="K228" s="28" t="str">
        <x:v>Гипотеза / практическая</x:v>
      </x:c>
      <x:c r="L228" s="28" t="str">
        <x:v>Таблица сочетания(1).pdf</x:v>
      </x:c>
      <x:c r="M228" s="28" t="str">
        <x:v>Таблица сочетания(1).pdf: Таблица сочетаний: 14 | Таблица сочетания(1).pdf: 14</x:v>
      </x:c>
    </x:row>
    <x:row r="229" ht="64" customHeight="1">
      <x:c r="A229" s="28" t="str">
        <x:v>STN-0275</x:v>
      </x:c>
      <x:c r="B229" s="28" t="str">
        <x:v>нектарин</x:v>
      </x:c>
      <x:c r="C229" s="28" t="str">
        <x:v>нектарин</x:v>
      </x:c>
      <x:c r="D229" s="28" t="str">
        <x:v>канталупа</x:v>
      </x:c>
      <x:c r="E229" s="28" t="str">
        <x:v>Бахчевые</x:v>
      </x:c>
      <x:c r="F229" s="28" t="str">
        <x:v>прямое или классовое перекрытие характерных одорантов + вкусовой баланс</x:v>
      </x:c>
      <x:c r="G22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Канталупа относится к группе «Бахчевые» и даёт профиль «интенсивно сладкий, мускусный, цветочный и зелёный»; типичные соединения или классы: этил-2-метилбутират, этилбутират, C9-альдегиды, тиоэфиры. В рабочих профилях пересекаются: эфиры.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выраженная сладость и слабая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мягкая; аромат быстро улетучивается после нарезки.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H22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перезрелый плод приобретает тяжёлый мускусный запах; нужна кислота или солёный контраст.</x:v>
      </x:c>
      <x:c r="I22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29" s="28" t="str">
        <x:v>напиток, соус, десерт или горячее блюдо после пробной дегустации</x:v>
      </x:c>
      <x:c r="K229" s="28" t="str">
        <x:v>Средняя</x:v>
      </x:c>
      <x:c r="L229" s="28" t="str">
        <x:v>The Art &amp; Science of Foodpairing.pdf</x:v>
      </x:c>
      <x:c r="M229" s="28" t="str">
        <x:v>The Art &amp; Science of Foodpairing.pdf: 260–261</x:v>
      </x:c>
    </x:row>
    <x:row r="230" ht="64" customHeight="1">
      <x:c r="A230" s="28" t="str">
        <x:v>STN-0276</x:v>
      </x:c>
      <x:c r="B230" s="28" t="str">
        <x:v>нектарин</x:v>
      </x:c>
      <x:c r="C230" s="28" t="str">
        <x:v>нектарин</x:v>
      </x:c>
      <x:c r="D230" s="28" t="str">
        <x:v>карамель</x:v>
      </x:c>
      <x:c r="E230" s="28" t="str">
        <x:v>Сахара, мёд и кондитерские основы</x:v>
      </x:c>
      <x:c r="F230" s="28" t="str">
        <x:v>комплементарность ароматических семейств, вкусовой контраст и матричный эффект</x:v>
      </x:c>
      <x:c r="G23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вязкая сахарная; снижает летучесть и смягчает кислоту.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3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3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0" s="28" t="str">
        <x:v>напиток, соус, десерт или горячее блюдо после пробной дегустации</x:v>
      </x:c>
      <x:c r="K230" s="28" t="str">
        <x:v>Гипотеза / практическая</x:v>
      </x:c>
      <x:c r="L230" s="28" t="str">
        <x:v>Таблица сочетания(1).pdf</x:v>
      </x:c>
      <x:c r="M230" s="28" t="str">
        <x:v>Таблица сочетания(1).pdf: 14</x:v>
      </x:c>
    </x:row>
    <x:row r="231" ht="64" customHeight="1">
      <x:c r="A231" s="28" t="str">
        <x:v>STN-0277</x:v>
      </x:c>
      <x:c r="B231" s="28" t="str">
        <x:v>нектарин</x:v>
      </x:c>
      <x:c r="C231" s="28" t="str">
        <x:v>нектарин</x:v>
      </x:c>
      <x:c r="D231" s="28" t="str">
        <x:v>кардамон</x:v>
      </x:c>
      <x:c r="E231" s="28" t="str">
        <x:v>Специи и острые компоненты</x:v>
      </x:c>
      <x:c r="F231" s="28" t="str">
        <x:v>прямое или классовое перекрытие характерных одорантов + вкусовой баланс</x:v>
      </x:c>
      <x:c r="G23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Кардамон относится к группе «Специи и острые компоненты» и даёт профиль «цитрусовый, камфорный и цветочный»; типичные соединения или классы: 1,8-цинеол, α-терпинилацетат, линалоол. В рабочих профилях пересекаются: линалоол.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31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31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31" s="28" t="str">
        <x:v>напиток, соус, десерт или горячее блюдо после пробной дегустации</x:v>
      </x:c>
      <x:c r="K231" s="28" t="str">
        <x:v>Гипотеза / практическая</x:v>
      </x:c>
      <x:c r="L231" s="28" t="str">
        <x:v>Таблица сочетания(1).pdf</x:v>
      </x:c>
      <x:c r="M231" s="28" t="str">
        <x:v>Таблица сочетания(1).pdf: 14</x:v>
      </x:c>
    </x:row>
    <x:row r="232" ht="64" customHeight="1">
      <x:c r="A232" s="28" t="str">
        <x:v>STN-0279</x:v>
      </x:c>
      <x:c r="B232" s="28" t="str">
        <x:v>нектарин</x:v>
      </x:c>
      <x:c r="C232" s="28" t="str">
        <x:v>нектарин</x:v>
      </x:c>
      <x:c r="D232" s="28" t="str">
        <x:v>кейл на пару</x:v>
      </x:c>
      <x:c r="E232" s="28" t="str">
        <x:v>Овощи и корнеплоды</x:v>
      </x:c>
      <x:c r="F232" s="28" t="str">
        <x:v>прямое или классовое перекрытие характерных одорантов + вкусовой баланс</x:v>
      </x:c>
      <x:c r="G23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Кейл на пару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3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3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2" s="28" t="str">
        <x:v>соус, глазировка, чатни, маринад, гарнир или основное блюдо</x:v>
      </x:c>
      <x:c r="K232" s="28" t="str">
        <x:v>Средняя</x:v>
      </x:c>
      <x:c r="L232" s="28" t="str">
        <x:v>The Art &amp; Science of Foodpairing.pdf</x:v>
      </x:c>
      <x:c r="M232" s="28" t="str">
        <x:v>The Art &amp; Science of Foodpairing.pdf: 260–261</x:v>
      </x:c>
    </x:row>
    <x:row r="233" ht="64" customHeight="1">
      <x:c r="A233" s="28" t="str">
        <x:v>STN-0281</x:v>
      </x:c>
      <x:c r="B233" s="28" t="str">
        <x:v>нектарин</x:v>
      </x:c>
      <x:c r="C233" s="28" t="str">
        <x:v>нектарин</x:v>
      </x:c>
      <x:c r="D233" s="28" t="str">
        <x:v>киви</x:v>
      </x:c>
      <x:c r="E233" s="28" t="str">
        <x:v>Тропические и субтропические фрукты</x:v>
      </x:c>
      <x:c r="F233" s="28" t="str">
        <x:v>прямое или классовое перекрытие характерных одорантов + вкусовой баланс</x:v>
      </x:c>
      <x:c r="G23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Киви относится к группе «Тропические и субтропические фрукты» и даёт профиль «зелёный, травянистый, цитрусовый, фруктовый и слегка морской»; типичные соединения или классы: гексаналь, (E)-2-гексеналь, этилбутират, метилбутират, линалоол; фермент актинидин. В рабочих профилях пересекаются: линалоол. Общие ароматические направления: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кислотность, сладость и выраженная свежесть.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водная; содержит протеазу актинидин и кристаллы оксалата кальция.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H23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I23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3" s="28" t="str">
        <x:v>напиток, соус, десерт или горячее блюдо после пробной дегустации</x:v>
      </x:c>
      <x:c r="K233" s="28" t="str">
        <x:v>Средняя</x:v>
      </x:c>
      <x:c r="L233" s="28" t="str">
        <x:v>The Art &amp; Science of Foodpairing.pdf</x:v>
      </x:c>
      <x:c r="M233" s="28" t="str">
        <x:v>The Art &amp; Science of Foodpairing.pdf: 260–261</x:v>
      </x:c>
    </x:row>
    <x:row r="234" ht="64" customHeight="1">
      <x:c r="A234" s="28" t="str">
        <x:v>STN-0282</x:v>
      </x:c>
      <x:c r="B234" s="28" t="str">
        <x:v>нектарин</x:v>
      </x:c>
      <x:c r="C234" s="28" t="str">
        <x:v>нектарин</x:v>
      </x:c>
      <x:c r="D234" s="28" t="str">
        <x:v>кимчи из пекинской капусты</x:v>
      </x:c>
      <x:c r="E234" s="28" t="str">
        <x:v>Ферментированные продукты, соусы и уксусы</x:v>
      </x:c>
      <x:c r="F234" s="28" t="str">
        <x:v>прямое или классовое перекрытие характерных одорантов + вкусовой баланс</x:v>
      </x:c>
      <x:c r="G23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Кимчи из пекинской капусты относится к группе «Ферментированные продукты, соусы и уксусы» и даёт профиль «кислый, умами, ферментированный, солёный»; типичные соединения или классы: уксусная кислота, эфиры, аминокислотные и ферментационные соединения. В рабочих профилях пересекаются: эфиры. Кислота, соль и умами усиливают контраст с фруктовой сладостью; сочетание работает в малой дозировке как приправа. Матрица пары: водно-пектиновая; гидрофобные лактоны лучше проявляются в жире и этаноле. Партнёр: водная и солевая матрица; часть ароматов удерживается белком и сахаром.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3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34" s="28" t="str">
        <x:v>не перегревать и не переслащивать; иначе исчезает свежая фруктовая детализация. Соль и кислота быстро становятся доминирующими; используйте как акцент.</x:v>
      </x:c>
      <x:c r="J234" s="28" t="str">
        <x:v>соус, глазировка, чатни, маринад, гарнир или основное блюдо</x:v>
      </x:c>
      <x:c r="K234" s="28" t="str">
        <x:v>Средняя</x:v>
      </x:c>
      <x:c r="L234" s="28" t="str">
        <x:v>The Art &amp; Science of Foodpairing.pdf</x:v>
      </x:c>
      <x:c r="M234" s="28" t="str">
        <x:v>The Art &amp; Science of Foodpairing.pdf: 304</x:v>
      </x:c>
    </x:row>
    <x:row r="235" ht="64" customHeight="1">
      <x:c r="A235" s="28" t="str">
        <x:v>STN-0283</x:v>
      </x:c>
      <x:c r="B235" s="28" t="str">
        <x:v>нектарин</x:v>
      </x:c>
      <x:c r="C235" s="28" t="str">
        <x:v>нектарин</x:v>
      </x:c>
      <x:c r="D235" s="28" t="str">
        <x:v>кленовый сироп</x:v>
      </x:c>
      <x:c r="E235" s="28" t="str">
        <x:v>Сахара, мёд и кондитерские основы</x:v>
      </x:c>
      <x:c r="F235" s="28" t="str">
        <x:v>комплементарность ароматических семейств, вкусовой контраст и матричный эффект</x:v>
      </x:c>
      <x:c r="G23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вязкая сахарная; снижает летучесть и смягчает кислоту.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3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3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5" s="28" t="str">
        <x:v>напиток, соус, десерт или горячее блюдо после пробной дегустации</x:v>
      </x:c>
      <x:c r="K235" s="28" t="str">
        <x:v>Гипотеза / практическая</x:v>
      </x:c>
      <x:c r="L235" s="28" t="str">
        <x:v>Таблица сочетания(1).pdf</x:v>
      </x:c>
      <x:c r="M235" s="28" t="str">
        <x:v>Таблица сочетания(1).pdf: 14</x:v>
      </x:c>
    </x:row>
    <x:row r="236" ht="64" customHeight="1">
      <x:c r="A236" s="28" t="str">
        <x:v>STN-0284</x:v>
      </x:c>
      <x:c r="B236" s="28" t="str">
        <x:v>нектарин</x:v>
      </x:c>
      <x:c r="C236" s="28" t="str">
        <x:v>нектарин</x:v>
      </x:c>
      <x:c r="D236" s="28" t="str">
        <x:v>клубника</x:v>
      </x:c>
      <x:c r="E236" s="28" t="str">
        <x:v>Ягоды</x:v>
      </x:c>
      <x:c r="F236" s="28" t="str">
        <x:v>прямое или классовое перекрытие характерных одорантов + вкусовой баланс</x:v>
      </x:c>
      <x:c r="G23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3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3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6" s="28" t="str">
        <x:v>сорбет, салат, джем, кордиал, лимонад, коктейль или фруктовый соус</x:v>
      </x:c>
      <x:c r="K236" s="28" t="str">
        <x:v>Высокая</x:v>
      </x:c>
      <x:c r="L236" s="28" t="str">
        <x:v>The Art &amp; Science of Foodpairing.pdf | Таблица сочетания(1).pdf</x:v>
      </x:c>
      <x:c r="M236" s="28" t="str">
        <x:v>The Art &amp; Science of Foodpairing.pdf: The Art &amp; Science of Foodpairing: 70; Таблица сочетаний: 20 | Таблица сочетания(1).pdf: 20 | The Art &amp; Science of Foodpairing.pdf: 70</x:v>
      </x:c>
    </x:row>
    <x:row r="237" ht="64" customHeight="1">
      <x:c r="A237" s="28" t="str">
        <x:v>STN-0285</x:v>
      </x:c>
      <x:c r="B237" s="28" t="str">
        <x:v>нектарин</x:v>
      </x:c>
      <x:c r="C237" s="28" t="str">
        <x:v>нектарин</x:v>
      </x:c>
      <x:c r="D237" s="28" t="str">
        <x:v>клюква</x:v>
      </x:c>
      <x:c r="E237" s="28" t="str">
        <x:v>Ягоды</x:v>
      </x:c>
      <x:c r="F237" s="28" t="str">
        <x:v>прямое или классовое перекрытие характерных одорантов + вкусовой баланс</x:v>
      </x:c>
      <x:c r="G23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Клюква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3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3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7" s="28" t="str">
        <x:v>сорбет, салат, джем, кордиал, лимонад, коктейль или фруктовый соус</x:v>
      </x:c>
      <x:c r="K237" s="28" t="str">
        <x:v>Гипотеза / практическая</x:v>
      </x:c>
      <x:c r="L237" s="28" t="str">
        <x:v>Таблица сочетания(1).pdf</x:v>
      </x:c>
      <x:c r="M237" s="28" t="str">
        <x:v>Таблица сочетания(1).pdf: Таблица сочетаний: 14 | Таблица сочетания(1).pdf: 14</x:v>
      </x:c>
    </x:row>
    <x:row r="238" ht="64" customHeight="1">
      <x:c r="A238" s="28" t="str">
        <x:v>STN-0286</x:v>
      </x:c>
      <x:c r="B238" s="28" t="str">
        <x:v>нектарин</x:v>
      </x:c>
      <x:c r="C238" s="28" t="str">
        <x:v>нектарин</x:v>
      </x:c>
      <x:c r="D238" s="28" t="str">
        <x:v>кокос</x:v>
      </x:c>
      <x:c r="E238" s="28" t="str">
        <x:v>Тропические фрукты и жирные матрицы</x:v>
      </x:c>
      <x:c r="F238" s="28" t="str">
        <x:v>прямое или классовое перекрытие характерных одорантов + вкусовой баланс</x:v>
      </x:c>
      <x:c r="G23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В рабочих профилях пересекаются: декалактон.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богатая жиром эмульсия; хорошо растворяет гидрофобные терпены, специи и ароматические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23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23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38" s="28" t="str">
        <x:v>напиток, соус, десерт или горячее блюдо после пробной дегустации</x:v>
      </x:c>
      <x:c r="K238" s="28" t="str">
        <x:v>Гипотеза / практическая</x:v>
      </x:c>
      <x:c r="L238" s="28" t="str">
        <x:v>Таблица сочетания(1).pdf</x:v>
      </x:c>
      <x:c r="M238" s="28" t="str">
        <x:v>Таблица сочетания(1).pdf: Таблица сочетаний: 14 | Таблица сочетания(1).pdf: 14</x:v>
      </x:c>
    </x:row>
    <x:row r="239" ht="64" customHeight="1">
      <x:c r="A239" s="28" t="str">
        <x:v>STN-0287</x:v>
      </x:c>
      <x:c r="B239" s="28" t="str">
        <x:v>нектарин</x:v>
      </x:c>
      <x:c r="C239" s="28" t="str">
        <x:v>нектарин</x:v>
      </x:c>
      <x:c r="D239" s="28" t="str">
        <x:v>корица</x:v>
      </x:c>
      <x:c r="E239" s="28" t="str">
        <x:v>Специи и острые компоненты</x:v>
      </x:c>
      <x:c r="F239" s="28" t="str">
        <x:v>комплементарность ароматических семейств, вкусовой контраст и матричный эффект</x:v>
      </x:c>
      <x:c r="G23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39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39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39" s="28" t="str">
        <x:v>напиток, соус, десерт или горячее блюдо после пробной дегустации</x:v>
      </x:c>
      <x:c r="K239" s="28" t="str">
        <x:v>Гипотеза / практическая</x:v>
      </x:c>
      <x:c r="L239" s="28" t="str">
        <x:v>Таблица сочетания(1).pdf</x:v>
      </x:c>
      <x:c r="M239" s="28" t="str">
        <x:v>Таблица сочетания(1).pdf: 14</x:v>
      </x:c>
    </x:row>
    <x:row r="240" ht="64" customHeight="1">
      <x:c r="A240" s="28" t="str">
        <x:v>STN-0288</x:v>
      </x:c>
      <x:c r="B240" s="28" t="str">
        <x:v>нектарин</x:v>
      </x:c>
      <x:c r="C240" s="28" t="str">
        <x:v>нектарин</x:v>
      </x:c>
      <x:c r="D240" s="28" t="str">
        <x:v>краснокочанная капуста</x:v>
      </x:c>
      <x:c r="E240" s="28" t="str">
        <x:v>Овощи и корнеплоды</x:v>
      </x:c>
      <x:c r="F240" s="28" t="str">
        <x:v>прямое или классовое перекрытие характерных одорантов + вкусовой баланс</x:v>
      </x:c>
      <x:c r="G24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Краснокочанная капуста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4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4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0" s="28" t="str">
        <x:v>соус, глазировка, чатни, маринад, гарнир или основное блюдо</x:v>
      </x:c>
      <x:c r="K240" s="28" t="str">
        <x:v>Средняя</x:v>
      </x:c>
      <x:c r="L240" s="28" t="str">
        <x:v>The Art &amp; Science of Foodpairing.pdf</x:v>
      </x:c>
      <x:c r="M240" s="28" t="str">
        <x:v>The Art &amp; Science of Foodpairing.pdf: 260–261</x:v>
      </x:c>
    </x:row>
    <x:row r="241" ht="64" customHeight="1">
      <x:c r="A241" s="28" t="str">
        <x:v>STN-0289</x:v>
      </x:c>
      <x:c r="B241" s="28" t="str">
        <x:v>нектарин</x:v>
      </x:c>
      <x:c r="C241" s="28" t="str">
        <x:v>нектарин</x:v>
      </x:c>
      <x:c r="D241" s="28" t="str">
        <x:v>лемонграсс</x:v>
      </x:c>
      <x:c r="E241" s="28" t="str">
        <x:v>Травы и цветы</x:v>
      </x:c>
      <x:c r="F241" s="28" t="str">
        <x:v>прямое или классовое перекрытие характерных одорантов + вкусовой баланс</x:v>
      </x:c>
      <x:c r="G24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Лемонграсс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4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4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1" s="28" t="str">
        <x:v>напиток, соус, десерт или горячее блюдо после пробной дегустации</x:v>
      </x:c>
      <x:c r="K241" s="28" t="str">
        <x:v>Средняя</x:v>
      </x:c>
      <x:c r="L241" s="28" t="str">
        <x:v>The Art &amp; Science of Foodpairing.pdf</x:v>
      </x:c>
      <x:c r="M241" s="28" t="str">
        <x:v>The Art &amp; Science of Foodpairing.pdf: 146</x:v>
      </x:c>
    </x:row>
    <x:row r="242" ht="64" customHeight="1">
      <x:c r="A242" s="28" t="str">
        <x:v>STN-0291</x:v>
      </x:c>
      <x:c r="B242" s="28" t="str">
        <x:v>нектарин</x:v>
      </x:c>
      <x:c r="C242" s="28" t="str">
        <x:v>нектарин</x:v>
      </x:c>
      <x:c r="D242" s="28" t="str">
        <x:v>лимон</x:v>
      </x:c>
      <x:c r="E242" s="28" t="str">
        <x:v>Цитрусовые</x:v>
      </x:c>
      <x:c r="F242" s="28" t="str">
        <x:v>комплементарность ароматических семейств, вкусовой контраст и матричный эффект</x:v>
      </x:c>
      <x:c r="G24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4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4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2" s="28" t="str">
        <x:v>сорбет, салат, джем, кордиал, лимонад, коктейль или фруктовый соус</x:v>
      </x:c>
      <x:c r="K242" s="28" t="str">
        <x:v>Гипотеза / практическая</x:v>
      </x:c>
      <x:c r="L242" s="28" t="str">
        <x:v>Таблица сочетания(1).pdf</x:v>
      </x:c>
      <x:c r="M242" s="28" t="str">
        <x:v>Таблица сочетания(1).pdf: Таблица сочетания(1).pdf: 14 | Таблица сочетания(1).pdf: 14</x:v>
      </x:c>
    </x:row>
    <x:row r="243" ht="64" customHeight="1">
      <x:c r="A243" s="28" t="str">
        <x:v>STN-0292</x:v>
      </x:c>
      <x:c r="B243" s="28" t="str">
        <x:v>нектарин</x:v>
      </x:c>
      <x:c r="C243" s="28" t="str">
        <x:v>нектарин</x:v>
      </x:c>
      <x:c r="D243" s="28" t="str">
        <x:v>лист шисо</x:v>
      </x:c>
      <x:c r="E243" s="28" t="str">
        <x:v>Травы, листья и цветы</x:v>
      </x:c>
      <x:c r="F243" s="28" t="str">
        <x:v>прямое или классовое перекрытие характерных одорантов + вкусовой баланс</x:v>
      </x:c>
      <x:c r="G24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Лист шисо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243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24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3" s="28" t="str">
        <x:v>напиток, соус, десерт или горячее блюдо после пробной дегустации</x:v>
      </x:c>
      <x:c r="K243" s="28" t="str">
        <x:v>Средняя</x:v>
      </x:c>
      <x:c r="L243" s="28" t="str">
        <x:v>The Art &amp; Science of Foodpairing.pdf</x:v>
      </x:c>
      <x:c r="M243" s="28" t="str">
        <x:v>The Art &amp; Science of Foodpairing.pdf: 260–261</x:v>
      </x:c>
    </x:row>
    <x:row r="244" ht="64" customHeight="1">
      <x:c r="A244" s="28" t="str">
        <x:v>STN-0293</x:v>
      </x:c>
      <x:c r="B244" s="28" t="str">
        <x:v>нектарин</x:v>
      </x:c>
      <x:c r="C244" s="28" t="str">
        <x:v>нектарин</x:v>
      </x:c>
      <x:c r="D244" s="28" t="str">
        <x:v>листья кориандра</x:v>
      </x:c>
      <x:c r="E244" s="28" t="str">
        <x:v>Травы/пряности</x:v>
      </x:c>
      <x:c r="F244" s="28" t="str">
        <x:v>комплементарность ароматических семейств, вкусовой контраст и матричный эффект</x:v>
      </x:c>
      <x:c r="G24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Листья кориандра относится к группе «Травы/пряности» и даёт профиль «цитрусовый, зелёный, цветочный»; типичные соединения или классы: линалол, деканаль, додеканаль.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травяной, слегка горький.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листья чувствительны к нагреву; семена устойчивее и слаще.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H24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I24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4" s="28" t="str">
        <x:v>напиток, соус, десерт или горячее блюдо после пробной дегустации</x:v>
      </x:c>
      <x:c r="K244" s="28" t="str">
        <x:v>Средняя</x:v>
      </x:c>
      <x:c r="L244" s="28" t="str">
        <x:v>The Art &amp; Science of Foodpairing.pdf</x:v>
      </x:c>
      <x:c r="M244" s="28" t="str">
        <x:v>The Art &amp; Science of Foodpairing.pdf: 99 | The Art &amp; Science of Foodpairing.pdf: 260–261</x:v>
      </x:c>
    </x:row>
    <x:row r="245" ht="64" customHeight="1">
      <x:c r="A245" s="28" t="str">
        <x:v>STN-0294</x:v>
      </x:c>
      <x:c r="B245" s="28" t="str">
        <x:v>нектарин</x:v>
      </x:c>
      <x:c r="C245" s="28" t="str">
        <x:v>нектарин</x:v>
      </x:c>
      <x:c r="D245" s="28" t="str">
        <x:v>листья пажитника</x:v>
      </x:c>
      <x:c r="E245" s="28" t="str">
        <x:v>Травы и цветы</x:v>
      </x:c>
      <x:c r="F245" s="28" t="str">
        <x:v>прямое или классовое перекрытие характерных одорантов + вкусовой баланс</x:v>
      </x:c>
      <x:c r="G24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Листья пажитника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4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4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5" s="28" t="str">
        <x:v>напиток, соус, десерт или горячее блюдо после пробной дегустации</x:v>
      </x:c>
      <x:c r="K245" s="28" t="str">
        <x:v>Средняя</x:v>
      </x:c>
      <x:c r="L245" s="28" t="str">
        <x:v>The Art &amp; Science of Foodpairing.pdf</x:v>
      </x:c>
      <x:c r="M245" s="28" t="str">
        <x:v>The Art &amp; Science of Foodpairing.pdf: 260–261</x:v>
      </x:c>
    </x:row>
    <x:row r="246" ht="64" customHeight="1">
      <x:c r="A246" s="28" t="str">
        <x:v>STN-0295</x:v>
      </x:c>
      <x:c r="B246" s="28" t="str">
        <x:v>нектарин</x:v>
      </x:c>
      <x:c r="C246" s="28" t="str">
        <x:v>нектарин</x:v>
      </x:c>
      <x:c r="D246" s="28" t="str">
        <x:v>личи</x:v>
      </x:c>
      <x:c r="E246" s="28" t="str">
        <x:v>Тропические фрукты</x:v>
      </x:c>
      <x:c r="F246" s="28" t="str">
        <x:v>прямое или классовое перекрытие характерных одорантов + вкусовой баланс</x:v>
      </x:c>
      <x:c r="G24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Личи относится к группе «Тропические фрукты» и даёт профиль «розовый, цветочный, виноградный и цитрусовый»; типичные соединения или классы: цис- и транс-розовый оксид, линалоол, гераниол, цитронеллол. В рабочих профилях пересекаются: линалоол.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чистая сладость, мягкая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водная; цветочные терпены чувствительны к нагреву.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H24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сильные специи и перегрев делают аромат парфюмерным или плоским.</x:v>
      </x:c>
      <x:c r="I24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6" s="28" t="str">
        <x:v>напиток, соус, десерт или горячее блюдо после пробной дегустации</x:v>
      </x:c>
      <x:c r="K246" s="28" t="str">
        <x:v>Средняя</x:v>
      </x:c>
      <x:c r="L246" s="28" t="str">
        <x:v>The Art &amp; Science of Foodpairing.pdf</x:v>
      </x:c>
      <x:c r="M246" s="28" t="str">
        <x:v>The Art &amp; Science of Foodpairing.pdf: 260–261</x:v>
      </x:c>
    </x:row>
    <x:row r="247" ht="64" customHeight="1">
      <x:c r="A247" s="28" t="str">
        <x:v>STN-0296</x:v>
      </x:c>
      <x:c r="B247" s="28" t="str">
        <x:v>нектарин</x:v>
      </x:c>
      <x:c r="C247" s="28" t="str">
        <x:v>нектарин</x:v>
      </x:c>
      <x:c r="D247" s="28" t="str">
        <x:v>малина</x:v>
      </x:c>
      <x:c r="E247" s="28" t="str">
        <x:v>Ягоды</x:v>
      </x:c>
      <x:c r="F247" s="28" t="str">
        <x:v>прямое или классовое перекрытие характерных одорантов + вкусовой баланс</x:v>
      </x:c>
      <x:c r="G24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водная пектиновая; антоцианы влияют на цвет, но не являются главными одорантами.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24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24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7" s="28" t="str">
        <x:v>сорбет, салат, джем, кордиал, лимонад, коктейль или фруктовый соус</x:v>
      </x:c>
      <x:c r="K247" s="28" t="str">
        <x:v>Высокая</x:v>
      </x:c>
      <x:c r="L247" s="28" t="str">
        <x:v>The Art &amp; Science of Foodpairing.pdf | Таблица сочетания(1).pdf</x:v>
      </x:c>
      <x:c r="M247" s="28" t="str">
        <x:v>Таблица сочетания(1).pdf: Таблица сочетаний: 19 | Таблица сочетания(1).pdf: 19 | The Art &amp; Science of Foodpairing.pdf: 260–261</x:v>
      </x:c>
    </x:row>
    <x:row r="248" ht="64" customHeight="1">
      <x:c r="A248" s="28" t="str">
        <x:v>STN-0297</x:v>
      </x:c>
      <x:c r="B248" s="28" t="str">
        <x:v>нектарин</x:v>
      </x:c>
      <x:c r="C248" s="28" t="str">
        <x:v>нектарин</x:v>
      </x:c>
      <x:c r="D248" s="28" t="str">
        <x:v>мандарин</x:v>
      </x:c>
      <x:c r="E248" s="28" t="str">
        <x:v>Цитрусовые</x:v>
      </x:c>
      <x:c r="F248" s="28" t="str">
        <x:v>прямое или классовое перекрытие характерных одорантов + вкусовой баланс</x:v>
      </x:c>
      <x:c r="G24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Мандарин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сок водный и кислый, цедра содержит гидрофобные эфирные масла.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24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24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8" s="28" t="str">
        <x:v>сорбет, салат, джем, кордиал, лимонад, коктейль или фруктовый соус</x:v>
      </x:c>
      <x:c r="K248" s="28" t="str">
        <x:v>Средняя</x:v>
      </x:c>
      <x:c r="L248" s="28" t="str">
        <x:v>The Art &amp; Science of Foodpairing.pdf</x:v>
      </x:c>
      <x:c r="M248" s="28" t="str">
        <x:v>The Art &amp; Science of Foodpairing.pdf: 260–261</x:v>
      </x:c>
    </x:row>
    <x:row r="249" ht="64" customHeight="1">
      <x:c r="A249" s="28" t="str">
        <x:v>STN-0298</x:v>
      </x:c>
      <x:c r="B249" s="28" t="str">
        <x:v>нектарин</x:v>
      </x:c>
      <x:c r="C249" s="28" t="str">
        <x:v>нектарин</x:v>
      </x:c>
      <x:c r="D249" s="28" t="str">
        <x:v>мед</x:v>
      </x:c>
      <x:c r="E249" s="28" t="str">
        <x:v>Сахара, мёд и кондитерские основы</x:v>
      </x:c>
      <x:c r="F249" s="28" t="str">
        <x:v>комплементарность ароматических семейств, вкусовой контраст и матричный эффект</x:v>
      </x:c>
      <x:c r="G24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вязкая сахарная; снижает летучесть и смягчает кислоту.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24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24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49" s="28" t="str">
        <x:v>напиток, соус, десерт или горячее блюдо после пробной дегустации</x:v>
      </x:c>
      <x:c r="K249" s="28" t="str">
        <x:v>Гипотеза / практическая</x:v>
      </x:c>
      <x:c r="L249" s="28" t="str">
        <x:v>Таблица сочетания(1).pdf</x:v>
      </x:c>
      <x:c r="M249" s="28" t="str">
        <x:v>Таблица сочетания(1).pdf: 14</x:v>
      </x:c>
    </x:row>
    <x:row r="250" ht="64" customHeight="1">
      <x:c r="A250" s="28" t="str">
        <x:v>STN-0300</x:v>
      </x:c>
      <x:c r="B250" s="28" t="str">
        <x:v>нектарин</x:v>
      </x:c>
      <x:c r="C250" s="28" t="str">
        <x:v>нектарин</x:v>
      </x:c>
      <x:c r="D250" s="28" t="str">
        <x:v>момбин желтый</x:v>
      </x:c>
      <x:c r="E250" s="28" t="str">
        <x:v>Фрукты</x:v>
      </x:c>
      <x:c r="F250" s="28" t="str">
        <x:v>прямое или классовое перекрытие характерных одорантов + вкусовой баланс</x:v>
      </x:c>
      <x:c r="G25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Момбин желтый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5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5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0" s="28" t="str">
        <x:v>сорбет, салат, джем, кордиал, лимонад, коктейль или фруктовый соус</x:v>
      </x:c>
      <x:c r="K250" s="28" t="str">
        <x:v>Средняя</x:v>
      </x:c>
      <x:c r="L250" s="28" t="str">
        <x:v>The Art &amp; Science of Foodpairing.pdf</x:v>
      </x:c>
      <x:c r="M250" s="28" t="str">
        <x:v>The Art &amp; Science of Foodpairing.pdf: 260–261</x:v>
      </x:c>
    </x:row>
    <x:row r="251" ht="64" customHeight="1">
      <x:c r="A251" s="28" t="str">
        <x:v>STN-0303</x:v>
      </x:c>
      <x:c r="B251" s="28" t="str">
        <x:v>нектарин</x:v>
      </x:c>
      <x:c r="C251" s="28" t="str">
        <x:v>нектарин</x:v>
      </x:c>
      <x:c r="D251" s="28" t="str">
        <x:v>мушмула японская</x:v>
      </x:c>
      <x:c r="E251" s="28" t="str">
        <x:v>Фрукты</x:v>
      </x:c>
      <x:c r="F251" s="28" t="str">
        <x:v>прямое или классовое перекрытие характерных одорантов + вкусовой баланс</x:v>
      </x:c>
      <x:c r="G25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Мушмула японская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5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5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1" s="28" t="str">
        <x:v>сорбет, салат, джем, кордиал, лимонад, коктейль или фруктовый соус</x:v>
      </x:c>
      <x:c r="K251" s="28" t="str">
        <x:v>Средняя</x:v>
      </x:c>
      <x:c r="L251" s="28" t="str">
        <x:v>The Art &amp; Science of Foodpairing.pdf</x:v>
      </x:c>
      <x:c r="M251" s="28" t="str">
        <x:v>The Art &amp; Science of Foodpairing.pdf: 260–261</x:v>
      </x:c>
    </x:row>
    <x:row r="252" ht="64" customHeight="1">
      <x:c r="A252" s="28" t="str">
        <x:v>STN-0304</x:v>
      </x:c>
      <x:c r="B252" s="28" t="str">
        <x:v>нектарин</x:v>
      </x:c>
      <x:c r="C252" s="28" t="str">
        <x:v>нектарин</x:v>
      </x:c>
      <x:c r="D252" s="28" t="str">
        <x:v>мята</x:v>
      </x:c>
      <x:c r="E252" s="28" t="str">
        <x:v>Травы и цветы</x:v>
      </x:c>
      <x:c r="F252" s="28" t="str">
        <x:v>комплементарность ароматических семейств, вкусовой контраст и матричный эффект</x:v>
      </x:c>
      <x:c r="G25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5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5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2" s="28" t="str">
        <x:v>напиток, соус, десерт или горячее блюдо после пробной дегустации</x:v>
      </x:c>
      <x:c r="K252" s="28" t="str">
        <x:v>Гипотеза / практическая</x:v>
      </x:c>
      <x:c r="L252" s="28" t="str">
        <x:v>Таблица сочетания(1).pdf</x:v>
      </x:c>
      <x:c r="M252" s="28" t="str">
        <x:v>Таблица сочетания(1).pdf: 14</x:v>
      </x:c>
    </x:row>
    <x:row r="253" ht="64" customHeight="1">
      <x:c r="A253" s="28" t="str">
        <x:v>STN-0306</x:v>
      </x:c>
      <x:c r="B253" s="28" t="str">
        <x:v>нектарин</x:v>
      </x:c>
      <x:c r="C253" s="28" t="str">
        <x:v>нектарин</x:v>
      </x:c>
      <x:c r="D253" s="28" t="str">
        <x:v>обжаренный bacon</x:v>
      </x:c>
      <x:c r="E253" s="28" t="str">
        <x:v>Прочее</x:v>
      </x:c>
      <x:c r="F253" s="28" t="str">
        <x:v>комплементарность ароматических семейств, вкусовой контраст и матричный эффект</x:v>
      </x:c>
      <x:c r="G25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Обжаренный bacon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5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5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3" s="28" t="str">
        <x:v>напиток, соус, десерт или горячее блюдо после пробной дегустации</x:v>
      </x:c>
      <x:c r="K253" s="28" t="str">
        <x:v>Средняя</x:v>
      </x:c>
      <x:c r="L253" s="28" t="str">
        <x:v>The Art &amp; Science of Foodpairing.pdf</x:v>
      </x:c>
      <x:c r="M253" s="28" t="str">
        <x:v>The Art &amp; Science of Foodpairing.pdf: 260–261</x:v>
      </x:c>
    </x:row>
    <x:row r="254" ht="64" customHeight="1">
      <x:c r="A254" s="28" t="str">
        <x:v>STN-0307</x:v>
      </x:c>
      <x:c r="B254" s="28" t="str">
        <x:v>нектарин</x:v>
      </x:c>
      <x:c r="C254" s="28" t="str">
        <x:v>нектарин</x:v>
      </x:c>
      <x:c r="D254" s="28" t="str">
        <x:v>обжаренный duck breast</x:v>
      </x:c>
      <x:c r="E254" s="28" t="str">
        <x:v>Прочее</x:v>
      </x:c>
      <x:c r="F254" s="28" t="str">
        <x:v>комплементарность ароматических семейств, вкусовой контраст и матричный эффект</x:v>
      </x:c>
      <x:c r="G25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Обжаренный duck breast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5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5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4" s="28" t="str">
        <x:v>напиток, соус, десерт или горячее блюдо после пробной дегустации</x:v>
      </x:c>
      <x:c r="K254" s="28" t="str">
        <x:v>Средняя</x:v>
      </x:c>
      <x:c r="L254" s="28" t="str">
        <x:v>The Art &amp; Science of Foodpairing.pdf</x:v>
      </x:c>
      <x:c r="M254" s="28" t="str">
        <x:v>The Art &amp; Science of Foodpairing.pdf: 260–261</x:v>
      </x:c>
    </x:row>
    <x:row r="255" ht="64" customHeight="1">
      <x:c r="A255" s="28" t="str">
        <x:v>STN-0308</x:v>
      </x:c>
      <x:c r="B255" s="28" t="str">
        <x:v>нектарин</x:v>
      </x:c>
      <x:c r="C255" s="28" t="str">
        <x:v>нектарин</x:v>
      </x:c>
      <x:c r="D255" s="28" t="str">
        <x:v>обжаренный страус</x:v>
      </x:c>
      <x:c r="E255" s="28" t="str">
        <x:v>Мясо и птица</x:v>
      </x:c>
      <x:c r="F255" s="28" t="str">
        <x:v>комплементарность ароматических семейств, вкусовой контраст и матричный эффект</x:v>
      </x:c>
      <x:c r="G25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Обжаренный страус относится к группе «Мясо и птица» и даёт профиль «жареный, мясной, сернистый, жирный»; типичные соединения или классы: пиразины, тиазолы, альдегиды жиров, сернистые соединения.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терпеновые масла; кислота снижает ощущение жирности.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H255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 Для партнёра важно: Цитрус создаёт контраст с реакциями Майяра и освежает мясную матрицу..</x:v>
      </x:c>
      <x:c r="I255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55" s="28" t="str">
        <x:v>соус, глазировка, чатни, маринад, гарнир или основное блюдо</x:v>
      </x:c>
      <x:c r="K255" s="28" t="str">
        <x:v>Средняя</x:v>
      </x:c>
      <x:c r="L255" s="28" t="str">
        <x:v>The Art &amp; Science of Foodpairing.pdf</x:v>
      </x:c>
      <x:c r="M255" s="28" t="str">
        <x:v>The Art &amp; Science of Foodpairing.pdf: 260–261</x:v>
      </x:c>
    </x:row>
    <x:row r="256" ht="64" customHeight="1">
      <x:c r="A256" s="28" t="str">
        <x:v>STN-0309</x:v>
      </x:c>
      <x:c r="B256" s="28" t="str">
        <x:v>нектарин</x:v>
      </x:c>
      <x:c r="C256" s="28" t="str">
        <x:v>нектарин</x:v>
      </x:c>
      <x:c r="D256" s="28" t="str">
        <x:v>оливковое масло</x:v>
      </x:c>
      <x:c r="E256" s="28" t="str">
        <x:v>Молочные продукты и сыры</x:v>
      </x:c>
      <x:c r="F256" s="28" t="str">
        <x:v>комплементарность ароматических семейств, вкусовой контраст и матричный эффект</x:v>
      </x:c>
      <x:c r="G25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жирный, кислый/солёный.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жировая и белковая матрица смягчает кислотность.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5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5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6" s="28" t="str">
        <x:v>напиток, соус, десерт или горячее блюдо после пробной дегустации</x:v>
      </x:c>
      <x:c r="K256" s="28" t="str">
        <x:v>Средняя</x:v>
      </x:c>
      <x:c r="L256" s="28" t="str">
        <x:v>The Art &amp; Science of Foodpairing.pdf</x:v>
      </x:c>
      <x:c r="M256" s="28" t="str">
        <x:v>The Art &amp; Science of Foodpairing.pdf: 172</x:v>
      </x:c>
    </x:row>
    <x:row r="257" ht="64" customHeight="1">
      <x:c r="A257" s="28" t="str">
        <x:v>STN-0310</x:v>
      </x:c>
      <x:c r="B257" s="28" t="str">
        <x:v>нектарин</x:v>
      </x:c>
      <x:c r="C257" s="28" t="str">
        <x:v>нектарин</x:v>
      </x:c>
      <x:c r="D257" s="28" t="str">
        <x:v>оливковое масло арбекина</x:v>
      </x:c>
      <x:c r="E257" s="28" t="str">
        <x:v>Прочее</x:v>
      </x:c>
      <x:c r="F257" s="28" t="str">
        <x:v>комплементарность ароматических семейств, вкусовой контраст и матричный эффект</x:v>
      </x:c>
      <x:c r="G25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Оливковое масло арбекина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баланс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матрица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5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5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7" s="28" t="str">
        <x:v>напиток, соус, десерт или горячее блюдо после пробной дегустации</x:v>
      </x:c>
      <x:c r="K257" s="28" t="str">
        <x:v>Средняя</x:v>
      </x:c>
      <x:c r="L257" s="28" t="str">
        <x:v>The Art &amp; Science of Foodpairing.pdf</x:v>
      </x:c>
      <x:c r="M257" s="28" t="str">
        <x:v>The Art &amp; Science of Foodpairing.pdf: 260–261</x:v>
      </x:c>
    </x:row>
    <x:row r="258" ht="64" customHeight="1">
      <x:c r="A258" s="28" t="str">
        <x:v>STN-0313</x:v>
      </x:c>
      <x:c r="B258" s="28" t="str">
        <x:v>нектарин</x:v>
      </x:c>
      <x:c r="C258" s="28" t="str">
        <x:v>нектарин</x:v>
      </x:c>
      <x:c r="D258" s="28" t="str">
        <x:v>отварная стручковая фасоль</x:v>
      </x:c>
      <x:c r="E258" s="28" t="str">
        <x:v>Овощи и корнеплоды</x:v>
      </x:c>
      <x:c r="F258" s="28" t="str">
        <x:v>прямое или классовое перекрытие характерных одорантов + вкусовой баланс</x:v>
      </x:c>
      <x:c r="G25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Отварная стручковая фасоль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5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5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8" s="28" t="str">
        <x:v>соус, глазировка, чатни, маринад, гарнир или основное блюдо</x:v>
      </x:c>
      <x:c r="K258" s="28" t="str">
        <x:v>Средняя</x:v>
      </x:c>
      <x:c r="L258" s="28" t="str">
        <x:v>The Art &amp; Science of Foodpairing.pdf</x:v>
      </x:c>
      <x:c r="M258" s="28" t="str">
        <x:v>The Art &amp; Science of Foodpairing.pdf: 260–261</x:v>
      </x:c>
    </x:row>
    <x:row r="259" ht="64" customHeight="1">
      <x:c r="A259" s="28" t="str">
        <x:v>STN-0314</x:v>
      </x:c>
      <x:c r="B259" s="28" t="str">
        <x:v>нектарин</x:v>
      </x:c>
      <x:c r="C259" s="28" t="str">
        <x:v>нектарин</x:v>
      </x:c>
      <x:c r="D259" s="28" t="str">
        <x:v>отварная тыква</x:v>
      </x:c>
      <x:c r="E259" s="28" t="str">
        <x:v>Овощи и корнеплоды</x:v>
      </x:c>
      <x:c r="F259" s="28" t="str">
        <x:v>прямое или классовое перекрытие характерных одорантов + вкусовой баланс</x:v>
      </x:c>
      <x:c r="G25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Отварная тыква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5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5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59" s="28" t="str">
        <x:v>соус, глазировка, чатни, маринад, гарнир или основное блюдо</x:v>
      </x:c>
      <x:c r="K259" s="28" t="str">
        <x:v>Средняя</x:v>
      </x:c>
      <x:c r="L259" s="28" t="str">
        <x:v>The Art &amp; Science of Foodpairing.pdf</x:v>
      </x:c>
      <x:c r="M259" s="28" t="str">
        <x:v>The Art &amp; Science of Foodpairing.pdf: 260–261</x:v>
      </x:c>
    </x:row>
    <x:row r="260" ht="64" customHeight="1">
      <x:c r="A260" s="28" t="str">
        <x:v>STN-0315</x:v>
      </x:c>
      <x:c r="B260" s="28" t="str">
        <x:v>нектарин</x:v>
      </x:c>
      <x:c r="C260" s="28" t="str">
        <x:v>нектарин</x:v>
      </x:c>
      <x:c r="D260" s="28" t="str">
        <x:v>отварное мясо бурого краба</x:v>
      </x:c>
      <x:c r="E260" s="28" t="str">
        <x:v>Мясо и птица</x:v>
      </x:c>
      <x:c r="F260" s="28" t="str">
        <x:v>комплементарность ароматических семейств, вкусовой контраст и матричный эффект</x:v>
      </x:c>
      <x:c r="G26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Отварное мясо бурого краба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H260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I260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60" s="28" t="str">
        <x:v>соус, глазировка, чатни, маринад, гарнир или основное блюдо</x:v>
      </x:c>
      <x:c r="K260" s="28" t="str">
        <x:v>Средняя</x:v>
      </x:c>
      <x:c r="L260" s="28" t="str">
        <x:v>The Art &amp; Science of Foodpairing.pdf</x:v>
      </x:c>
      <x:c r="M260" s="28" t="str">
        <x:v>The Art &amp; Science of Foodpairing.pdf: 260–261</x:v>
      </x:c>
    </x:row>
    <x:row r="261" ht="64" customHeight="1">
      <x:c r="A261" s="28" t="str">
        <x:v>STN-0316</x:v>
      </x:c>
      <x:c r="B261" s="28" t="str">
        <x:v>нектарин</x:v>
      </x:c>
      <x:c r="C261" s="28" t="str">
        <x:v>нектарин</x:v>
      </x:c>
      <x:c r="D261" s="28" t="str">
        <x:v>отварной broccoli</x:v>
      </x:c>
      <x:c r="E261" s="28" t="str">
        <x:v>Прочее</x:v>
      </x:c>
      <x:c r="F261" s="28" t="str">
        <x:v>комплементарность ароматических семейств, вкусовой контраст и матричный эффект</x:v>
      </x:c>
      <x:c r="G26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Отварной broccoli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6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6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61" s="28" t="str">
        <x:v>напиток, соус, десерт или горячее блюдо после пробной дегустации</x:v>
      </x:c>
      <x:c r="K261" s="28" t="str">
        <x:v>Средняя</x:v>
      </x:c>
      <x:c r="L261" s="28" t="str">
        <x:v>The Art &amp; Science of Foodpairing.pdf</x:v>
      </x:c>
      <x:c r="M261" s="28" t="str">
        <x:v>The Art &amp; Science of Foodpairing.pdf: 260–261</x:v>
      </x:c>
    </x:row>
    <x:row r="262" ht="64" customHeight="1">
      <x:c r="A262" s="28" t="str">
        <x:v>STN-0317</x:v>
      </x:c>
      <x:c r="B262" s="28" t="str">
        <x:v>нектарин</x:v>
      </x:c>
      <x:c r="C262" s="28" t="str">
        <x:v>нектарин</x:v>
      </x:c>
      <x:c r="D262" s="28" t="str">
        <x:v>отварной голубой краб</x:v>
      </x:c>
      <x:c r="E262" s="28" t="str">
        <x:v>Рыба и морепродукты</x:v>
      </x:c>
      <x:c r="F262" s="28" t="str">
        <x:v>комплементарность ароматических семейств, вкусовой контраст и матричный эффект</x:v>
      </x:c>
      <x:c r="G26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Отварной голубой краб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6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62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62" s="28" t="str">
        <x:v>соус, глазировка, чатни, маринад, гарнир или основное блюдо</x:v>
      </x:c>
      <x:c r="K262" s="28" t="str">
        <x:v>Средняя</x:v>
      </x:c>
      <x:c r="L262" s="28" t="str">
        <x:v>The Art &amp; Science of Foodpairing.pdf</x:v>
      </x:c>
      <x:c r="M262" s="28" t="str">
        <x:v>The Art &amp; Science of Foodpairing.pdf: 260–261</x:v>
      </x:c>
    </x:row>
    <x:row r="263" ht="64" customHeight="1">
      <x:c r="A263" s="28" t="str">
        <x:v>STN-0319</x:v>
      </x:c>
      <x:c r="B263" s="28" t="str">
        <x:v>нектарин</x:v>
      </x:c>
      <x:c r="C263" s="28" t="str">
        <x:v>нектарин</x:v>
      </x:c>
      <x:c r="D263" s="28" t="str">
        <x:v>отварной томатильо</x:v>
      </x:c>
      <x:c r="E263" s="28" t="str">
        <x:v>Овощи и корнеплоды</x:v>
      </x:c>
      <x:c r="F263" s="28" t="str">
        <x:v>прямое или классовое перекрытие характерных одорантов + вкусовой баланс</x:v>
      </x:c>
      <x:c r="G26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Отварной томатильо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6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63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63" s="28" t="str">
        <x:v>соус, глазировка, чатни, маринад, гарнир или основное блюдо</x:v>
      </x:c>
      <x:c r="K263" s="28" t="str">
        <x:v>Средняя</x:v>
      </x:c>
      <x:c r="L263" s="28" t="str">
        <x:v>The Art &amp; Science of Foodpairing.pdf</x:v>
      </x:c>
      <x:c r="M263" s="28" t="str">
        <x:v>The Art &amp; Science of Foodpairing.pdf: 260–261</x:v>
      </x:c>
    </x:row>
    <x:row r="264" ht="64" customHeight="1">
      <x:c r="A264" s="28" t="str">
        <x:v>STN-0320</x:v>
      </x:c>
      <x:c r="B264" s="28" t="str">
        <x:v>нектарин</x:v>
      </x:c>
      <x:c r="C264" s="28" t="str">
        <x:v>нектарин</x:v>
      </x:c>
      <x:c r="D264" s="28" t="str">
        <x:v>отварные бобы</x:v>
      </x:c>
      <x:c r="E264" s="28" t="str">
        <x:v>Овощи и корнеплоды</x:v>
      </x:c>
      <x:c r="F264" s="28" t="str">
        <x:v>прямое или классовое перекрытие характерных одорантов + вкусовой баланс</x:v>
      </x:c>
      <x:c r="G26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Отварные бобы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6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6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64" s="28" t="str">
        <x:v>соус, глазировка, чатни, маринад, гарнир или основное блюдо</x:v>
      </x:c>
      <x:c r="K264" s="28" t="str">
        <x:v>Средняя</x:v>
      </x:c>
      <x:c r="L264" s="28" t="str">
        <x:v>The Art &amp; Science of Foodpairing.pdf</x:v>
      </x:c>
      <x:c r="M264" s="28" t="str">
        <x:v>The Art &amp; Science of Foodpairing.pdf: 260–261</x:v>
      </x:c>
    </x:row>
    <x:row r="265" ht="64" customHeight="1">
      <x:c r="A265" s="28" t="str">
        <x:v>STN-0321</x:v>
      </x:c>
      <x:c r="B265" s="28" t="str">
        <x:v>нектарин</x:v>
      </x:c>
      <x:c r="C265" s="28" t="str">
        <x:v>нектарин</x:v>
      </x:c>
      <x:c r="D265" s="28" t="str">
        <x:v>пастернак</x:v>
      </x:c>
      <x:c r="E265" s="28" t="str">
        <x:v>Прочее</x:v>
      </x:c>
      <x:c r="F265" s="28" t="str">
        <x:v>комплементарность ароматических семейств, вкусовой контраст и матричный эффект</x:v>
      </x:c>
      <x:c r="G26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Пастернак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важны вода, жир, белок, сахар и температура.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26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26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65" s="28" t="str">
        <x:v>напиток, соус, десерт или горячее блюдо после пробной дегустации</x:v>
      </x:c>
      <x:c r="K265" s="28" t="str">
        <x:v>Средняя</x:v>
      </x:c>
      <x:c r="L265" s="28" t="str">
        <x:v>The Art &amp; Science of Foodpairing.pdf</x:v>
      </x:c>
      <x:c r="M265" s="28" t="str">
        <x:v>The Art &amp; Science of Foodpairing.pdf: 260–261</x:v>
      </x:c>
    </x:row>
    <x:row r="266" ht="64" customHeight="1">
      <x:c r="A266" s="28" t="str">
        <x:v>STN-0323</x:v>
      </x:c>
      <x:c r="B266" s="28" t="str">
        <x:v>нектарин</x:v>
      </x:c>
      <x:c r="C266" s="28" t="str">
        <x:v>нектарин</x:v>
      </x:c>
      <x:c r="D266" s="28" t="str">
        <x:v>перец рокото</x:v>
      </x:c>
      <x:c r="E266" s="28" t="str">
        <x:v>Специи и острые компоненты</x:v>
      </x:c>
      <x:c r="F266" s="28" t="str">
        <x:v>комплементарность ароматических семейств, вкусовой контраст и матричный эффект</x:v>
      </x:c>
      <x:c r="G26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Перец рокото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266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266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66" s="28" t="str">
        <x:v>напиток, соус, десерт или горячее блюдо после пробной дегустации</x:v>
      </x:c>
      <x:c r="K266" s="28" t="str">
        <x:v>Средняя</x:v>
      </x:c>
      <x:c r="L266" s="28" t="str">
        <x:v>The Art &amp; Science of Foodpairing.pdf</x:v>
      </x:c>
      <x:c r="M266" s="28" t="str">
        <x:v>The Art &amp; Science of Foodpairing.pdf: 260–261</x:v>
      </x:c>
    </x:row>
    <x:row r="267" ht="64" customHeight="1">
      <x:c r="A267" s="28" t="str">
        <x:v>STN-0324</x:v>
      </x:c>
      <x:c r="B267" s="28" t="str">
        <x:v>нектарин</x:v>
      </x:c>
      <x:c r="C267" s="28" t="str">
        <x:v>нектарин</x:v>
      </x:c>
      <x:c r="D267" s="28" t="str">
        <x:v>перец урфа</x:v>
      </x:c>
      <x:c r="E267" s="28" t="str">
        <x:v>Специи и острые компоненты</x:v>
      </x:c>
      <x:c r="F267" s="28" t="str">
        <x:v>комплементарность ароматических семейств, вкусовой контраст и матричный эффект</x:v>
      </x:c>
      <x:c r="G26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Перец урфа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ароматические масла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267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267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67" s="28" t="str">
        <x:v>напиток, соус, десерт или горячее блюдо после пробной дегустации</x:v>
      </x:c>
      <x:c r="K267" s="28" t="str">
        <x:v>Средняя</x:v>
      </x:c>
      <x:c r="L267" s="28" t="str">
        <x:v>The Art &amp; Science of Foodpairing.pdf</x:v>
      </x:c>
      <x:c r="M267" s="28" t="str">
        <x:v>The Art &amp; Science of Foodpairing.pdf: 260–261</x:v>
      </x:c>
    </x:row>
    <x:row r="268" ht="64" customHeight="1">
      <x:c r="A268" s="28" t="str">
        <x:v>STN-0325</x:v>
      </x:c>
      <x:c r="B268" s="28" t="str">
        <x:v>нектарин</x:v>
      </x:c>
      <x:c r="C268" s="28" t="str">
        <x:v>нектарин</x:v>
      </x:c>
      <x:c r="D268" s="28" t="str">
        <x:v>приготовленный black salsify</x:v>
      </x:c>
      <x:c r="E268" s="28" t="str">
        <x:v>Прочее</x:v>
      </x:c>
      <x:c r="F268" s="28" t="str">
        <x:v>комплементарность ароматических семейств, вкусовой контраст и матричный эффект</x:v>
      </x:c>
      <x:c r="G26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Приготовленный black salsify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6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6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68" s="28" t="str">
        <x:v>напиток, соус, десерт или горячее блюдо после пробной дегустации</x:v>
      </x:c>
      <x:c r="K268" s="28" t="str">
        <x:v>Средняя</x:v>
      </x:c>
      <x:c r="L268" s="28" t="str">
        <x:v>The Art &amp; Science of Foodpairing.pdf</x:v>
      </x:c>
      <x:c r="M268" s="28" t="str">
        <x:v>The Art &amp; Science of Foodpairing.pdf: 260–261</x:v>
      </x:c>
    </x:row>
    <x:row r="269" ht="64" customHeight="1">
      <x:c r="A269" s="28" t="str">
        <x:v>STN-0326</x:v>
      </x:c>
      <x:c r="B269" s="28" t="str">
        <x:v>нектарин</x:v>
      </x:c>
      <x:c r="C269" s="28" t="str">
        <x:v>нектарин</x:v>
      </x:c>
      <x:c r="D269" s="28" t="str">
        <x:v>припущенный тюрбо</x:v>
      </x:c>
      <x:c r="E269" s="28" t="str">
        <x:v>Рыба и морепродукты</x:v>
      </x:c>
      <x:c r="F269" s="28" t="str">
        <x:v>комплементарность ароматических семейств, вкусовой контраст и матричный эффект</x:v>
      </x:c>
      <x:c r="G26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Припущенный тюрбо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6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69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69" s="28" t="str">
        <x:v>соус, глазировка, чатни, маринад, гарнир или основное блюдо</x:v>
      </x:c>
      <x:c r="K269" s="28" t="str">
        <x:v>Средняя</x:v>
      </x:c>
      <x:c r="L269" s="28" t="str">
        <x:v>The Art &amp; Science of Foodpairing.pdf</x:v>
      </x:c>
      <x:c r="M269" s="28" t="str">
        <x:v>The Art &amp; Science of Foodpairing.pdf: 260–261</x:v>
      </x:c>
    </x:row>
    <x:row r="270" ht="64" customHeight="1">
      <x:c r="A270" s="28" t="str">
        <x:v>STN-0327</x:v>
      </x:c>
      <x:c r="B270" s="28" t="str">
        <x:v>нектарин</x:v>
      </x:c>
      <x:c r="C270" s="28" t="str">
        <x:v>нектарин</x:v>
      </x:c>
      <x:c r="D270" s="28" t="str">
        <x:v>прошутто сан-даниэле</x:v>
      </x:c>
      <x:c r="E270" s="28" t="str">
        <x:v>Мясо и птица</x:v>
      </x:c>
      <x:c r="F270" s="28" t="str">
        <x:v>комплементарность ароматических семейств, вкусовой контраст и матричный эффект</x:v>
      </x:c>
      <x:c r="G27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Прошутто сан-даниэле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H270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I270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70" s="28" t="str">
        <x:v>соус, глазировка, чатни, маринад, гарнир или основное блюдо</x:v>
      </x:c>
      <x:c r="K270" s="28" t="str">
        <x:v>Средняя</x:v>
      </x:c>
      <x:c r="L270" s="28" t="str">
        <x:v>The Art &amp; Science of Foodpairing.pdf</x:v>
      </x:c>
      <x:c r="M270" s="28" t="str">
        <x:v>The Art &amp; Science of Foodpairing.pdf: 260–261</x:v>
      </x:c>
    </x:row>
    <x:row r="271" ht="64" customHeight="1">
      <x:c r="A271" s="28" t="str">
        <x:v>STN-0328</x:v>
      </x:c>
      <x:c r="B271" s="28" t="str">
        <x:v>нектарин</x:v>
      </x:c>
      <x:c r="C271" s="28" t="str">
        <x:v>нектарин</x:v>
      </x:c>
      <x:c r="D271" s="28" t="str">
        <x:v>радиккьо</x:v>
      </x:c>
      <x:c r="E271" s="28" t="str">
        <x:v>Овощи и корнеплоды</x:v>
      </x:c>
      <x:c r="F271" s="28" t="str">
        <x:v>прямое или классовое перекрытие характерных одорантов + вкусовой баланс</x:v>
      </x:c>
      <x:c r="G27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Радиккьо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7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7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1" s="28" t="str">
        <x:v>соус, глазировка, чатни, маринад, гарнир или основное блюдо</x:v>
      </x:c>
      <x:c r="K271" s="28" t="str">
        <x:v>Средняя</x:v>
      </x:c>
      <x:c r="L271" s="28" t="str">
        <x:v>The Art &amp; Science of Foodpairing.pdf</x:v>
      </x:c>
      <x:c r="M271" s="28" t="str">
        <x:v>The Art &amp; Science of Foodpairing.pdf: 260–261</x:v>
      </x:c>
    </x:row>
    <x:row r="272" ht="64" customHeight="1">
      <x:c r="A272" s="28" t="str">
        <x:v>STN-0329</x:v>
      </x:c>
      <x:c r="B272" s="28" t="str">
        <x:v>нектарин</x:v>
      </x:c>
      <x:c r="C272" s="28" t="str">
        <x:v>нектарин</x:v>
      </x:c>
      <x:c r="D272" s="28" t="str">
        <x:v>розмарин</x:v>
      </x:c>
      <x:c r="E272" s="28" t="str">
        <x:v>Травы и цветы</x:v>
      </x:c>
      <x:c r="F272" s="28" t="str">
        <x:v>комплементарность ароматических семейств, вкусовой контраст и матричный эффект</x:v>
      </x:c>
      <x:c r="G27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Розмарин относится к группе «Травы и цветы» и даёт профиль «хвойный, камфорный и древесный»; типичные соединения или классы: 1,8-цинеол, камфора, α-пинен.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7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7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2" s="28" t="str">
        <x:v>напиток, соус, десерт или горячее блюдо после пробной дегустации</x:v>
      </x:c>
      <x:c r="K272" s="28" t="str">
        <x:v>Гипотеза / практическая</x:v>
      </x:c>
      <x:c r="L272" s="28" t="str">
        <x:v>Таблица сочетания(1).pdf</x:v>
      </x:c>
      <x:c r="M272" s="28" t="str">
        <x:v>Таблица сочетания(1).pdf: 14</x:v>
      </x:c>
    </x:row>
    <x:row r="273" ht="64" customHeight="1">
      <x:c r="A273" s="28" t="str">
        <x:v>STN-0330</x:v>
      </x:c>
      <x:c r="B273" s="28" t="str">
        <x:v>нектарин</x:v>
      </x:c>
      <x:c r="C273" s="28" t="str">
        <x:v>нектарин</x:v>
      </x:c>
      <x:c r="D273" s="28" t="str">
        <x:v>салями милано</x:v>
      </x:c>
      <x:c r="E273" s="28" t="str">
        <x:v>Мясо и птица</x:v>
      </x:c>
      <x:c r="F273" s="28" t="str">
        <x:v>комплементарность ароматических семейств, вкусовой контраст и матричный эффект</x:v>
      </x:c>
      <x:c r="G27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Салями милано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водно-пектиновая; гидрофобные лактоны лучше проявляются в жире и этаноле. Партнёр: жир удерживает фруктовые лактоны; белок смягчает кислотность. Обработка: 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H273" s="28" t="str">
        <x:v>нагрев делает профиль джемовым и сглаживает различия между нектарином и персиком. Обжарка создаёт пиразины и фураны; фруктовый компонент лучше добавлять как глазировку или соус ближе к завершению.</x:v>
      </x:c>
      <x:c r="I273" s="28" t="str">
        <x:v>не перегревать и не переслащивать; иначе исчезает свежая фруктовая детализация. Избыток сахара делает соус липким и скрывает умами; кислоту и соль корректируют после уваривания.</x:v>
      </x:c>
      <x:c r="J273" s="28" t="str">
        <x:v>соус, глазировка, чатни, маринад, гарнир или основное блюдо</x:v>
      </x:c>
      <x:c r="K273" s="28" t="str">
        <x:v>Средняя</x:v>
      </x:c>
      <x:c r="L273" s="28" t="str">
        <x:v>The Art &amp; Science of Foodpairing.pdf</x:v>
      </x:c>
      <x:c r="M273" s="28" t="str">
        <x:v>The Art &amp; Science of Foodpairing.pdf: 260–261</x:v>
      </x:c>
    </x:row>
    <x:row r="274" ht="64" customHeight="1">
      <x:c r="A274" s="28" t="str">
        <x:v>STN-0331</x:v>
      </x:c>
      <x:c r="B274" s="28" t="str">
        <x:v>нектарин</x:v>
      </x:c>
      <x:c r="C274" s="28" t="str">
        <x:v>нектарин</x:v>
      </x:c>
      <x:c r="D274" s="28" t="str">
        <x:v>свиная корейка</x:v>
      </x:c>
      <x:c r="E274" s="28" t="str">
        <x:v>Прочее</x:v>
      </x:c>
      <x:c r="F274" s="28" t="str">
        <x:v>комплементарность ароматических семейств, вкусовой контраст и матричный эффект</x:v>
      </x:c>
      <x:c r="G27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баланс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матрица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7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7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4" s="28" t="str">
        <x:v>напиток, соус, десерт или горячее блюдо после пробной дегустации</x:v>
      </x:c>
      <x:c r="K274" s="28" t="str">
        <x:v>Средняя</x:v>
      </x:c>
      <x:c r="L274" s="28" t="str">
        <x:v>The Art &amp; Science of Foodpairing.pdf</x:v>
      </x:c>
      <x:c r="M274" s="28" t="str">
        <x:v>The Art &amp; Science of Foodpairing.pdf: 187 | The Art &amp; Science of Foodpairing.pdf: 189</x:v>
      </x:c>
    </x:row>
    <x:row r="275" ht="64" customHeight="1">
      <x:c r="A275" s="28" t="str">
        <x:v>STN-0332</x:v>
      </x:c>
      <x:c r="B275" s="28" t="str">
        <x:v>нектарин</x:v>
      </x:c>
      <x:c r="C275" s="28" t="str">
        <x:v>нектарин</x:v>
      </x:c>
      <x:c r="D275" s="28" t="str">
        <x:v>сельдерей</x:v>
      </x:c>
      <x:c r="E275" s="28" t="str">
        <x:v>Овощи и бобовые</x:v>
      </x:c>
      <x:c r="F275" s="28" t="str">
        <x:v>прямое или классовое перекрытие характерных одорантов + вкусовой баланс</x:v>
      </x:c>
      <x:c r="G27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Сельдерей относится к группе «Овощи и бобовые» и даёт профиль «зелёный, землистый, сернистый, сладковатый или травянистый»; типичные соединения или классы: C6-альдегиды, метоксипиразины, сернистые соединения, геосмин.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варьирует от сладости до горечи, умами и крахмалистости.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водная, волокнистая или крахмальная.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H275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жарка и запекание увеличивают сладость и Майяр; варка может усилить сернистые ноты.</x:v>
      </x:c>
      <x:c r="I27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5" s="28" t="str">
        <x:v>напиток, соус, десерт или горячее блюдо после пробной дегустации</x:v>
      </x:c>
      <x:c r="K275" s="28" t="str">
        <x:v>Средняя</x:v>
      </x:c>
      <x:c r="L275" s="28" t="str">
        <x:v>The Art &amp; Science of Foodpairing.pdf</x:v>
      </x:c>
      <x:c r="M275" s="28" t="str">
        <x:v>The Art &amp; Science of Foodpairing.pdf: 260–261</x:v>
      </x:c>
    </x:row>
    <x:row r="276" ht="64" customHeight="1">
      <x:c r="A276" s="28" t="str">
        <x:v>STN-0333</x:v>
      </x:c>
      <x:c r="B276" s="28" t="str">
        <x:v>нектарин</x:v>
      </x:c>
      <x:c r="C276" s="28" t="str">
        <x:v>нектарин</x:v>
      </x:c>
      <x:c r="D276" s="28" t="str">
        <x:v>семена кардамона</x:v>
      </x:c>
      <x:c r="E276" s="28" t="str">
        <x:v>Специи</x:v>
      </x:c>
      <x:c r="F276" s="28" t="str">
        <x:v>комплементарность ароматических семейств, вкусовой контраст и матричный эффект</x:v>
      </x:c>
      <x:c r="G27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Семена кардамона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пряный, иногда горький.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хорошо извлекаются спиртом и жиром.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7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7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6" s="28" t="str">
        <x:v>напиток, соус, десерт или горячее блюдо после пробной дегустации</x:v>
      </x:c>
      <x:c r="K276" s="28" t="str">
        <x:v>Средняя</x:v>
      </x:c>
      <x:c r="L276" s="28" t="str">
        <x:v>The Art &amp; Science of Foodpairing.pdf</x:v>
      </x:c>
      <x:c r="M276" s="28" t="str">
        <x:v>The Art &amp; Science of Foodpairing.pdf: 257</x:v>
      </x:c>
    </x:row>
    <x:row r="277" ht="64" customHeight="1">
      <x:c r="A277" s="28" t="str">
        <x:v>STN-0334</x:v>
      </x:c>
      <x:c r="B277" s="28" t="str">
        <x:v>нектарин</x:v>
      </x:c>
      <x:c r="C277" s="28" t="str">
        <x:v>нектарин</x:v>
      </x:c>
      <x:c r="D277" s="28" t="str">
        <x:v>скрэмбл</x:v>
      </x:c>
      <x:c r="E277" s="28" t="str">
        <x:v>Прочее</x:v>
      </x:c>
      <x:c r="F277" s="28" t="str">
        <x:v>комплементарность ароматических семейств, вкусовой контраст и матричный эффект</x:v>
      </x:c>
      <x:c r="G27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Скрэмбл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27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27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7" s="28" t="str">
        <x:v>напиток, соус, десерт или горячее блюдо после пробной дегустации</x:v>
      </x:c>
      <x:c r="K277" s="28" t="str">
        <x:v>Средняя</x:v>
      </x:c>
      <x:c r="L277" s="28" t="str">
        <x:v>The Art &amp; Science of Foodpairing.pdf</x:v>
      </x:c>
      <x:c r="M277" s="28" t="str">
        <x:v>The Art &amp; Science of Foodpairing.pdf: 260–261</x:v>
      </x:c>
    </x:row>
    <x:row r="278" ht="64" customHeight="1">
      <x:c r="A278" s="28" t="str">
        <x:v>STN-0335</x:v>
      </x:c>
      <x:c r="B278" s="28" t="str">
        <x:v>нектарин</x:v>
      </x:c>
      <x:c r="C278" s="28" t="str">
        <x:v>нектарин</x:v>
      </x:c>
      <x:c r="D278" s="28" t="str">
        <x:v>слива</x:v>
      </x:c>
      <x:c r="E278" s="28" t="str">
        <x:v>Косточковые фрукты</x:v>
      </x:c>
      <x:c r="F278" s="28" t="str">
        <x:v>прямое или классовое перекрытие характерных одорантов + вкусовой баланс</x:v>
      </x:c>
      <x:c r="G27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Слива относится к группе «Косточковые фрукты» и даёт профиль «винно-фруктовый, цветочный, зелёный, пряный, миндальный; от свежего до тёмно-джемового»; типичные соединения или классы: фруктовые эфиры, γ- и δ-лактоны, бензальдегид, линалоол, C6-альдегиды, дамасконы. В рабочих профилях пересекаются: бензальдегид, линалоол, c6-альдегиды, фруктовые эфиры. Общие ароматические направления: цветочный, фруктовый,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 и заметная яблочно-лимонная кислотность; кожица часто терпкая.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сочная пектиновая мякоть; кожица богата полифенолами; аромат хорошо работает в воде, сахаре 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H27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нагрев усиливает джем, сухофрукты, специи и карамель; ферментация создаёт винные и эфирные ноты.</x:v>
      </x:c>
      <x:c r="I27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8" s="28" t="str">
        <x:v>напиток, соус, десерт или горячее блюдо после пробной дегустации</x:v>
      </x:c>
      <x:c r="K278" s="28" t="str">
        <x:v>Гипотеза / практическая</x:v>
      </x:c>
      <x:c r="L278" s="28" t="str">
        <x:v>Таблица сочетания(1).pdf</x:v>
      </x:c>
      <x:c r="M278" s="28" t="str">
        <x:v>Таблица сочетания(1).pdf: 14 | Таблица сочетания(1).pdf: 17</x:v>
      </x:c>
    </x:row>
    <x:row r="279" ht="64" customHeight="1">
      <x:c r="A279" s="28" t="str">
        <x:v>STN-0336</x:v>
      </x:c>
      <x:c r="B279" s="28" t="str">
        <x:v>нектарин</x:v>
      </x:c>
      <x:c r="C279" s="28" t="str">
        <x:v>нектарин</x:v>
      </x:c>
      <x:c r="D279" s="28" t="str">
        <x:v>сок яблока кешью</x:v>
      </x:c>
      <x:c r="E279" s="28" t="str">
        <x:v>Фрукты</x:v>
      </x:c>
      <x:c r="F279" s="28" t="str">
        <x:v>прямое или классовое перекрытие характерных одорантов + вкусовой баланс</x:v>
      </x:c>
      <x:c r="G27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Сок яблока кешью относится к группе «Фрукты» и даёт профиль «фруктовый, цветочный, зелёный или тропический»; типичные соединения или классы: фруктовые эфиры, терпены, альдегиды и лактоны. В рабочих профилях пересекаются: фруктовые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водно-пектиновая; гидрофобные лактоны лучше проявляются в жире и этаноле. Партнёр: преимущественно водно-пектиновая матрица.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7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7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79" s="28" t="str">
        <x:v>сорбет, салат, джем, кордиал, лимонад, коктейль или фруктовый соус</x:v>
      </x:c>
      <x:c r="K279" s="28" t="str">
        <x:v>Средняя</x:v>
      </x:c>
      <x:c r="L279" s="28" t="str">
        <x:v>The Art &amp; Science of Foodpairing.pdf</x:v>
      </x:c>
      <x:c r="M279" s="28" t="str">
        <x:v>The Art &amp; Science of Foodpairing.pdf: 260–261</x:v>
      </x:c>
    </x:row>
    <x:row r="280" ht="64" customHeight="1">
      <x:c r="A280" s="28" t="str">
        <x:v>STN-0337</x:v>
      </x:c>
      <x:c r="B280" s="28" t="str">
        <x:v>нектарин</x:v>
      </x:c>
      <x:c r="C280" s="28" t="str">
        <x:v>нектарин</x:v>
      </x:c>
      <x:c r="D280" s="28" t="str">
        <x:v>сушеная вешенка</x:v>
      </x:c>
      <x:c r="E280" s="28" t="str">
        <x:v>Прочее</x:v>
      </x:c>
      <x:c r="F280" s="28" t="str">
        <x:v>комплементарность ароматических семейств, вкусовой контраст и матричный эффект</x:v>
      </x:c>
      <x:c r="G28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Сушеная вешенка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28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28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80" s="28" t="str">
        <x:v>напиток, соус, десерт или горячее блюдо после пробной дегустации</x:v>
      </x:c>
      <x:c r="K280" s="28" t="str">
        <x:v>Средняя</x:v>
      </x:c>
      <x:c r="L280" s="28" t="str">
        <x:v>The Art &amp; Science of Foodpairing.pdf</x:v>
      </x:c>
      <x:c r="M280" s="28" t="str">
        <x:v>The Art &amp; Science of Foodpairing.pdf: 260–261</x:v>
      </x:c>
    </x:row>
    <x:row r="281" ht="64" customHeight="1">
      <x:c r="A281" s="28" t="str">
        <x:v>STN-0339</x:v>
      </x:c>
      <x:c r="B281" s="28" t="str">
        <x:v>нектарин</x:v>
      </x:c>
      <x:c r="C281" s="28" t="str">
        <x:v>нектарин</x:v>
      </x:c>
      <x:c r="D281" s="28" t="str">
        <x:v>сушеные белые грибы</x:v>
      </x:c>
      <x:c r="E281" s="28" t="str">
        <x:v>Грибы и трюфели</x:v>
      </x:c>
      <x:c r="F281" s="28" t="str">
        <x:v>комплементарность ароматических семейств, вкусовой контраст и матричный эффект</x:v>
      </x:c>
      <x:c r="G28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белые грибы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умами и лёгкая горечь.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вода и клетчатка; обжарка создаёт новые жареные молекулы.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8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8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81" s="28" t="str">
        <x:v>соус, глазировка, чатни, маринад, гарнир или основное блюдо</x:v>
      </x:c>
      <x:c r="K281" s="28" t="str">
        <x:v>Средняя</x:v>
      </x:c>
      <x:c r="L281" s="28" t="str">
        <x:v>The Art &amp; Science of Foodpairing.pdf</x:v>
      </x:c>
      <x:c r="M281" s="28" t="str">
        <x:v>The Art &amp; Science of Foodpairing.pdf: 260–261</x:v>
      </x:c>
    </x:row>
    <x:row r="282" ht="64" customHeight="1">
      <x:c r="A282" s="28" t="str">
        <x:v>STN-0340</x:v>
      </x:c>
      <x:c r="B282" s="28" t="str">
        <x:v>нектарин</x:v>
      </x:c>
      <x:c r="C282" s="28" t="str">
        <x:v>нектарин</x:v>
      </x:c>
      <x:c r="D282" s="28" t="str">
        <x:v>сушеные листья тмина</x:v>
      </x:c>
      <x:c r="E282" s="28" t="str">
        <x:v>Прочее</x:v>
      </x:c>
      <x:c r="F282" s="28" t="str">
        <x:v>комплементарность ароматических семейств, вкусовой контраст и матричный эффект</x:v>
      </x:c>
      <x:c r="G28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листья тмина относится к группе «Прочее» и даёт профиль «нейтральный/специфический»; типичные соединения или классы: нужен профиль конкретного продукта.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продукта.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зависит от формы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H28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Для точного молекулярного вывода нужен профиль конкретного ингредиента и способа обработки..</x:v>
      </x:c>
      <x:c r="I28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82" s="28" t="str">
        <x:v>напиток, соус, десерт или горячее блюдо после пробной дегустации</x:v>
      </x:c>
      <x:c r="K282" s="28" t="str">
        <x:v>Средняя</x:v>
      </x:c>
      <x:c r="L282" s="28" t="str">
        <x:v>The Art &amp; Science of Foodpairing.pdf</x:v>
      </x:c>
      <x:c r="M282" s="28" t="str">
        <x:v>The Art &amp; Science of Foodpairing.pdf: 260–261</x:v>
      </x:c>
    </x:row>
    <x:row r="283" ht="64" customHeight="1">
      <x:c r="A283" s="28" t="str">
        <x:v>STN-0341</x:v>
      </x:c>
      <x:c r="B283" s="28" t="str">
        <x:v>нектарин</x:v>
      </x:c>
      <x:c r="C283" s="28" t="str">
        <x:v>нектарин</x:v>
      </x:c>
      <x:c r="D283" s="28" t="str">
        <x:v>сушеные семена черного тмина</x:v>
      </x:c>
      <x:c r="E283" s="28" t="str">
        <x:v>Специи и острые компоненты</x:v>
      </x:c>
      <x:c r="F283" s="28" t="str">
        <x:v>комплементарность ароматических семейств, вкусовой контраст и матричный эффект</x:v>
      </x:c>
      <x:c r="G28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семена черного тмина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283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283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83" s="28" t="str">
        <x:v>напиток, соус, десерт или горячее блюдо после пробной дегустации</x:v>
      </x:c>
      <x:c r="K283" s="28" t="str">
        <x:v>Средняя</x:v>
      </x:c>
      <x:c r="L283" s="28" t="str">
        <x:v>The Art &amp; Science of Foodpairing.pdf</x:v>
      </x:c>
      <x:c r="M283" s="28" t="str">
        <x:v>The Art &amp; Science of Foodpairing.pdf: 260–261</x:v>
      </x:c>
    </x:row>
    <x:row r="284" ht="64" customHeight="1">
      <x:c r="A284" s="28" t="str">
        <x:v>STN-0342</x:v>
      </x:c>
      <x:c r="B284" s="28" t="str">
        <x:v>нектарин</x:v>
      </x:c>
      <x:c r="C284" s="28" t="str">
        <x:v>нектарин</x:v>
      </x:c>
      <x:c r="D284" s="28" t="str">
        <x:v>сушеные цветы сакуры</x:v>
      </x:c>
      <x:c r="E284" s="28" t="str">
        <x:v>Травы, листья и цветы</x:v>
      </x:c>
      <x:c r="F284" s="28" t="str">
        <x:v>прямое или классовое перекрытие характерных одорантов + вкусовой баланс</x:v>
      </x:c>
      <x:c r="G28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Сушеные цветы сакуры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284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28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84" s="28" t="str">
        <x:v>напиток, соус, десерт или горячее блюдо после пробной дегустации</x:v>
      </x:c>
      <x:c r="K284" s="28" t="str">
        <x:v>Средняя</x:v>
      </x:c>
      <x:c r="L284" s="28" t="str">
        <x:v>The Art &amp; Science of Foodpairing.pdf</x:v>
      </x:c>
      <x:c r="M284" s="28" t="str">
        <x:v>The Art &amp; Science of Foodpairing.pdf: 260–261</x:v>
      </x:c>
    </x:row>
    <x:row r="285" ht="64" customHeight="1">
      <x:c r="A285" s="28" t="str">
        <x:v>STN-0344</x:v>
      </x:c>
      <x:c r="B285" s="28" t="str">
        <x:v>нектарин</x:v>
      </x:c>
      <x:c r="C285" s="28" t="str">
        <x:v>нектарин</x:v>
      </x:c>
      <x:c r="D285" s="28" t="str">
        <x:v>сычуаньский перец</x:v>
      </x:c>
      <x:c r="E285" s="28" t="str">
        <x:v>Специи и острые компоненты</x:v>
      </x:c>
      <x:c r="F285" s="28" t="str">
        <x:v>комплементарность ароматических семейств, вкусовой контраст и матричный эффект</x:v>
      </x:c>
      <x:c r="G28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Сычуаньский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водно-пектиновая; гидрофобные лактоны лучше проявляются в жире и этаноле. Партнёр: гидрофобные молекулы хорошо переходят в жир и этанол. Обработка: 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H285" s="28" t="str">
        <x:v>нагрев делает профиль джемовым и сглаживает различия между нектарином и персиком. Краткая инфузия сохраняет детализацию; длительный нагрев и настаивание повышают горечь и остроту.</x:v>
      </x:c>
      <x:c r="I285" s="28" t="str">
        <x:v>не перегревать и не переслащивать; иначе исчезает свежая фруктовая детализация. Специя легко доминирует; начинайте с низкой дозировки и учитывайте рост остроты после выдержки.</x:v>
      </x:c>
      <x:c r="J285" s="28" t="str">
        <x:v>напиток, соус, десерт или горячее блюдо после пробной дегустации</x:v>
      </x:c>
      <x:c r="K285" s="28" t="str">
        <x:v>Средняя</x:v>
      </x:c>
      <x:c r="L285" s="28" t="str">
        <x:v>The Art &amp; Science of Foodpairing.pdf</x:v>
      </x:c>
      <x:c r="M285" s="28" t="str">
        <x:v>The Art &amp; Science of Foodpairing.pdf: 260–261</x:v>
      </x:c>
    </x:row>
    <x:row r="286" ht="64" customHeight="1">
      <x:c r="A286" s="28" t="str">
        <x:v>STN-0345</x:v>
      </x:c>
      <x:c r="B286" s="28" t="str">
        <x:v>нектарин</x:v>
      </x:c>
      <x:c r="C286" s="28" t="str">
        <x:v>нектарин</x:v>
      </x:c>
      <x:c r="D286" s="28" t="str">
        <x:v>таитянская ваниль</x:v>
      </x:c>
      <x:c r="E286" s="28" t="str">
        <x:v>Прочее</x:v>
      </x:c>
      <x:c r="F286" s="28" t="str">
        <x:v>комплементарность ароматических семейств, вкусовой контраст и матричный эффект</x:v>
      </x:c>
      <x:c r="G28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Таитянская ваниль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зависит от ингредиента.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механизм зависит от конкретного продукта.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28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28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86" s="28" t="str">
        <x:v>напиток, соус, десерт или горячее блюдо после пробной дегустации</x:v>
      </x:c>
      <x:c r="K286" s="28" t="str">
        <x:v>Средняя</x:v>
      </x:c>
      <x:c r="L286" s="28" t="str">
        <x:v>The Art &amp; Science of Foodpairing.pdf</x:v>
      </x:c>
      <x:c r="M286" s="28" t="str">
        <x:v>The Art &amp; Science of Foodpairing.pdf: 260–261</x:v>
      </x:c>
    </x:row>
    <x:row r="287" ht="64" customHeight="1">
      <x:c r="A287" s="28" t="str">
        <x:v>STN-0346</x:v>
      </x:c>
      <x:c r="B287" s="28" t="str">
        <x:v>нектарин</x:v>
      </x:c>
      <x:c r="C287" s="28" t="str">
        <x:v>нектарин</x:v>
      </x:c>
      <x:c r="D287" s="28" t="str">
        <x:v>темный шоколад</x:v>
      </x:c>
      <x:c r="E287" s="28" t="str">
        <x:v>Чай, кофе и какао</x:v>
      </x:c>
      <x:c r="F287" s="28" t="str">
        <x:v>комплементарность ароматических семейств, вкусовой контраст и матричный эффект</x:v>
      </x:c>
      <x:c r="G28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Темный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горечь, терпкость и жареная сладость.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водные настои извлекают полифенолы; жир и сахар смягчают горечь.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28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28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87" s="28" t="str">
        <x:v>напиток, соус, десерт или горячее блюдо после пробной дегустации</x:v>
      </x:c>
      <x:c r="K287" s="28" t="str">
        <x:v>Высокая</x:v>
      </x:c>
      <x:c r="L287" s="28" t="str">
        <x:v>The Art &amp; Science of Foodpairing.pdf | Таблица сочетания(1).pdf</x:v>
      </x:c>
      <x:c r="M287" s="28" t="str">
        <x:v>Таблица сочетания(1).pdf: 14 | The Art &amp; Science of Foodpairing.pdf: 260–261</x:v>
      </x:c>
    </x:row>
    <x:row r="288" ht="64" customHeight="1">
      <x:c r="A288" s="28" t="str">
        <x:v>STN-0348</x:v>
      </x:c>
      <x:c r="B288" s="28" t="str">
        <x:v>нектарин</x:v>
      </x:c>
      <x:c r="C288" s="28" t="str">
        <x:v>нектарин</x:v>
      </x:c>
      <x:c r="D288" s="28" t="str">
        <x:v>томаты черри</x:v>
      </x:c>
      <x:c r="E288" s="28" t="str">
        <x:v>Овощи и корнеплоды</x:v>
      </x:c>
      <x:c r="F288" s="28" t="str">
        <x:v>прямое или классовое перекрытие характерных одорантов + вкусовой баланс</x:v>
      </x:c>
      <x:c r="G28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Томаты черри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8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8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88" s="28" t="str">
        <x:v>соус, глазировка, чатни, маринад, гарнир или основное блюдо</x:v>
      </x:c>
      <x:c r="K288" s="28" t="str">
        <x:v>Средняя</x:v>
      </x:c>
      <x:c r="L288" s="28" t="str">
        <x:v>The Art &amp; Science of Foodpairing.pdf</x:v>
      </x:c>
      <x:c r="M288" s="28" t="str">
        <x:v>The Art &amp; Science of Foodpairing.pdf: 260–261</x:v>
      </x:c>
    </x:row>
    <x:row r="289" ht="64" customHeight="1">
      <x:c r="A289" s="28" t="str">
        <x:v>STN-0349</x:v>
      </x:c>
      <x:c r="B289" s="28" t="str">
        <x:v>нектарин</x:v>
      </x:c>
      <x:c r="C289" s="28" t="str">
        <x:v>нектарин</x:v>
      </x:c>
      <x:c r="D289" s="28" t="str">
        <x:v>тушеная пикша</x:v>
      </x:c>
      <x:c r="E289" s="28" t="str">
        <x:v>Рыба и морепродукты</x:v>
      </x:c>
      <x:c r="F289" s="28" t="str">
        <x:v>комплементарность ароматических семейств, вкусовой контраст и матричный эффект</x:v>
      </x:c>
      <x:c r="G28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Тушеная пикша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8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89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89" s="28" t="str">
        <x:v>соус, глазировка, чатни, маринад, гарнир или основное блюдо</x:v>
      </x:c>
      <x:c r="K289" s="28" t="str">
        <x:v>Средняя</x:v>
      </x:c>
      <x:c r="L289" s="28" t="str">
        <x:v>The Art &amp; Science of Foodpairing.pdf</x:v>
      </x:c>
      <x:c r="M289" s="28" t="str">
        <x:v>The Art &amp; Science of Foodpairing.pdf: 260–261</x:v>
      </x:c>
    </x:row>
    <x:row r="290" ht="64" customHeight="1">
      <x:c r="A290" s="28" t="str">
        <x:v>STN-0350</x:v>
      </x:c>
      <x:c r="B290" s="28" t="str">
        <x:v>нектарин</x:v>
      </x:c>
      <x:c r="C290" s="28" t="str">
        <x:v>нектарин</x:v>
      </x:c>
      <x:c r="D290" s="28" t="str">
        <x:v>укроп</x:v>
      </x:c>
      <x:c r="E290" s="28" t="str">
        <x:v>Травы и цветы</x:v>
      </x:c>
      <x:c r="F290" s="28" t="str">
        <x:v>прямое или классовое перекрытие характерных одорантов + вкусовой баланс</x:v>
      </x:c>
      <x:c r="G29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9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9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90" s="28" t="str">
        <x:v>напиток, соус, десерт или горячее блюдо после пробной дегустации</x:v>
      </x:c>
      <x:c r="K290" s="28" t="str">
        <x:v>Средняя</x:v>
      </x:c>
      <x:c r="L290" s="28" t="str">
        <x:v>The Art &amp; Science of Foodpairing.pdf</x:v>
      </x:c>
      <x:c r="M290" s="28" t="str">
        <x:v>The Art &amp; Science of Foodpairing.pdf: 260–261</x:v>
      </x:c>
    </x:row>
    <x:row r="291" ht="64" customHeight="1">
      <x:c r="A291" s="28" t="str">
        <x:v>STN-0351</x:v>
      </x:c>
      <x:c r="B291" s="28" t="str">
        <x:v>нектарин</x:v>
      </x:c>
      <x:c r="C291" s="28" t="str">
        <x:v>нектарин</x:v>
      </x:c>
      <x:c r="D291" s="28" t="str">
        <x:v>устрица</x:v>
      </x:c>
      <x:c r="E291" s="28" t="str">
        <x:v>Рыба и морепродукты</x:v>
      </x:c>
      <x:c r="F291" s="28" t="str">
        <x:v>комплементарность ароматических семейств, вкусовой контраст и матричный эффект</x:v>
      </x:c>
      <x:c r="G29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Устрица относится к группе «Рыба и морепродукты» и даёт профиль «морской, минеральный, жирный, йодистый и иногда огуречный»; типичные соединения или классы: альдегиды полиненасыщенных жиров, триметиламин, бромфенолы.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белок чувствителен к кислоте и протеазам; жирная рыба лучше удерживает аромат.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кислота освежает, но длительный контакт меняет текстуру; перегрев усиливает рыбные ноты.</x:v>
      </x:c>
      <x:c r="H291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кислота освежает, но длительный контакт меняет текстуру; перегрев усиливает рыбные ноты.</x:v>
      </x:c>
      <x:c r="I291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91" s="28" t="str">
        <x:v>соус, глазировка, чатни, маринад, гарнир или основное блюдо</x:v>
      </x:c>
      <x:c r="K291" s="28" t="str">
        <x:v>Средняя</x:v>
      </x:c>
      <x:c r="L291" s="28" t="str">
        <x:v>The Art &amp; Science of Foodpairing.pdf</x:v>
      </x:c>
      <x:c r="M291" s="28" t="str">
        <x:v>The Art &amp; Science of Foodpairing.pdf: 368 | The Art &amp; Science of Foodpairing.pdf: 371</x:v>
      </x:c>
    </x:row>
    <x:row r="292" ht="64" customHeight="1">
      <x:c r="A292" s="28" t="str">
        <x:v>STN-0352</x:v>
      </x:c>
      <x:c r="B292" s="28" t="str">
        <x:v>нектарин</x:v>
      </x:c>
      <x:c r="C292" s="28" t="str">
        <x:v>нектарин</x:v>
      </x:c>
      <x:c r="D292" s="28" t="str">
        <x:v>филе скумбрии</x:v>
      </x:c>
      <x:c r="E292" s="28" t="str">
        <x:v>Рыба и морепродукты</x:v>
      </x:c>
      <x:c r="F292" s="28" t="str">
        <x:v>комплементарность ароматических семейств, вкусовой контраст и матричный эффект</x:v>
      </x:c>
      <x:c r="G29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Филе скумбрии относится к группе «Рыба и морепродукты» и даёт профиль «морской, йодистый, зелёный, жирный»; типичные соединения или классы: альдегиды окисления липидов, бромфенолы, диметилсульфид, умами-соединения. По доступным материалам нельзя уверенно свести совместимость к одной общей молекуле. Общие ароматические направления: зелёный.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кислота может денатурировать поверхностные белки; жир рыбы удерживает терпены.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H29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Цитрус уменьшает восприятие жирности и рыбных нот, усиливая свежесть и слюноотделение..</x:v>
      </x:c>
      <x:c r="I292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92" s="28" t="str">
        <x:v>соус, глазировка, чатни, маринад, гарнир или основное блюдо</x:v>
      </x:c>
      <x:c r="K292" s="28" t="str">
        <x:v>Средняя</x:v>
      </x:c>
      <x:c r="L292" s="28" t="str">
        <x:v>The Art &amp; Science of Foodpairing.pdf</x:v>
      </x:c>
      <x:c r="M292" s="28" t="str">
        <x:v>The Art &amp; Science of Foodpairing.pdf: 260–261</x:v>
      </x:c>
    </x:row>
    <x:row r="293" ht="64" customHeight="1">
      <x:c r="A293" s="28" t="str">
        <x:v>STN-0353</x:v>
      </x:c>
      <x:c r="B293" s="28" t="str">
        <x:v>нектарин</x:v>
      </x:c>
      <x:c r="C293" s="28" t="str">
        <x:v>нектарин</x:v>
      </x:c>
      <x:c r="D293" s="28" t="str">
        <x:v>филе трески</x:v>
      </x:c>
      <x:c r="E293" s="28" t="str">
        <x:v>Рыба и морепродукты</x:v>
      </x:c>
      <x:c r="F293" s="28" t="str">
        <x:v>комплементарность ароматических семейств, вкусовой контраст и матричный эффект</x:v>
      </x:c>
      <x:c r="G293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Филе трески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водно-пектиновая; гидрофобные лактоны лучше проявляются в жире и этаноле. Партнёр: водно-белковая матрица; жирная рыба лучше удерживает лактоны.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93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93" s="28" t="str">
        <x:v>не перегревать и не переслащивать; иначе исчезает свежая фруктовая детализация. Сильная сладость и длительный контакт с кислотой могут замаскировать морской вкус и изменить белковую текстуру.</x:v>
      </x:c>
      <x:c r="J293" s="28" t="str">
        <x:v>соус, глазировка, чатни, маринад, гарнир или основное блюдо</x:v>
      </x:c>
      <x:c r="K293" s="28" t="str">
        <x:v>Средняя</x:v>
      </x:c>
      <x:c r="L293" s="28" t="str">
        <x:v>The Art &amp; Science of Foodpairing.pdf</x:v>
      </x:c>
      <x:c r="M293" s="28" t="str">
        <x:v>The Art &amp; Science of Foodpairing.pdf: 260–261</x:v>
      </x:c>
    </x:row>
    <x:row r="294" ht="64" customHeight="1">
      <x:c r="A294" s="28" t="str">
        <x:v>STN-0354</x:v>
      </x:c>
      <x:c r="B294" s="28" t="str">
        <x:v>нектарин</x:v>
      </x:c>
      <x:c r="C294" s="28" t="str">
        <x:v>нектарин</x:v>
      </x:c>
      <x:c r="D294" s="28" t="str">
        <x:v>финик</x:v>
      </x:c>
      <x:c r="E294" s="28" t="str">
        <x:v>Сухофрукты и тропические плоды</x:v>
      </x:c>
      <x:c r="F294" s="28" t="str">
        <x:v>комплементарность ароматических семейств, вкусовой контраст и матричный эффект</x:v>
      </x:c>
      <x:c r="G294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Финик относится к группе «Сухофрукты и тропические плоды» и даёт профиль «медовый, карамельный, сухофруктовый, ореховый и пряный»; типичные соединения или классы: фураны, альдегиды Стреккера, фенольные соединения и продукты карамелизации.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очень высокая сладость, низкая кислотность.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плотная сахаристая и вязкая; хорошо связывает жир и специи.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H294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I294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94" s="28" t="str">
        <x:v>напиток, соус, десерт или горячее блюдо после пробной дегустации</x:v>
      </x:c>
      <x:c r="K294" s="28" t="str">
        <x:v>Гипотеза / практическая</x:v>
      </x:c>
      <x:c r="L294" s="28" t="str">
        <x:v>Таблица сочетания(1).pdf</x:v>
      </x:c>
      <x:c r="M294" s="28" t="str">
        <x:v>Таблица сочетания(1).pdf: Таблица сочетаний: 7 | Таблица сочетания(1).pdf: 7</x:v>
      </x:c>
    </x:row>
    <x:row r="295" ht="64" customHeight="1">
      <x:c r="A295" s="28" t="str">
        <x:v>STN-0357</x:v>
      </x:c>
      <x:c r="B295" s="28" t="str">
        <x:v>нектарин</x:v>
      </x:c>
      <x:c r="C295" s="28" t="str">
        <x:v>нектарин</x:v>
      </x:c>
      <x:c r="D295" s="28" t="str">
        <x:v>хвоя сосны</x:v>
      </x:c>
      <x:c r="E295" s="28" t="str">
        <x:v>Травы, листья и цветы</x:v>
      </x:c>
      <x:c r="F295" s="28" t="str">
        <x:v>прямое или классовое перекрытие характерных одорантов + вкусовой баланс</x:v>
      </x:c>
      <x:c r="G295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Хвоя сосны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295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295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95" s="28" t="str">
        <x:v>напиток, соус, десерт или горячее блюдо после пробной дегустации</x:v>
      </x:c>
      <x:c r="K295" s="28" t="str">
        <x:v>Средняя</x:v>
      </x:c>
      <x:c r="L295" s="28" t="str">
        <x:v>The Art &amp; Science of Foodpairing.pdf</x:v>
      </x:c>
      <x:c r="M295" s="28" t="str">
        <x:v>The Art &amp; Science of Foodpairing.pdf: 260–261</x:v>
      </x:c>
    </x:row>
    <x:row r="296" ht="64" customHeight="1">
      <x:c r="A296" s="28" t="str">
        <x:v>STN-0358</x:v>
      </x:c>
      <x:c r="B296" s="28" t="str">
        <x:v>нектарин</x:v>
      </x:c>
      <x:c r="C296" s="28" t="str">
        <x:v>нектарин</x:v>
      </x:c>
      <x:c r="D296" s="28" t="str">
        <x:v>хурма</x:v>
      </x:c>
      <x:c r="E296" s="28" t="str">
        <x:v>Субтропические фрукты</x:v>
      </x:c>
      <x:c r="F296" s="28" t="str">
        <x:v>прямое или классовое перекрытие характерных одорантов + вкусовой баланс</x:v>
      </x:c>
      <x:c r="G296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Хурма относится к группе «Субтропические фрукты» и даёт профиль «медовый, абрикосовый, цветочный, пряный и слегка тыквенный»; типичные соединения или классы: каротиноидные норизопреноиды, фруктовые эфиры, линалоол, C6-альдегиды. В рабочих профилях пересекаются: линалоол, c6-альдегиды, фруктовые эфиры. Общие ароматические направления: цветочный.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сладость; у вяжущих сортов много растворимых танинов.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пектиновая, мягкая и вязкая; зрелость резко меняет терпкость.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хурма сильно вяжет; с большим количеством дубильных партнёров сочетание становится сухим.</x:v>
      </x:c>
      <x:c r="H296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незрелая хурма сильно вяжет; с большим количеством дубильных партнёров сочетание становится сухим.</x:v>
      </x:c>
      <x:c r="I296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96" s="28" t="str">
        <x:v>напиток, соус, десерт или горячее блюдо после пробной дегустации</x:v>
      </x:c>
      <x:c r="K296" s="28" t="str">
        <x:v>Гипотеза / практическая</x:v>
      </x:c>
      <x:c r="L296" s="28" t="str">
        <x:v>Таблица сочетания(1).pdf</x:v>
      </x:c>
      <x:c r="M296" s="28" t="str">
        <x:v>Таблица сочетания(1).pdf: Таблица сочетаний: 16 | Таблица сочетания(1).pdf: 16</x:v>
      </x:c>
    </x:row>
    <x:row r="297" ht="64" customHeight="1">
      <x:c r="A297" s="28" t="str">
        <x:v>STN-0359</x:v>
      </x:c>
      <x:c r="B297" s="28" t="str">
        <x:v>нектарин</x:v>
      </x:c>
      <x:c r="C297" s="28" t="str">
        <x:v>нектарин</x:v>
      </x:c>
      <x:c r="D297" s="28" t="str">
        <x:v>цветы бузины</x:v>
      </x:c>
      <x:c r="E297" s="28" t="str">
        <x:v>Травы и цветы</x:v>
      </x:c>
      <x:c r="F297" s="28" t="str">
        <x:v>прямое или классовое перекрытие характерных одорантов + вкусовой баланс</x:v>
      </x:c>
      <x:c r="G297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Цветы бузины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эфирные масла гидрофобны и лучше раскрываются в жире или этаноле.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297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297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97" s="28" t="str">
        <x:v>напиток, соус, десерт или горячее блюдо после пробной дегустации</x:v>
      </x:c>
      <x:c r="K297" s="28" t="str">
        <x:v>Средняя</x:v>
      </x:c>
      <x:c r="L297" s="28" t="str">
        <x:v>The Art &amp; Science of Foodpairing.pdf</x:v>
      </x:c>
      <x:c r="M297" s="28" t="str">
        <x:v>The Art &amp; Science of Foodpairing.pdf: 260–261</x:v>
      </x:c>
    </x:row>
    <x:row r="298" ht="64" customHeight="1">
      <x:c r="A298" s="28" t="str">
        <x:v>STN-0360</x:v>
      </x:c>
      <x:c r="B298" s="28" t="str">
        <x:v>нектарин</x:v>
      </x:c>
      <x:c r="C298" s="28" t="str">
        <x:v>нектарин</x:v>
      </x:c>
      <x:c r="D298" s="28" t="str">
        <x:v>цикорий</x:v>
      </x:c>
      <x:c r="E298" s="28" t="str">
        <x:v>Овощи и корнеплоды</x:v>
      </x:c>
      <x:c r="F298" s="28" t="str">
        <x:v>прямое или классовое перекрытие характерных одорантов + вкусовой баланс</x:v>
      </x:c>
      <x:c r="G298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Цикорий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сладость, горечь, умами и вода.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водная и клетчаточная матрица; обжарка усиливает сладость и Майяр.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H298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</x:v>
      </x:c>
      <x:c r="I298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98" s="28" t="str">
        <x:v>соус, глазировка, чатни, маринад, гарнир или основное блюдо</x:v>
      </x:c>
      <x:c r="K298" s="28" t="str">
        <x:v>Средняя</x:v>
      </x:c>
      <x:c r="L298" s="28" t="str">
        <x:v>The Art &amp; Science of Foodpairing.pdf</x:v>
      </x:c>
      <x:c r="M298" s="28" t="str">
        <x:v>The Art &amp; Science of Foodpairing.pdf: 260–261</x:v>
      </x:c>
    </x:row>
    <x:row r="299" ht="64" customHeight="1">
      <x:c r="A299" s="28" t="str">
        <x:v>STN-0361</x:v>
      </x:c>
      <x:c r="B299" s="28" t="str">
        <x:v>нектарин</x:v>
      </x:c>
      <x:c r="C299" s="28" t="str">
        <x:v>нектарин</x:v>
      </x:c>
      <x:c r="D299" s="28" t="str">
        <x:v>черешня</x:v>
      </x:c>
      <x:c r="E299" s="28" t="str">
        <x:v>Ягоды и производные</x:v>
      </x:c>
      <x:c r="F299" s="28" t="str">
        <x:v>прямое или классовое перекрытие характерных одорантов + вкусовой баланс</x:v>
      </x:c>
      <x:c r="G299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Черешня относится к группе «Ягоды и производные» и даёт профиль «миндальный, сладко-фруктовый, цветочный»; типичные соединения или классы: бензальдегид, бета-дамасценон, эфиры. В рабочих профилях пересекаются: бензальдегид, эфиры. Общие ароматические направления: цветочный,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сладкий, умеренно кислый.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нежнее кислой вишни; легко становится приторной.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H299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Ягодный профиль: антоцианы в основном отвечают за цвет, а запах формируют летучие эфиры, терпены, иононы, фураноны и альдегиды..</x:v>
      </x:c>
      <x:c r="I299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299" s="28" t="str">
        <x:v>напиток, соус, десерт или горячее блюдо после пробной дегустации</x:v>
      </x:c>
      <x:c r="K299" s="28" t="str">
        <x:v>Средняя</x:v>
      </x:c>
      <x:c r="L299" s="28" t="str">
        <x:v>The Art &amp; Science of Foodpairing.pdf</x:v>
      </x:c>
      <x:c r="M299" s="28" t="str">
        <x:v>The Art &amp; Science of Foodpairing.pdf: 260–261</x:v>
      </x:c>
    </x:row>
    <x:row r="300" ht="64" customHeight="1">
      <x:c r="A300" s="28" t="str">
        <x:v>STN-0362</x:v>
      </x:c>
      <x:c r="B300" s="28" t="str">
        <x:v>нектарин</x:v>
      </x:c>
      <x:c r="C300" s="28" t="str">
        <x:v>нектарин</x:v>
      </x:c>
      <x:c r="D300" s="28" t="str">
        <x:v>чернослив</x:v>
      </x:c>
      <x:c r="E300" s="28" t="str">
        <x:v>Сушёные косточковые фрукты</x:v>
      </x:c>
      <x:c r="F300" s="28" t="str">
        <x:v>прямое или классовое перекрытие характерных одорантов + вкусовой баланс</x:v>
      </x:c>
      <x:c r="G300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Чернослив относится к группе «Сушёные косточковые фрукты» и даёт профиль «тёмно-фруктовый, карамельный, винный, слегка дымный и миндальный»; типичные соединения или классы: фурфурол, 5-метилфурфурол, мальтол, лактоны, бензальдегид, продукты термического распада сахаров. В рабочих профилях пересекаются: бензальдегид. Общие ароматические направления: фруктовый.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высокая сладость, мягкая кислотность и плотная сухофруктовая насыщенность.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маловодная, богатая сахарами, пектином и сорбитолом; хорошо удерживает специи и алкоголь.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H300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замачивание возвращает сочность; тушение усиливает карамель и пряности; копчение быстро становится доминирующим.</x:v>
      </x:c>
      <x:c r="I300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300" s="28" t="str">
        <x:v>напиток, соус, десерт или горячее блюдо после пробной дегустации</x:v>
      </x:c>
      <x:c r="K300" s="28" t="str">
        <x:v>Средняя</x:v>
      </x:c>
      <x:c r="L300" s="28" t="str">
        <x:v>The Art &amp; Science of Foodpairing.pdf</x:v>
      </x:c>
      <x:c r="M300" s="28" t="str">
        <x:v>The Art &amp; Science of Foodpairing.pdf: 260–261</x:v>
      </x:c>
    </x:row>
    <x:row r="301" ht="64" customHeight="1">
      <x:c r="A301" s="28" t="str">
        <x:v>STN-0363</x:v>
      </x:c>
      <x:c r="B301" s="28" t="str">
        <x:v>нектарин</x:v>
      </x:c>
      <x:c r="C301" s="28" t="str">
        <x:v>нектарин</x:v>
      </x:c>
      <x:c r="D301" s="28" t="str">
        <x:v>шнитт-лук</x:v>
      </x:c>
      <x:c r="E301" s="28" t="str">
        <x:v>Травы, листья и цветы</x:v>
      </x:c>
      <x:c r="F301" s="28" t="str">
        <x:v>прямое или классовое перекрытие характерных одорантов + вкусовой баланс</x:v>
      </x:c>
      <x:c r="G301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Шнитт-лук относится к группе «Травы, листья и цветы» и даёт профиль «зелёный, цветочный, цитрусовый или анисовый»; типичные соединения или классы: терпены, линалоол, гераниол, эвгенол, анетол, C6-альдегиды. В рабочих профилях пересекаются: линалоол, c6-альдегиды. Общие ароматические направления: цветочный, зелёный. Цветочные и зелёные ноты расширяют верхнюю часть аромата; фруктовая сладость смягчает травяную горечь. Матрица пары: водно-пектиновая; гидрофобные лактоны лучше проявляются в жире и этаноле. Партнёр: эфирные масла гидрофобны и лучше экстрагируются жиром или этанолом. Обработка: 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H301" s="28" t="str">
        <x:v>нагрев делает профиль джемовым и сглаживает различия между нектарином и персиком. Травы лучше вводить холодной мацерацией или в финале: длительный нагрев удаляет летучие терпены.</x:v>
      </x:c>
      <x:c r="I301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301" s="28" t="str">
        <x:v>напиток, соус, десерт или горячее блюдо после пробной дегустации</x:v>
      </x:c>
      <x:c r="K301" s="28" t="str">
        <x:v>Средняя</x:v>
      </x:c>
      <x:c r="L301" s="28" t="str">
        <x:v>The Art &amp; Science of Foodpairing.pdf</x:v>
      </x:c>
      <x:c r="M301" s="28" t="str">
        <x:v>The Art &amp; Science of Foodpairing.pdf: 260–261</x:v>
      </x:c>
    </x:row>
    <x:row r="302" ht="64" customHeight="1">
      <x:c r="A302" s="28" t="str">
        <x:v>STN-0364</x:v>
      </x:c>
      <x:c r="B302" s="28" t="str">
        <x:v>нектарин</x:v>
      </x:c>
      <x:c r="C302" s="28" t="str">
        <x:v>нектарин</x:v>
      </x:c>
      <x:c r="D302" s="28" t="str">
        <x:v>эстрагон</x:v>
      </x:c>
      <x:c r="E302" s="28" t="str">
        <x:v>Травы и цветы</x:v>
      </x:c>
      <x:c r="F302" s="28" t="str">
        <x:v>прямое или классовое перекрытие характерных одорантов + вкусовой баланс</x:v>
      </x:c>
      <x:c r="G302" s="28" t="str">
        <x:v>Нектарин формирует профиль «персиковый, фруктовый, цветочный, зелёный, сливочно-лактонный»; характерные соединения: γ- и δ-декалактон, γ- и δ-додекалактон, фруктовые эфиры, линалоол, бензальдегид, C6-альдегиды. Эстрагон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цветочный, зелёный. Базовый фрукт даёт: сладкий, сочный, с умеренной кислотностью; профиль близок к персику, но кожица гладкая и часто более ярко-фруктовая. Партнёр добавляет: горьковатый, свежий. Баланс корректируется сахаром, кислотой, солью и горечью. Матрица пары: водно-пектиновая; гидрофобные лактоны лучше проявляются в жире и этаноле. Партнёр: летучие масла чувствительны к нагреву. Обработка: 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02" s="28" t="str">
        <x:v>нагрев делает профиль джемовым и сглаживает различия между нектарином и персиком.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02" s="28" t="str">
        <x:v>не перегревать и не переслащивать; иначе исчезает свежая фруктовая детализация. Главный риск — неверная дозировка и потеря свежих летучих нот после нагрева или выдержки.</x:v>
      </x:c>
      <x:c r="J302" s="28" t="str">
        <x:v>напиток, соус, десерт или горячее блюдо после пробной дегустации</x:v>
      </x:c>
      <x:c r="K302" s="28" t="str">
        <x:v>Средняя</x:v>
      </x:c>
      <x:c r="L302" s="28" t="str">
        <x:v>The Art &amp; Science of Foodpairing.pdf</x:v>
      </x:c>
      <x:c r="M302" s="28" t="str">
        <x:v>The Art &amp; Science of Foodpairing.pdf: 260–261</x:v>
      </x:c>
    </x:row>
    <x:row r="303" ht="64" customHeight="1">
      <x:c r="A303" s="28" t="str">
        <x:v>STN-0365</x:v>
      </x:c>
      <x:c r="B303" s="28" t="str">
        <x:v>слива</x:v>
      </x:c>
      <x:c r="C303" s="28" t="str">
        <x:v>слива</x:v>
      </x:c>
      <x:c r="D303" s="28" t="str">
        <x:v>авокадо</x:v>
      </x:c>
      <x:c r="E303" s="28" t="str">
        <x:v>Тропические фрукты и жирные матрицы</x:v>
      </x:c>
      <x:c r="F303" s="28" t="str">
        <x:v>комплементарность ароматических семейств, вкусовой контраст и матричный эффект</x:v>
      </x:c>
      <x:c r="G30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Общие ароматические направления: зелёный. Базовый фрукт даёт: сладость и заметная яблочно-лимонная кислотность; кожица часто терпкая. Партнёр добавляет: мягкий, жирный, почти несладкий; лёгкая растительная горечь.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высокожировая эмульсия; хорошо растворяет гидрофобные ароматические молекулы.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303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303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03" s="28" t="str">
        <x:v>напиток, соус, десерт или горячее блюдо после пробной дегустации</x:v>
      </x:c>
      <x:c r="K303" s="28" t="str">
        <x:v>Гипотеза / практическая</x:v>
      </x:c>
      <x:c r="L303" s="28" t="str">
        <x:v>Таблица сочетания(1).pdf</x:v>
      </x:c>
      <x:c r="M303" s="28" t="str">
        <x:v>Таблица сочетания(1).pdf: Таблица сочетаний: 2 | Таблица сочетания(1).pdf: 2</x:v>
      </x:c>
    </x:row>
    <x:row r="304" ht="64" customHeight="1">
      <x:c r="A304" s="28" t="str">
        <x:v>STN-0366</x:v>
      </x:c>
      <x:c r="B304" s="28" t="str">
        <x:v>слива</x:v>
      </x:c>
      <x:c r="C304" s="28" t="str">
        <x:v>слива</x:v>
      </x:c>
      <x:c r="D304" s="28" t="str">
        <x:v>анис</x:v>
      </x:c>
      <x:c r="E304" s="28" t="str">
        <x:v>Специи и острые компоненты</x:v>
      </x:c>
      <x:c r="F304" s="28" t="str">
        <x:v>комплементарность ароматических семейств, вкусовой контраст и матричный эффект</x:v>
      </x:c>
      <x:c r="G30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Анис относится к группе «Специи и острые компоненты» и даёт профиль «сладкий лакричный и пряный»; типичные соединения или классы: анетол.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04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04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304" s="28" t="str">
        <x:v>напиток, соус, десерт или горячее блюдо после пробной дегустации</x:v>
      </x:c>
      <x:c r="K304" s="28" t="str">
        <x:v>Гипотеза / практическая</x:v>
      </x:c>
      <x:c r="L304" s="28" t="str">
        <x:v>Таблица сочетания(1).pdf</x:v>
      </x:c>
      <x:c r="M304" s="28" t="str">
        <x:v>Таблица сочетания(1).pdf: 17</x:v>
      </x:c>
    </x:row>
    <x:row r="305" ht="64" customHeight="1">
      <x:c r="A305" s="28" t="str">
        <x:v>STN-0367</x:v>
      </x:c>
      <x:c r="B305" s="28" t="str">
        <x:v>слива</x:v>
      </x:c>
      <x:c r="C305" s="28" t="str">
        <x:v>слива</x:v>
      </x:c>
      <x:c r="D305" s="28" t="str">
        <x:v>апельсин</x:v>
      </x:c>
      <x:c r="E305" s="28" t="str">
        <x:v>Цитрусовые</x:v>
      </x:c>
      <x:c r="F305" s="28" t="str">
        <x:v>прямое или классовое перекрытие характерных одорантов + вкусовой баланс</x:v>
      </x:c>
      <x:c r="G30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В рабочих профилях пересекаются: линалоол. Общие ароматические направления: цветочный.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05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05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05" s="28" t="str">
        <x:v>сорбет, салат, джем, кордиал, лимонад, коктейль или фруктовый соус</x:v>
      </x:c>
      <x:c r="K305" s="28" t="str">
        <x:v>Средняя</x:v>
      </x:c>
      <x:c r="L305" s="28" t="str">
        <x:v>The Art &amp; Science of Foodpairing.pdf</x:v>
      </x:c>
      <x:c r="M305" s="28" t="str">
        <x:v>The Art &amp; Science of Foodpairing.pdf: 237</x:v>
      </x:c>
    </x:row>
    <x:row r="306" ht="64" customHeight="1">
      <x:c r="A306" s="28" t="str">
        <x:v>STN-0368</x:v>
      </x:c>
      <x:c r="B306" s="28" t="str">
        <x:v>слива</x:v>
      </x:c>
      <x:c r="C306" s="28" t="str">
        <x:v>слива</x:v>
      </x:c>
      <x:c r="D306" s="28" t="str">
        <x:v>бадьян</x:v>
      </x:c>
      <x:c r="E306" s="28" t="str">
        <x:v>Специи и острые компоненты</x:v>
      </x:c>
      <x:c r="F306" s="28" t="str">
        <x:v>комплементарность ароматических семейств, вкусовой контраст и матричный эффект</x:v>
      </x:c>
      <x:c r="G30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Бадьян относится к группе «Специи и острые компоненты» и даёт профиль «пряный, древесный, тёплый, цитрусовый или анисовый»; типичные соединения или классы: эвгенол, коричный альдегид, анетол, терпинилацетат.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06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06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306" s="28" t="str">
        <x:v>напиток, соус, десерт или горячее блюдо после пробной дегустации</x:v>
      </x:c>
      <x:c r="K306" s="28" t="str">
        <x:v>Гипотеза / практическая</x:v>
      </x:c>
      <x:c r="L306" s="28" t="str">
        <x:v>Таблица сочетания(1).pdf</x:v>
      </x:c>
      <x:c r="M306" s="28" t="str">
        <x:v>Таблица сочетания(1).pdf: 20</x:v>
      </x:c>
    </x:row>
    <x:row r="307" ht="64" customHeight="1">
      <x:c r="A307" s="28" t="str">
        <x:v>STN-0369</x:v>
      </x:c>
      <x:c r="B307" s="28" t="str">
        <x:v>слива</x:v>
      </x:c>
      <x:c r="C307" s="28" t="str">
        <x:v>слива</x:v>
      </x:c>
      <x:c r="D307" s="28" t="str">
        <x:v>базилик</x:v>
      </x:c>
      <x:c r="E307" s="28" t="str">
        <x:v>Травы и цветы</x:v>
      </x:c>
      <x:c r="F307" s="28" t="str">
        <x:v>прямое или классовое перекрытие характерных одорантов + вкусовой баланс</x:v>
      </x:c>
      <x:c r="G30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В рабочих профилях пересекаются: линалоол. Общие ароматические направления: цветочный, зелёный, пряный. 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07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07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07" s="28" t="str">
        <x:v>напиток, соус, десерт или горячее блюдо после пробной дегустации</x:v>
      </x:c>
      <x:c r="K307" s="28" t="str">
        <x:v>Гипотеза / практическая</x:v>
      </x:c>
      <x:c r="L307" s="28" t="str">
        <x:v>Таблица сочетания(1).pdf</x:v>
      </x:c>
      <x:c r="M307" s="28" t="str">
        <x:v>Таблица сочетания(1).pdf: 17</x:v>
      </x:c>
    </x:row>
    <x:row r="308" ht="64" customHeight="1">
      <x:c r="A308" s="28" t="str">
        <x:v>STN-0370</x:v>
      </x:c>
      <x:c r="B308" s="28" t="str">
        <x:v>слива</x:v>
      </x:c>
      <x:c r="C308" s="28" t="str">
        <x:v>слива</x:v>
      </x:c>
      <x:c r="D308" s="28" t="str">
        <x:v>ваниль</x:v>
      </x:c>
      <x:c r="E308" s="28" t="str">
        <x:v>Специи и острые компоненты</x:v>
      </x:c>
      <x:c r="F308" s="28" t="str">
        <x:v>прямое или классовое перекрытие характерных одорантов + вкусовой баланс</x:v>
      </x:c>
      <x:c r="G30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Ваниль относится к группе «Специи и острые компоненты» и даёт профиль «сладкий, сливочный и древесный»; типичные соединения или классы: ванилин, п-гидроксибензальдегид. В рабочих профилях пересекаются: бензальдегид.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08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08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308" s="28" t="str">
        <x:v>напиток, соус, десерт или горячее блюдо после пробной дегустации</x:v>
      </x:c>
      <x:c r="K308" s="28" t="str">
        <x:v>Гипотеза / практическая</x:v>
      </x:c>
      <x:c r="L308" s="28" t="str">
        <x:v>Таблица сочетания(1).pdf</x:v>
      </x:c>
      <x:c r="M308" s="28" t="str">
        <x:v>Таблица сочетания(1).pdf: 17</x:v>
      </x:c>
    </x:row>
    <x:row r="309" ht="64" customHeight="1">
      <x:c r="A309" s="28" t="str">
        <x:v>STN-0371</x:v>
      </x:c>
      <x:c r="B309" s="28" t="str">
        <x:v>слива</x:v>
      </x:c>
      <x:c r="C309" s="28" t="str">
        <x:v>слива</x:v>
      </x:c>
      <x:c r="D309" s="28" t="str">
        <x:v>вишня</x:v>
      </x:c>
      <x:c r="E309" s="28" t="str">
        <x:v>Косточковые фрукты</x:v>
      </x:c>
      <x:c r="F309" s="28" t="str">
        <x:v>прямое или классовое перекрытие характерных одорантов + вкусовой баланс</x:v>
      </x:c>
      <x:c r="G30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Вишня относится к группе «Косточковые фрукты» и даёт профиль «цветочный, фруктовый, миндальный и сливочно-лактонный»; типичные соединения или классы: лактоны, бензальдегид, эфиры, линалоол. В рабочих профилях пересекаются: бензальдегид, линалоол, эфиры. Общие ароматические направления: цветочный, фруктовый, миндальный. Базовый фрукт даёт: сладость и заметная яблочно-лимонная кислотность; кожица часто терпкая. Партнёр добавляет: сладость и умеренная кислотность.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пектиновая; кожица и косточка могут давать терпкость и миндальные ноты.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H309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нагрев усиливает компотные и миндальные оттенки; косточки требуют осторожности.</x:v>
      </x:c>
      <x:c r="I309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09" s="28" t="str">
        <x:v>напиток, соус, десерт или горячее блюдо после пробной дегустации</x:v>
      </x:c>
      <x:c r="K309" s="28" t="str">
        <x:v>Гипотеза / практическая</x:v>
      </x:c>
      <x:c r="L309" s="28" t="str">
        <x:v>Таблица сочетания(1).pdf</x:v>
      </x:c>
      <x:c r="M309" s="28" t="str">
        <x:v>Таблица сочетания(1).pdf: Таблица сочетаний: 4, 17 | Таблица сочетания(1).pdf: 4 | Таблица сочетания(1).pdf: 17</x:v>
      </x:c>
    </x:row>
    <x:row r="310" ht="64" customHeight="1">
      <x:c r="A310" s="28" t="str">
        <x:v>STN-0372</x:v>
      </x:c>
      <x:c r="B310" s="28" t="str">
        <x:v>слива</x:v>
      </x:c>
      <x:c r="C310" s="28" t="str">
        <x:v>слива</x:v>
      </x:c>
      <x:c r="D310" s="28" t="str">
        <x:v>грейпфрут</x:v>
      </x:c>
      <x:c r="E310" s="28" t="str">
        <x:v>Цитрусовые</x:v>
      </x:c>
      <x:c r="F310" s="28" t="str">
        <x:v>прямое или классовое перекрытие характерных одорантов + вкусовой баланс</x:v>
      </x:c>
      <x:c r="G31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Грейпфрут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10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10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10" s="28" t="str">
        <x:v>сорбет, салат, джем, кордиал, лимонад, коктейль или фруктовый соус</x:v>
      </x:c>
      <x:c r="K310" s="28" t="str">
        <x:v>Средняя</x:v>
      </x:c>
      <x:c r="L310" s="28" t="str">
        <x:v>The Art &amp; Science of Foodpairing.pdf</x:v>
      </x:c>
      <x:c r="M310" s="28" t="str">
        <x:v>The Art &amp; Science of Foodpairing.pdf: 359</x:v>
      </x:c>
    </x:row>
    <x:row r="311" ht="64" customHeight="1">
      <x:c r="A311" s="28" t="str">
        <x:v>STN-0374</x:v>
      </x:c>
      <x:c r="B311" s="28" t="str">
        <x:v>слива</x:v>
      </x:c>
      <x:c r="C311" s="28" t="str">
        <x:v>слива</x:v>
      </x:c>
      <x:c r="D311" s="28" t="str">
        <x:v>имбирь</x:v>
      </x:c>
      <x:c r="E311" s="28" t="str">
        <x:v>Специи и острые компоненты</x:v>
      </x:c>
      <x:c r="F311" s="28" t="str">
        <x:v>комплементарность ароматических семейств, вкусовой контраст и матричный эффект</x:v>
      </x:c>
      <x:c r="G31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11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11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311" s="28" t="str">
        <x:v>напиток, соус, десерт или горячее блюдо после пробной дегустации</x:v>
      </x:c>
      <x:c r="K311" s="28" t="str">
        <x:v>Гипотеза / практическая</x:v>
      </x:c>
      <x:c r="L311" s="28" t="str">
        <x:v>Таблица сочетания(1).pdf</x:v>
      </x:c>
      <x:c r="M311" s="28" t="str">
        <x:v>Таблица сочетания(1).pdf: 8 | Таблица сочетания(1).pdf: 17</x:v>
      </x:c>
    </x:row>
    <x:row r="312" ht="64" customHeight="1">
      <x:c r="A312" s="28" t="str">
        <x:v>STN-0375</x:v>
      </x:c>
      <x:c r="B312" s="28" t="str">
        <x:v>слива</x:v>
      </x:c>
      <x:c r="C312" s="28" t="str">
        <x:v>слива</x:v>
      </x:c>
      <x:c r="D312" s="28" t="str">
        <x:v>инжир</x:v>
      </x:c>
      <x:c r="E312" s="28" t="str">
        <x:v>Субтропические фрукты</x:v>
      </x:c>
      <x:c r="F312" s="28" t="str">
        <x:v>прямое или классовое перекрытие характерных одорантов + вкусовой баланс</x:v>
      </x:c>
      <x:c r="G31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бензальдегид, линалоол. Общие ароматические направления: цветочный, зелёный. Базовый фрукт даёт: сладость и заметная яблочно-лимонная кислотность; кожица часто терпкая. Партнёр добавляет: высокая сладость, низкая кислотность; семена дают хруст.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пектиновая и сахаристая; сушёный инжир концентрирует сахар, фенолы и карамельные ноты.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31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312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12" s="28" t="str">
        <x:v>напиток, соус, десерт или горячее блюдо после пробной дегустации</x:v>
      </x:c>
      <x:c r="K312" s="28" t="str">
        <x:v>Гипотеза / практическая</x:v>
      </x:c>
      <x:c r="L312" s="28" t="str">
        <x:v>Таблица сочетания(1).pdf</x:v>
      </x:c>
      <x:c r="M312" s="28" t="str">
        <x:v>Таблица сочетания(1).pdf: Таблица сочетаний: 17 | Таблица сочетания(1).pdf: 17</x:v>
      </x:c>
    </x:row>
    <x:row r="313" ht="64" customHeight="1">
      <x:c r="A313" s="28" t="str">
        <x:v>STN-0376</x:v>
      </x:c>
      <x:c r="B313" s="28" t="str">
        <x:v>слива</x:v>
      </x:c>
      <x:c r="C313" s="28" t="str">
        <x:v>слива</x:v>
      </x:c>
      <x:c r="D313" s="28" t="str">
        <x:v>испанский чоризо</x:v>
      </x:c>
      <x:c r="E313" s="28" t="str">
        <x:v>Мясо и птица</x:v>
      </x:c>
      <x:c r="F313" s="28" t="str">
        <x:v>комплементарность ароматических семейств, вкусовой контраст и матричный эффект</x:v>
      </x:c>
      <x:c r="G31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Испанский чоризо относится к группе «Мясо и птица» и даёт профиль «жареный, мясной, жирный, иногда копчёный и пряный»; типичные соединения или классы: пиразины, фураны, сернистые соединения, продукты Майяра, жирные альдегиды. По доступным материалам нельзя уверенно свести совместимость к одной общей молекуле. Общие ароматические направления: пряный. Кисло-сладкий фруктовый компонент контрастирует с жиром, солью и умами; сахар поддерживает карамелизацию, а кислота облегчает послевкусие. Матрица пары: сочная пектиновая мякоть; кожица богата полифенолами; аромат хорошо работает в воде, сахаре и этаноле. Партнёр: жир удерживает фруктовые лактоны; белок смягчает кислотность. Обработка: нагрев усиливает джем, сухофрукты, специи и карамель; ферментация создаёт винные и эфирные ноты. Обжарка создаёт пиразины и фураны; фруктовый компонент лучше добавлять как глазировку или соус ближе к завершению.</x:v>
      </x:c>
      <x:c r="H313" s="28" t="str">
        <x:v>нагрев усиливает джем, сухофрукты, специи и карамель; ферментация создаёт винные и эфирные ноты. Обжарка создаёт пиразины и фураны; фруктовый компонент лучше добавлять как глазировку или соус ближе к завершению.</x:v>
      </x:c>
      <x:c r="I313" s="28" t="str">
        <x:v>избыток кожицы даёт грубую терпкость; косточки требуют осторожности. Избыток сахара делает соус липким и скрывает умами; кислоту и соль корректируют после уваривания.</x:v>
      </x:c>
      <x:c r="J313" s="28" t="str">
        <x:v>соус, глазировка, чатни, маринад, гарнир или основное блюдо</x:v>
      </x:c>
      <x:c r="K313" s="28" t="str">
        <x:v>Средняя</x:v>
      </x:c>
      <x:c r="L313" s="28" t="str">
        <x:v>The Art &amp; Science of Foodpairing.pdf</x:v>
      </x:c>
      <x:c r="M313" s="28" t="str">
        <x:v>The Art &amp; Science of Foodpairing.pdf: 288</x:v>
      </x:c>
    </x:row>
    <x:row r="314" ht="64" customHeight="1">
      <x:c r="A314" s="28" t="str">
        <x:v>STN-0377</x:v>
      </x:c>
      <x:c r="B314" s="28" t="str">
        <x:v>слива</x:v>
      </x:c>
      <x:c r="C314" s="28" t="str">
        <x:v>слива</x:v>
      </x:c>
      <x:c r="D314" s="28" t="str">
        <x:v>кардамон</x:v>
      </x:c>
      <x:c r="E314" s="28" t="str">
        <x:v>Специи и острые компоненты</x:v>
      </x:c>
      <x:c r="F314" s="28" t="str">
        <x:v>прямое или классовое перекрытие характерных одорантов + вкусовой баланс</x:v>
      </x:c>
      <x:c r="G31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Кардамон относится к группе «Специи и острые компоненты» и даёт профиль «цитрусовый, камфорный и цветочный»; типичные соединения или классы: 1,8-цинеол, α-терпинилацетат, линалоол. В рабочих профилях пересекаются: линалоол.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14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14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314" s="28" t="str">
        <x:v>напиток, соус, десерт или горячее блюдо после пробной дегустации</x:v>
      </x:c>
      <x:c r="K314" s="28" t="str">
        <x:v>Гипотеза / практическая</x:v>
      </x:c>
      <x:c r="L314" s="28" t="str">
        <x:v>Таблица сочетания(1).pdf</x:v>
      </x:c>
      <x:c r="M314" s="28" t="str">
        <x:v>Таблица сочетания(1).pdf: 17</x:v>
      </x:c>
    </x:row>
    <x:row r="315" ht="64" customHeight="1">
      <x:c r="A315" s="28" t="str">
        <x:v>STN-0378</x:v>
      </x:c>
      <x:c r="B315" s="28" t="str">
        <x:v>слива</x:v>
      </x:c>
      <x:c r="C315" s="28" t="str">
        <x:v>слива</x:v>
      </x:c>
      <x:c r="D315" s="28" t="str">
        <x:v>каштан</x:v>
      </x:c>
      <x:c r="E315" s="28" t="str">
        <x:v>Прочее</x:v>
      </x:c>
      <x:c r="F315" s="28" t="str">
        <x:v>комплементарность ароматических семейств, вкусовой контраст и матричный эффект</x:v>
      </x:c>
      <x:c r="G31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Каштан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315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315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15" s="28" t="str">
        <x:v>напиток, соус, десерт или горячее блюдо после пробной дегустации</x:v>
      </x:c>
      <x:c r="K315" s="28" t="str">
        <x:v>Гипотеза / практическая</x:v>
      </x:c>
      <x:c r="L315" s="28" t="str">
        <x:v>Таблица сочетания(1).pdf</x:v>
      </x:c>
      <x:c r="M315" s="28" t="str">
        <x:v>Таблица сочетания(1).pdf: 17</x:v>
      </x:c>
    </x:row>
    <x:row r="316" ht="64" customHeight="1">
      <x:c r="A316" s="28" t="str">
        <x:v>STN-0380</x:v>
      </x:c>
      <x:c r="B316" s="28" t="str">
        <x:v>слива</x:v>
      </x:c>
      <x:c r="C316" s="28" t="str">
        <x:v>слива</x:v>
      </x:c>
      <x:c r="D316" s="28" t="str">
        <x:v>клубника</x:v>
      </x:c>
      <x:c r="E316" s="28" t="str">
        <x:v>Ягоды</x:v>
      </x:c>
      <x:c r="F316" s="28" t="str">
        <x:v>прямое или классовое перекрытие характерных одорантов + вкусовой баланс</x:v>
      </x:c>
      <x:c r="G31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31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316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16" s="28" t="str">
        <x:v>сорбет, салат, джем, кордиал, лимонад, коктейль или фруктовый соус</x:v>
      </x:c>
      <x:c r="K316" s="28" t="str">
        <x:v>Гипотеза / практическая</x:v>
      </x:c>
      <x:c r="L316" s="28" t="str">
        <x:v>Таблица сочетания(1).pdf</x:v>
      </x:c>
      <x:c r="M316" s="28" t="str">
        <x:v>Таблица сочетания(1).pdf: Таблица сочетаний: 17 | Таблица сочетания(1).pdf: 17</x:v>
      </x:c>
    </x:row>
    <x:row r="317" ht="64" customHeight="1">
      <x:c r="A317" s="28" t="str">
        <x:v>STN-0381</x:v>
      </x:c>
      <x:c r="B317" s="28" t="str">
        <x:v>слива</x:v>
      </x:c>
      <x:c r="C317" s="28" t="str">
        <x:v>слива</x:v>
      </x:c>
      <x:c r="D317" s="28" t="str">
        <x:v>клюква</x:v>
      </x:c>
      <x:c r="E317" s="28" t="str">
        <x:v>Ягоды</x:v>
      </x:c>
      <x:c r="F317" s="28" t="str">
        <x:v>прямое или классовое перекрытие характерных одорантов + вкусовой баланс</x:v>
      </x:c>
      <x:c r="G31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Клюква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317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317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17" s="28" t="str">
        <x:v>сорбет, салат, джем, кордиал, лимонад, коктейль или фруктовый соус</x:v>
      </x:c>
      <x:c r="K317" s="28" t="str">
        <x:v>Гипотеза / практическая</x:v>
      </x:c>
      <x:c r="L317" s="28" t="str">
        <x:v>Таблица сочетания(1).pdf</x:v>
      </x:c>
      <x:c r="M317" s="28" t="str">
        <x:v>Таблица сочетания(1).pdf: Таблица сочетаний: 17 | Таблица сочетания(1).pdf: 17</x:v>
      </x:c>
    </x:row>
    <x:row r="318" ht="64" customHeight="1">
      <x:c r="A318" s="28" t="str">
        <x:v>STN-0383</x:v>
      </x:c>
      <x:c r="B318" s="28" t="str">
        <x:v>слива</x:v>
      </x:c>
      <x:c r="C318" s="28" t="str">
        <x:v>слива</x:v>
      </x:c>
      <x:c r="D318" s="28" t="str">
        <x:v>корица</x:v>
      </x:c>
      <x:c r="E318" s="28" t="str">
        <x:v>Специи и острые компоненты</x:v>
      </x:c>
      <x:c r="F318" s="28" t="str">
        <x:v>комплементарность ароматических семейств, вкусовой контраст и матричный эффект</x:v>
      </x:c>
      <x:c r="G31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18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18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318" s="28" t="str">
        <x:v>напиток, соус, десерт или горячее блюдо после пробной дегустации</x:v>
      </x:c>
      <x:c r="K318" s="28" t="str">
        <x:v>Гипотеза / практическая</x:v>
      </x:c>
      <x:c r="L318" s="28" t="str">
        <x:v>Таблица сочетания(1).pdf</x:v>
      </x:c>
      <x:c r="M318" s="28" t="str">
        <x:v>Таблица сочетания(1).pdf: 17</x:v>
      </x:c>
    </x:row>
    <x:row r="319" ht="64" customHeight="1">
      <x:c r="A319" s="28" t="str">
        <x:v>STN-0384</x:v>
      </x:c>
      <x:c r="B319" s="28" t="str">
        <x:v>слива</x:v>
      </x:c>
      <x:c r="C319" s="28" t="str">
        <x:v>слива</x:v>
      </x:c>
      <x:c r="D319" s="28" t="str">
        <x:v>кумкват</x:v>
      </x:c>
      <x:c r="E319" s="28" t="str">
        <x:v>Цитрусовые</x:v>
      </x:c>
      <x:c r="F319" s="28" t="str">
        <x:v>прямое или классовое перекрытие характерных одорантов + вкусовой баланс</x:v>
      </x:c>
      <x:c r="G31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Кумкват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19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19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19" s="28" t="str">
        <x:v>сорбет, салат, джем, кордиал, лимонад, коктейль или фруктовый соус</x:v>
      </x:c>
      <x:c r="K319" s="28" t="str">
        <x:v>Гипотеза / практическая</x:v>
      </x:c>
      <x:c r="L319" s="28" t="str">
        <x:v>Таблица сочетания(1).pdf</x:v>
      </x:c>
      <x:c r="M319" s="28" t="str">
        <x:v>Таблица сочетания(1).pdf: Таблица сочетания(1).pdf: 10, 17 | Таблица сочетания(1).pdf: 10 | Таблица сочетания(1).pdf: 17</x:v>
      </x:c>
    </x:row>
    <x:row r="320" ht="64" customHeight="1">
      <x:c r="A320" s="28" t="str">
        <x:v>STN-0385</x:v>
      </x:c>
      <x:c r="B320" s="28" t="str">
        <x:v>слива</x:v>
      </x:c>
      <x:c r="C320" s="28" t="str">
        <x:v>слива</x:v>
      </x:c>
      <x:c r="D320" s="28" t="str">
        <x:v>лимон</x:v>
      </x:c>
      <x:c r="E320" s="28" t="str">
        <x:v>Цитрусовые</x:v>
      </x:c>
      <x:c r="F320" s="28" t="str">
        <x:v>комплементарность ароматических семейств, вкусовой контраст и матричный эффект</x:v>
      </x:c>
      <x:c r="G32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сок водный и кислый, цедра содержит гидрофобные эфирные масла.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20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20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20" s="28" t="str">
        <x:v>сорбет, салат, джем, кордиал, лимонад, коктейль или фруктовый соус</x:v>
      </x:c>
      <x:c r="K320" s="28" t="str">
        <x:v>Гипотеза / практическая</x:v>
      </x:c>
      <x:c r="L320" s="28" t="str">
        <x:v>Таблица сочетания(1).pdf</x:v>
      </x:c>
      <x:c r="M320" s="28" t="str">
        <x:v>Таблица сочетания(1).pdf: Таблица сочетания(1).pdf: 17 | Таблица сочетания(1).pdf: 17</x:v>
      </x:c>
    </x:row>
    <x:row r="321" ht="64" customHeight="1">
      <x:c r="A321" s="28" t="str">
        <x:v>STN-0386</x:v>
      </x:c>
      <x:c r="B321" s="28" t="str">
        <x:v>слива</x:v>
      </x:c>
      <x:c r="C321" s="28" t="str">
        <x:v>слива</x:v>
      </x:c>
      <x:c r="D321" s="28" t="str">
        <x:v>листья кориандра</x:v>
      </x:c>
      <x:c r="E321" s="28" t="str">
        <x:v>Травы/пряности</x:v>
      </x:c>
      <x:c r="F321" s="28" t="str">
        <x:v>комплементарность ароматических семейств, вкусовой контраст и матричный эффект</x:v>
      </x:c>
      <x:c r="G32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Листья кориандра относится к группе «Травы/пряности» и даёт профиль «цитрусовый, зелёный, цветочный»; типичные соединения или классы: линалол, деканаль, додеканаль. По доступным материалам нельзя уверенно свести совместимость к одной общей молекуле. Общие ароматические направления: цветочный, зелёный. Базовый фрукт даёт: сладость и заметная яблочно-лимонная кислотность; кожица часто терпкая. Партнёр добавляет: травяной, слегка горький.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листья чувствительны к нагреву; семена устойчивее и слаще.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H321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Линалоол создаёт прямой ароматический мост с цитрусами..</x:v>
      </x:c>
      <x:c r="I321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21" s="28" t="str">
        <x:v>напиток, соус, десерт или горячее блюдо после пробной дегустации</x:v>
      </x:c>
      <x:c r="K321" s="28" t="str">
        <x:v>Средняя</x:v>
      </x:c>
      <x:c r="L321" s="28" t="str">
        <x:v>The Art &amp; Science of Foodpairing.pdf</x:v>
      </x:c>
      <x:c r="M321" s="28" t="str">
        <x:v>The Art &amp; Science of Foodpairing.pdf: 98 | The Art &amp; Science of Foodpairing.pdf: 99</x:v>
      </x:c>
    </x:row>
    <x:row r="322" ht="64" customHeight="1">
      <x:c r="A322" s="28" t="str">
        <x:v>STN-0388</x:v>
      </x:c>
      <x:c r="B322" s="28" t="str">
        <x:v>слива</x:v>
      </x:c>
      <x:c r="C322" s="28" t="str">
        <x:v>слива</x:v>
      </x:c>
      <x:c r="D322" s="28" t="str">
        <x:v>малина</x:v>
      </x:c>
      <x:c r="E322" s="28" t="str">
        <x:v>Ягоды</x:v>
      </x:c>
      <x:c r="F322" s="28" t="str">
        <x:v>прямое или классовое перекрытие характерных одорантов + вкусовой баланс</x:v>
      </x:c>
      <x:c r="G32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Малина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32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322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22" s="28" t="str">
        <x:v>сорбет, салат, джем, кордиал, лимонад, коктейль или фруктовый соус</x:v>
      </x:c>
      <x:c r="K322" s="28" t="str">
        <x:v>Гипотеза / практическая</x:v>
      </x:c>
      <x:c r="L322" s="28" t="str">
        <x:v>Таблица сочетания(1).pdf</x:v>
      </x:c>
      <x:c r="M322" s="28" t="str">
        <x:v>Таблица сочетания(1).pdf: Таблица сочетаний: 17, 19 | Таблица сочетания(1).pdf: 17 | Таблица сочетания(1).pdf: 19</x:v>
      </x:c>
    </x:row>
    <x:row r="323" ht="64" customHeight="1">
      <x:c r="A323" s="28" t="str">
        <x:v>STN-0389</x:v>
      </x:c>
      <x:c r="B323" s="28" t="str">
        <x:v>слива</x:v>
      </x:c>
      <x:c r="C323" s="28" t="str">
        <x:v>слива</x:v>
      </x:c>
      <x:c r="D323" s="28" t="str">
        <x:v>мед</x:v>
      </x:c>
      <x:c r="E323" s="28" t="str">
        <x:v>Сахара, мёд и кондитерские основы</x:v>
      </x:c>
      <x:c r="F323" s="28" t="str">
        <x:v>комплементарность ароматических семейств, вкусовой контраст и матричный эффект</x:v>
      </x:c>
      <x:c r="G32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цветочный. Базовый фрукт даёт: сладость и заметная яблочно-лимонная кислотность; кожица часто терпкая. Партнёр добавляет: высокая сладость.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вязкая сахарная; снижает летучесть и смягчает кислоту.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323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323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23" s="28" t="str">
        <x:v>напиток, соус, десерт или горячее блюдо после пробной дегустации</x:v>
      </x:c>
      <x:c r="K323" s="28" t="str">
        <x:v>Гипотеза / практическая</x:v>
      </x:c>
      <x:c r="L323" s="28" t="str">
        <x:v>Таблица сочетания(1).pdf</x:v>
      </x:c>
      <x:c r="M323" s="28" t="str">
        <x:v>Таблица сочетания(1).pdf: 17</x:v>
      </x:c>
    </x:row>
    <x:row r="324" ht="64" customHeight="1">
      <x:c r="A324" s="28" t="str">
        <x:v>STN-0392</x:v>
      </x:c>
      <x:c r="B324" s="28" t="str">
        <x:v>слива</x:v>
      </x:c>
      <x:c r="C324" s="28" t="str">
        <x:v>слива</x:v>
      </x:c>
      <x:c r="D324" s="28" t="str">
        <x:v>мята</x:v>
      </x:c>
      <x:c r="E324" s="28" t="str">
        <x:v>Травы и цветы</x:v>
      </x:c>
      <x:c r="F324" s="28" t="str">
        <x:v>комплементарность ароматических семейств, вкусовой контраст и матричный эффект</x:v>
      </x:c>
      <x:c r="G32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24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24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24" s="28" t="str">
        <x:v>напиток, соус, десерт или горячее блюдо после пробной дегустации</x:v>
      </x:c>
      <x:c r="K324" s="28" t="str">
        <x:v>Гипотеза / практическая</x:v>
      </x:c>
      <x:c r="L324" s="28" t="str">
        <x:v>Таблица сочетания(1).pdf</x:v>
      </x:c>
      <x:c r="M324" s="28" t="str">
        <x:v>Таблица сочетания(1).pdf: 13 | Таблица сочетания(1).pdf: 17</x:v>
      </x:c>
    </x:row>
    <x:row r="325" ht="64" customHeight="1">
      <x:c r="A325" s="28" t="str">
        <x:v>STN-0393</x:v>
      </x:c>
      <x:c r="B325" s="28" t="str">
        <x:v>слива</x:v>
      </x:c>
      <x:c r="C325" s="28" t="str">
        <x:v>слива</x:v>
      </x:c>
      <x:c r="D325" s="28" t="str">
        <x:v>отварная или запеченная свекла</x:v>
      </x:c>
      <x:c r="E325" s="28" t="str">
        <x:v>Овощи и корнеплоды</x:v>
      </x:c>
      <x:c r="F325" s="28" t="str">
        <x:v>прямое или классовое перекрытие характерных одорантов + вкусовой баланс</x:v>
      </x:c>
      <x:c r="G32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Отварная или запеченная свекла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сладость и заметная яблочно-лимонная кислотность; кожица часто терпкая.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водная и клетчаточная матрица; обжарка усиливает сладость и Майяр.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H325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I325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25" s="28" t="str">
        <x:v>соус, глазировка, чатни, маринад, гарнир или основное блюдо</x:v>
      </x:c>
      <x:c r="K325" s="28" t="str">
        <x:v>Средняя</x:v>
      </x:c>
      <x:c r="L325" s="28" t="str">
        <x:v>The Art &amp; Science of Foodpairing.pdf</x:v>
      </x:c>
      <x:c r="M325" s="28" t="str">
        <x:v>The Art &amp; Science of Foodpairing.pdf: 222</x:v>
      </x:c>
    </x:row>
    <x:row r="326" ht="64" customHeight="1">
      <x:c r="A326" s="28" t="str">
        <x:v>STN-0394</x:v>
      </x:c>
      <x:c r="B326" s="28" t="str">
        <x:v>слива</x:v>
      </x:c>
      <x:c r="C326" s="28" t="str">
        <x:v>слива</x:v>
      </x:c>
      <x:c r="D326" s="28" t="str">
        <x:v>отварной корень сельдерея</x:v>
      </x:c>
      <x:c r="E326" s="28" t="str">
        <x:v>Овощи и корнеплоды</x:v>
      </x:c>
      <x:c r="F326" s="28" t="str">
        <x:v>прямое или классовое перекрытие характерных одорантов + вкусовой баланс</x:v>
      </x:c>
      <x:c r="G32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Отварной корень сельдерея относится к группе «Овощи и корнеплоды» и даёт профиль «зелёный, землистый, сладковатый или сернистый»; типичные соединения или классы: C6-альдегиды, метоксипиразины, терпены, сернистые соединения. В рабочих профилях пересекаются: c6-альдегиды. Общие ароматические направления: зелёный. Базовый фрукт даёт: сладость и заметная яблочно-лимонная кислотность; кожица часто терпкая. Партнёр добавляет: сладость, горечь, умами и вода.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водная и клетчаточная матрица; обжарка усиливает сладость и Майяр.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H32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I326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26" s="28" t="str">
        <x:v>соус, глазировка, чатни, маринад, гарнир или основное блюдо</x:v>
      </x:c>
      <x:c r="K326" s="28" t="str">
        <x:v>Средняя</x:v>
      </x:c>
      <x:c r="L326" s="28" t="str">
        <x:v>The Art &amp; Science of Foodpairing.pdf</x:v>
      </x:c>
      <x:c r="M326" s="28" t="str">
        <x:v>The Art &amp; Science of Foodpairing.pdf: 53</x:v>
      </x:c>
    </x:row>
    <x:row r="327" ht="64" customHeight="1">
      <x:c r="A327" s="28" t="str">
        <x:v>STN-0395</x:v>
      </x:c>
      <x:c r="B327" s="28" t="str">
        <x:v>слива</x:v>
      </x:c>
      <x:c r="C327" s="28" t="str">
        <x:v>слива</x:v>
      </x:c>
      <x:c r="D327" s="28" t="str">
        <x:v>отварной лангустин</x:v>
      </x:c>
      <x:c r="E327" s="28" t="str">
        <x:v>Рыба и морепродукты</x:v>
      </x:c>
      <x:c r="F327" s="28" t="str">
        <x:v>комплементарность ароматических семейств, вкусовой контраст и матричный эффект</x:v>
      </x:c>
      <x:c r="G32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Отварной лангустин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богата полифенолами; аромат хорошо работает в воде, сахаре и этаноле. Партнёр: водно-белковая матрица; жирная рыба лучше удерживает лактоны.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H327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I327" s="28" t="str">
        <x:v>избыток кожицы даёт грубую терпкость; косточки требуют осторожности. Сильная сладость и длительный контакт с кислотой могут замаскировать морской вкус и изменить белковую текстуру.</x:v>
      </x:c>
      <x:c r="J327" s="28" t="str">
        <x:v>соус, глазировка, чатни, маринад, гарнир или основное блюдо</x:v>
      </x:c>
      <x:c r="K327" s="28" t="str">
        <x:v>Средняя</x:v>
      </x:c>
      <x:c r="L327" s="28" t="str">
        <x:v>The Art &amp; Science of Foodpairing.pdf</x:v>
      </x:c>
      <x:c r="M327" s="28" t="str">
        <x:v>The Art &amp; Science of Foodpairing.pdf: 152</x:v>
      </x:c>
    </x:row>
    <x:row r="328" ht="64" customHeight="1">
      <x:c r="A328" s="28" t="str">
        <x:v>STN-0396</x:v>
      </x:c>
      <x:c r="B328" s="28" t="str">
        <x:v>слива</x:v>
      </x:c>
      <x:c r="C328" s="28" t="str">
        <x:v>слива</x:v>
      </x:c>
      <x:c r="D328" s="28" t="str">
        <x:v>пармиджано-реджано</x:v>
      </x:c>
      <x:c r="E328" s="28" t="str">
        <x:v>Рыба и морепродукты</x:v>
      </x:c>
      <x:c r="F328" s="28" t="str">
        <x:v>комплементарность ароматических семейств, вкусовой контраст и матричный эффект</x:v>
      </x:c>
      <x:c r="G328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Пармиджано-реджано относится к группе «Рыба и морепродукты» и даёт профиль «жирный, морской, умами»; типичные соединения или классы: альдегиды, амины,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 мякоть; кожица богата полифенолами; аромат хорошо работает в воде, сахаре и этаноле. Партнёр: белковая/жировая матрица; кислота снижает рыбные ноты.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28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28" s="28" t="str">
        <x:v>избыток кожицы даёт грубую терпкость; косточки требуют осторожности. Сильная сладость и длительный контакт с кислотой могут замаскировать морской вкус и изменить белковую текстуру.</x:v>
      </x:c>
      <x:c r="J328" s="28" t="str">
        <x:v>соус, глазировка, чатни, маринад, гарнир или основное блюдо</x:v>
      </x:c>
      <x:c r="K328" s="28" t="str">
        <x:v>Средняя</x:v>
      </x:c>
      <x:c r="L328" s="28" t="str">
        <x:v>The Art &amp; Science of Foodpairing.pdf</x:v>
      </x:c>
      <x:c r="M328" s="28" t="str">
        <x:v>The Art &amp; Science of Foodpairing.pdf: 283</x:v>
      </x:c>
    </x:row>
    <x:row r="329" ht="64" customHeight="1">
      <x:c r="A329" s="28" t="str">
        <x:v>STN-0397</x:v>
      </x:c>
      <x:c r="B329" s="28" t="str">
        <x:v>слива</x:v>
      </x:c>
      <x:c r="C329" s="28" t="str">
        <x:v>слива</x:v>
      </x:c>
      <x:c r="D329" s="28" t="str">
        <x:v>ревень</x:v>
      </x:c>
      <x:c r="E329" s="28" t="str">
        <x:v>Прочее</x:v>
      </x:c>
      <x:c r="F329" s="28" t="str">
        <x:v>комплементарность ароматических семейств, вкусовой контраст и матричный эффект</x:v>
      </x:c>
      <x:c r="G329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Ревень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329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329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29" s="28" t="str">
        <x:v>напиток, соус, десерт или горячее блюдо после пробной дегустации</x:v>
      </x:c>
      <x:c r="K329" s="28" t="str">
        <x:v>Гипотеза / практическая</x:v>
      </x:c>
      <x:c r="L329" s="28" t="str">
        <x:v>Таблица сочетания(1).pdf</x:v>
      </x:c>
      <x:c r="M329" s="28" t="str">
        <x:v>Таблица сочетания(1).pdf: 17</x:v>
      </x:c>
    </x:row>
    <x:row r="330" ht="64" customHeight="1">
      <x:c r="A330" s="28" t="str">
        <x:v>STN-0398</x:v>
      </x:c>
      <x:c r="B330" s="28" t="str">
        <x:v>слива</x:v>
      </x:c>
      <x:c r="C330" s="28" t="str">
        <x:v>слива</x:v>
      </x:c>
      <x:c r="D330" s="28" t="str">
        <x:v>рубленый чеснок</x:v>
      </x:c>
      <x:c r="E330" s="28" t="str">
        <x:v>Прочее</x:v>
      </x:c>
      <x:c r="F330" s="28" t="str">
        <x:v>комплементарность ароматических семейств, вкусовой контраст и матричный эффект</x:v>
      </x:c>
      <x:c r="G330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Рубленый чеснок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баланс зависит от продукта.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матрица зависит от формы продукта.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H330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I330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30" s="28" t="str">
        <x:v>напиток, соус, десерт или горячее блюдо после пробной дегустации</x:v>
      </x:c>
      <x:c r="K330" s="28" t="str">
        <x:v>Средняя</x:v>
      </x:c>
      <x:c r="L330" s="28" t="str">
        <x:v>The Art &amp; Science of Foodpairing.pdf</x:v>
      </x:c>
      <x:c r="M330" s="28" t="str">
        <x:v>The Art &amp; Science of Foodpairing.pdf: 112</x:v>
      </x:c>
    </x:row>
    <x:row r="331" ht="64" customHeight="1">
      <x:c r="A331" s="28" t="str">
        <x:v>STN-0399</x:v>
      </x:c>
      <x:c r="B331" s="28" t="str">
        <x:v>слива</x:v>
      </x:c>
      <x:c r="C331" s="28" t="str">
        <x:v>слива</x:v>
      </x:c>
      <x:c r="D331" s="28" t="str">
        <x:v>семена кардамона</x:v>
      </x:c>
      <x:c r="E331" s="28" t="str">
        <x:v>Специи</x:v>
      </x:c>
      <x:c r="F331" s="28" t="str">
        <x:v>комплементарность ароматических семейств, вкусовой контраст и матричный эффект</x:v>
      </x:c>
      <x:c r="G331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Семена кардамона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Общие ароматические направления: пряный. Базовый фрукт даёт: сладость и заметная яблочно-лимонная кислотность; кожица часто терпкая. Партнёр добавляет: пряный, иногда горький.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хорошо извлекаются спиртом и жиром.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31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31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31" s="28" t="str">
        <x:v>напиток, соус, десерт или горячее блюдо после пробной дегустации</x:v>
      </x:c>
      <x:c r="K331" s="28" t="str">
        <x:v>Средняя</x:v>
      </x:c>
      <x:c r="L331" s="28" t="str">
        <x:v>The Art &amp; Science of Foodpairing.pdf</x:v>
      </x:c>
      <x:c r="M331" s="28" t="str">
        <x:v>The Art &amp; Science of Foodpairing.pdf: 256</x:v>
      </x:c>
    </x:row>
    <x:row r="332" ht="64" customHeight="1">
      <x:c r="A332" s="28" t="str">
        <x:v>STN-0400</x:v>
      </x:c>
      <x:c r="B332" s="28" t="str">
        <x:v>слива</x:v>
      </x:c>
      <x:c r="C332" s="28" t="str">
        <x:v>слива</x:v>
      </x:c>
      <x:c r="D332" s="28" t="str">
        <x:v>традиционный бальзамический уксус</x:v>
      </x:c>
      <x:c r="E332" s="28" t="str">
        <x:v>Ферментированные продукты, соусы и уксусы</x:v>
      </x:c>
      <x:c r="F332" s="28" t="str">
        <x:v>прямое или классовое перекрытие характерных одорантов + вкусовой баланс</x:v>
      </x:c>
      <x:c r="G332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Традиционный бальзамический уксус относится к группе «Ферментированные продукты, соусы и уксусы» и даёт профиль «кислый, умами, ферментированный, солёный»; типичные соединения или классы: уксусная кислота, эфиры, аминокислотные и ферментационные соединения. В рабочих профилях пересекаются: эфиры. Кислота, соль и умами усиливают контраст с фруктовой сладостью; сочетание работает в малой дозировке как приправа. Матрица пары: сочная пектиновая мякоть; кожица богата полифенолами; аромат хорошо работает в воде, сахаре и этаноле. Партнёр: водная и солевая матрица; часть ароматов удерживается белком и сахаром.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H332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</x:v>
      </x:c>
      <x:c r="I332" s="28" t="str">
        <x:v>избыток кожицы даёт грубую терпкость; косточки требуют осторожности. Соль и кислота быстро становятся доминирующими; используйте как акцент.</x:v>
      </x:c>
      <x:c r="J332" s="28" t="str">
        <x:v>соус, глазировка, чатни, маринад, гарнир или основное блюдо</x:v>
      </x:c>
      <x:c r="K332" s="28" t="str">
        <x:v>Средняя</x:v>
      </x:c>
      <x:c r="L332" s="28" t="str">
        <x:v>The Art &amp; Science of Foodpairing.pdf</x:v>
      </x:c>
      <x:c r="M332" s="28" t="str">
        <x:v>The Art &amp; Science of Foodpairing.pdf: 316</x:v>
      </x:c>
    </x:row>
    <x:row r="333" ht="64" customHeight="1">
      <x:c r="A333" s="28" t="str">
        <x:v>STN-0401</x:v>
      </x:c>
      <x:c r="B333" s="28" t="str">
        <x:v>слива</x:v>
      </x:c>
      <x:c r="C333" s="28" t="str">
        <x:v>слива</x:v>
      </x:c>
      <x:c r="D333" s="28" t="str">
        <x:v>укроп</x:v>
      </x:c>
      <x:c r="E333" s="28" t="str">
        <x:v>Травы и цветы</x:v>
      </x:c>
      <x:c r="F333" s="28" t="str">
        <x:v>прямое или классовое перекрытие характерных одорантов + вкусовой баланс</x:v>
      </x:c>
      <x:c r="G333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Укроп относится к группе «Травы и цветы» и даёт профиль «зелёный, цветочный, травянистый и эфирно-масличный»; типичные соединения или классы: линалоол, гераниол, эвгенол, 1,8-цинеол. В рабочих профилях пересекаются: линалоол. Общие ароматические направления: цветочный, зелёный. Базовый фрукт даёт: сладость и заметная яблочно-лимонная кислотность; кожица часто терпкая.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эфирные масла гидрофобны и лучше раскрываются в жире или этаноле.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33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33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33" s="28" t="str">
        <x:v>напиток, соус, десерт или горячее блюдо после пробной дегустации</x:v>
      </x:c>
      <x:c r="K333" s="28" t="str">
        <x:v>Гипотеза / практическая</x:v>
      </x:c>
      <x:c r="L333" s="28" t="str">
        <x:v>Таблица сочетания(1).pdf</x:v>
      </x:c>
      <x:c r="M333" s="28" t="str">
        <x:v>Таблица сочетания(1).pdf: 17</x:v>
      </x:c>
    </x:row>
    <x:row r="334" ht="64" customHeight="1">
      <x:c r="A334" s="28" t="str">
        <x:v>STN-0404</x:v>
      </x:c>
      <x:c r="B334" s="28" t="str">
        <x:v>слива</x:v>
      </x:c>
      <x:c r="C334" s="28" t="str">
        <x:v>слива</x:v>
      </x:c>
      <x:c r="D334" s="28" t="str">
        <x:v>черный перец</x:v>
      </x:c>
      <x:c r="E334" s="28" t="str">
        <x:v>Специи и острые компоненты</x:v>
      </x:c>
      <x:c r="F334" s="28" t="str">
        <x:v>комплементарность ароматических семейств, вкусовой контраст и матричный эффект</x:v>
      </x:c>
      <x:c r="G334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Черный перец относится к группе «Специи и острые компоненты» и даёт профиль «древесный, цитрусовый и пряный»; типичные соединения или классы: пиперин, лимонен, сабинен. По доступным материалам нельзя уверенно свести совместимость к одной общей молекуле. Общие ароматические направления: пряный. Сладость и кислота фрукта смягчают остроту и горечь специи, а пряный компонент удлиняет ароматическое послевкусие. Матрица пары: сочная пектиновая мякоть; кожица богата полифенолами; аромат хорошо работает в воде, сахаре и этаноле. Партнёр: ароматические масла хорошо переходят в жир и этанол. Обработка: 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34" s="28" t="str">
        <x:v>нагрев усиливает джем, сухофрукты, специи и карамель; ферментация создаёт винные и эфирные ноты.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34" s="28" t="str">
        <x:v>избыток кожицы даёт грубую терпкость; косточки требуют осторожности. Специя легко доминирует; начинайте с низкой дозировки и учитывайте рост остроты после выдержки.</x:v>
      </x:c>
      <x:c r="J334" s="28" t="str">
        <x:v>напиток, соус, десерт или горячее блюдо после пробной дегустации</x:v>
      </x:c>
      <x:c r="K334" s="28" t="str">
        <x:v>Гипотеза / практическая</x:v>
      </x:c>
      <x:c r="L334" s="28" t="str">
        <x:v>Таблица сочетания(1).pdf</x:v>
      </x:c>
      <x:c r="M334" s="28" t="str">
        <x:v>Таблица сочетания(1).pdf: 17</x:v>
      </x:c>
    </x:row>
    <x:row r="335" ht="64" customHeight="1">
      <x:c r="A335" s="28" t="str">
        <x:v>STN-0405</x:v>
      </x:c>
      <x:c r="B335" s="28" t="str">
        <x:v>слива</x:v>
      </x:c>
      <x:c r="C335" s="28" t="str">
        <x:v>слива</x:v>
      </x:c>
      <x:c r="D335" s="28" t="str">
        <x:v>шелковица</x:v>
      </x:c>
      <x:c r="E335" s="28" t="str">
        <x:v>Ягоды</x:v>
      </x:c>
      <x:c r="F335" s="28" t="str">
        <x:v>прямое или классовое перекрытие характерных одорантов + вкусовой баланс</x:v>
      </x:c>
      <x:c r="G335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Шелковица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фруктовый, зелёный. Близкие фруктовые эфиры создают непрерывность, а различия в кислотности, терпкости и сладости формируют контраст. Матрица пары: сочная пектиновая мякоть; кожица богата полифенолами; аромат хорошо работает в воде, сахаре и этаноле. Партнёр: водная пектиновая; антоцианы влияют на цвет, но не являются главными одорантами.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335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335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35" s="28" t="str">
        <x:v>сорбет, салат, джем, кордиал, лимонад, коктейль или фруктовый соус</x:v>
      </x:c>
      <x:c r="K335" s="28" t="str">
        <x:v>Гипотеза / практическая</x:v>
      </x:c>
      <x:c r="L335" s="28" t="str">
        <x:v>Таблица сочетания(1).pdf</x:v>
      </x:c>
      <x:c r="M335" s="28" t="str">
        <x:v>Таблица сочетания(1).pdf: Таблица сочетаний: 13 | Таблица сочетания(1).pdf: 13</x:v>
      </x:c>
    </x:row>
    <x:row r="336" ht="64" customHeight="1">
      <x:c r="A336" s="28" t="str">
        <x:v>STN-0406</x:v>
      </x:c>
      <x:c r="B336" s="28" t="str">
        <x:v>слива</x:v>
      </x:c>
      <x:c r="C336" s="28" t="str">
        <x:v>слива</x:v>
      </x:c>
      <x:c r="D336" s="28" t="str">
        <x:v>шоколад</x:v>
      </x:c>
      <x:c r="E336" s="28" t="str">
        <x:v>Чай, кофе и какао</x:v>
      </x:c>
      <x:c r="F336" s="28" t="str">
        <x:v>комплементарность ароматических семейств, вкусовой контраст и матричный эффект</x:v>
      </x:c>
      <x:c r="G336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сладость и заметная яблочно-лимонная кислотность; кожица часто терпкая. Партнёр добавляет: горечь, терпкость и жареная сладость.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водные настои извлекают полифенолы; жир и сахар смягчают горечь.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336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336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36" s="28" t="str">
        <x:v>напиток, соус, десерт или горячее блюдо после пробной дегустации</x:v>
      </x:c>
      <x:c r="K336" s="28" t="str">
        <x:v>Гипотеза / практическая</x:v>
      </x:c>
      <x:c r="L336" s="28" t="str">
        <x:v>Таблица сочетания(1).pdf</x:v>
      </x:c>
      <x:c r="M336" s="28" t="str">
        <x:v>Таблица сочетания(1).pdf: 17</x:v>
      </x:c>
    </x:row>
    <x:row r="337" ht="64" customHeight="1">
      <x:c r="A337" s="28" t="str">
        <x:v>STN-0407</x:v>
      </x:c>
      <x:c r="B337" s="28" t="str">
        <x:v>слива</x:v>
      </x:c>
      <x:c r="C337" s="28" t="str">
        <x:v>слива</x:v>
      </x:c>
      <x:c r="D337" s="28" t="str">
        <x:v>ягоды можжевельника</x:v>
      </x:c>
      <x:c r="E337" s="28" t="str">
        <x:v>Прочее</x:v>
      </x:c>
      <x:c r="F337" s="28" t="str">
        <x:v>комплементарность ароматических семейств, вкусовой контраст и матричный эффект</x:v>
      </x:c>
      <x:c r="G337" s="28" t="str">
        <x:v>Слива формирует профиль «винно-фруктовый, цветочный, зелёный, пряный, миндальный; от свежего до тёмно-джемового»; характерные соединения: фруктовые эфиры, γ- и δ-лактоны, бензальдегид, линалоол, C6-альдегиды, дамасконы. Ягоды можжевельника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сладость и заметная яблочно-лимонная кислотность; кожица часто терпкая.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сочная пектиновая мякоть; кожица богата полифенолами; аромат хорошо работает в воде, сахаре и этаноле. Партнёр: важны вода, жир, белок, сахар и температура. Обработка: 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337" s="28" t="str">
        <x:v>нагрев усиливает джем, сухофрукты, специи и карамель; ферментация создаёт винные и эфирные ноты.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337" s="28" t="str">
        <x:v>избыток кожицы даёт грубую терпкость; косточки требуют осторожности. Главный риск — неверная дозировка и потеря свежих летучих нот после нагрева или выдержки.</x:v>
      </x:c>
      <x:c r="J337" s="28" t="str">
        <x:v>напиток, соус, десерт или горячее блюдо после пробной дегустации</x:v>
      </x:c>
      <x:c r="K337" s="28" t="str">
        <x:v>Гипотеза / практическая</x:v>
      </x:c>
      <x:c r="L337" s="28" t="str">
        <x:v>Таблица сочетания(1).pdf</x:v>
      </x:c>
      <x:c r="M337" s="28" t="str">
        <x:v>Таблица сочетания(1).pdf: 10</x:v>
      </x:c>
    </x:row>
    <x:row r="338" ht="64" customHeight="1">
      <x:c r="A338" s="28" t="str">
        <x:v>STN-0408</x:v>
      </x:c>
      <x:c r="B338" s="28" t="str">
        <x:v>чернослив</x:v>
      </x:c>
      <x:c r="C338" s="28" t="str">
        <x:v>чернослив</x:v>
      </x:c>
      <x:c r="D338" s="28" t="str">
        <x:v>авокадо</x:v>
      </x:c>
      <x:c r="E338" s="28" t="str">
        <x:v>Тропические фрукты и жирные матрицы</x:v>
      </x:c>
      <x:c r="F338" s="28" t="str">
        <x:v>комплементарность ароматических семейств, вкусовой контраст и матричный эффект</x:v>
      </x:c>
      <x:c r="G338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мягкий, жирный, почти несладкий; лёгкая растительная горечь.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высокожировая эмульсия; хорошо растворяет гидрофобные ароматические молекулы.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338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338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38" s="28" t="str">
        <x:v>напиток, соус, десерт или горячее блюдо после пробной дегустации</x:v>
      </x:c>
      <x:c r="K338" s="28" t="str">
        <x:v>Средняя</x:v>
      </x:c>
      <x:c r="L338" s="28" t="str">
        <x:v>The Art &amp; Science of Foodpairing.pdf</x:v>
      </x:c>
      <x:c r="M338" s="28" t="str">
        <x:v>The Art &amp; Science of Foodpairing.pdf: 354</x:v>
      </x:c>
    </x:row>
    <x:row r="339" ht="64" customHeight="1">
      <x:c r="A339" s="28" t="str">
        <x:v>STN-0409</x:v>
      </x:c>
      <x:c r="B339" s="28" t="str">
        <x:v>чернослив</x:v>
      </x:c>
      <x:c r="C339" s="28" t="str">
        <x:v>чернослив</x:v>
      </x:c>
      <x:c r="D339" s="28" t="str">
        <x:v>ананас</x:v>
      </x:c>
      <x:c r="E339" s="28" t="str">
        <x:v>Тропические фрукты</x:v>
      </x:c>
      <x:c r="F339" s="28" t="str">
        <x:v>комплементарность ароматических семейств, вкусовой контраст и матричный эффект</x:v>
      </x:c>
      <x:c r="G33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Ананас относится к группе «Тропические фрукты» и даёт профиль «яркий фруктовый, конфетный, цитрусовый, зелёный и слегка сернистый»; типичные соединения или классы: метилгексаноат, этилгексаноат, этилбутират, метил-3-(метилтио)пропионат и другие сернистые следы.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выраженная сладость и кислотность; лёгкая терпкость сердцевины.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водная и кислая; содержит протеазу бромелайн, разрушающую белки.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H339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рыхлую текстуру; перегрев снижает свежие эфиры.</x:v>
      </x:c>
      <x:c r="I339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39" s="28" t="str">
        <x:v>напиток, соус, десерт или горячее блюдо после пробной дегустации</x:v>
      </x:c>
      <x:c r="K339" s="28" t="str">
        <x:v>Средняя</x:v>
      </x:c>
      <x:c r="L339" s="28" t="str">
        <x:v>The Art &amp; Science of Foodpairing.pdf</x:v>
      </x:c>
      <x:c r="M339" s="28" t="str">
        <x:v>The Art &amp; Science of Foodpairing.pdf: 242</x:v>
      </x:c>
    </x:row>
    <x:row r="340" ht="64" customHeight="1">
      <x:c r="A340" s="28" t="str">
        <x:v>STN-0410</x:v>
      </x:c>
      <x:c r="B340" s="28" t="str">
        <x:v>чернослив</x:v>
      </x:c>
      <x:c r="C340" s="28" t="str">
        <x:v>чернослив</x:v>
      </x:c>
      <x:c r="D340" s="28" t="str">
        <x:v>анис</x:v>
      </x:c>
      <x:c r="E340" s="28" t="str">
        <x:v>Специи и острые компоненты</x:v>
      </x:c>
      <x:c r="F340" s="28" t="str">
        <x:v>комплементарность ароматических семейств, вкусовой контраст и матричный эффект</x:v>
      </x:c>
      <x:c r="G34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Анис относится к группе «Специи и острые компоненты» и даёт профиль «сладкий лакричный и пряный»; типичные соединения или классы: анетол.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40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40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340" s="28" t="str">
        <x:v>напиток, соус, десерт или горячее блюдо после пробной дегустации</x:v>
      </x:c>
      <x:c r="K340" s="28" t="str">
        <x:v>Гипотеза / практическая</x:v>
      </x:c>
      <x:c r="L340" s="28" t="str">
        <x:v>Таблица сочетания(1).pdf</x:v>
      </x:c>
      <x:c r="M340" s="28" t="str">
        <x:v>Таблица сочетания(1).pdf: 18</x:v>
      </x:c>
    </x:row>
    <x:row r="341" ht="64" customHeight="1">
      <x:c r="A341" s="28" t="str">
        <x:v>STN-0411</x:v>
      </x:c>
      <x:c r="B341" s="28" t="str">
        <x:v>чернослив</x:v>
      </x:c>
      <x:c r="C341" s="28" t="str">
        <x:v>чернослив</x:v>
      </x:c>
      <x:c r="D341" s="28" t="str">
        <x:v>апельсин</x:v>
      </x:c>
      <x:c r="E341" s="28" t="str">
        <x:v>Цитрусовые</x:v>
      </x:c>
      <x:c r="F341" s="28" t="str">
        <x:v>комплементарность ароматических семейств, вкусовой контраст и матричный эффект</x:v>
      </x:c>
      <x:c r="G34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Апельсин относится к группе «Цитрусовые» и даёт профиль «сладкий цитрусовый и цветочный»; типичные соединения или классы: лимонен, линалоол, деканаль.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сок водный и кислый, цедра содержит гидрофобные эфирные масла.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41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41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41" s="28" t="str">
        <x:v>сорбет, салат, джем, кордиал, лимонад, коктейль или фруктовый соус</x:v>
      </x:c>
      <x:c r="K341" s="28" t="str">
        <x:v>Гипотеза / практическая</x:v>
      </x:c>
      <x:c r="L341" s="28" t="str">
        <x:v>Таблица сочетания(1).pdf</x:v>
      </x:c>
      <x:c r="M341" s="28" t="str">
        <x:v>Таблица сочетания(1).pdf: Таблица сочетания(1).pdf: 18 | Таблица сочетания(1).pdf: 18</x:v>
      </x:c>
    </x:row>
    <x:row r="342" ht="64" customHeight="1">
      <x:c r="A342" s="28" t="str">
        <x:v>STN-0412</x:v>
      </x:c>
      <x:c r="B342" s="28" t="str">
        <x:v>чернослив</x:v>
      </x:c>
      <x:c r="C342" s="28" t="str">
        <x:v>чернослив</x:v>
      </x:c>
      <x:c r="D342" s="28" t="str">
        <x:v>артишок</x:v>
      </x:c>
      <x:c r="E342" s="28" t="str">
        <x:v>Овощи и грибы</x:v>
      </x:c>
      <x:c r="F342" s="28" t="str">
        <x:v>комплементарность ароматических семейств, вкусовой контраст и матричный эффект</x:v>
      </x:c>
      <x:c r="G34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Артишок относится к группе «Овощи и грибы» и даёт профиль «зелёный, землистый, сернистый»; типичные соединения или классы: C6-альдегиды, пиразины, сернистые соединения.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растительный, иногда умами.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высокая доля воды; нагрев меняет зелёный профиль.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42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42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42" s="28" t="str">
        <x:v>напиток, соус, десерт или горячее блюдо после пробной дегустации</x:v>
      </x:c>
      <x:c r="K342" s="28" t="str">
        <x:v>Средняя</x:v>
      </x:c>
      <x:c r="L342" s="28" t="str">
        <x:v>The Art &amp; Science of Foodpairing.pdf</x:v>
      </x:c>
      <x:c r="M342" s="28" t="str">
        <x:v>The Art &amp; Science of Foodpairing.pdf: 328</x:v>
      </x:c>
    </x:row>
    <x:row r="343" ht="64" customHeight="1">
      <x:c r="A343" s="28" t="str">
        <x:v>STN-0413</x:v>
      </x:c>
      <x:c r="B343" s="28" t="str">
        <x:v>чернослив</x:v>
      </x:c>
      <x:c r="C343" s="28" t="str">
        <x:v>чернослив</x:v>
      </x:c>
      <x:c r="D343" s="28" t="str">
        <x:v>базилик</x:v>
      </x:c>
      <x:c r="E343" s="28" t="str">
        <x:v>Травы и цветы</x:v>
      </x:c>
      <x:c r="F343" s="28" t="str">
        <x:v>комплементарность ароматических семейств, вкусовой контраст и матричный эффект</x:v>
      </x:c>
      <x:c r="G34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Базилик относится к группе «Травы и цветы» и даёт профиль «зелёный, цветочный и пряный»; типичные соединения или классы: линалоол, эвгенол, метилхавикол.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43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43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43" s="28" t="str">
        <x:v>напиток, соус, десерт или горячее блюдо после пробной дегустации</x:v>
      </x:c>
      <x:c r="K343" s="28" t="str">
        <x:v>Средняя</x:v>
      </x:c>
      <x:c r="L343" s="28" t="str">
        <x:v>The Art &amp; Science of Foodpairing.pdf</x:v>
      </x:c>
      <x:c r="M343" s="28" t="str">
        <x:v>The Art &amp; Science of Foodpairing.pdf: 75</x:v>
      </x:c>
    </x:row>
    <x:row r="344" ht="64" customHeight="1">
      <x:c r="A344" s="28" t="str">
        <x:v>STN-0414</x:v>
      </x:c>
      <x:c r="B344" s="28" t="str">
        <x:v>чернослив</x:v>
      </x:c>
      <x:c r="C344" s="28" t="str">
        <x:v>чернослив</x:v>
      </x:c>
      <x:c r="D344" s="28" t="str">
        <x:v>бри</x:v>
      </x:c>
      <x:c r="E344" s="28" t="str">
        <x:v>Прочее</x:v>
      </x:c>
      <x:c r="F344" s="28" t="str">
        <x:v>комплементарность ароматических семейств, вкусовой контраст и матричный эффект</x:v>
      </x:c>
      <x:c r="G34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Бри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важны вода, жир, белок, сахар и температура.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34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344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44" s="28" t="str">
        <x:v>напиток, соус, десерт или горячее блюдо после пробной дегустации</x:v>
      </x:c>
      <x:c r="K344" s="28" t="str">
        <x:v>Средняя</x:v>
      </x:c>
      <x:c r="L344" s="28" t="str">
        <x:v>The Art &amp; Science of Foodpairing.pdf</x:v>
      </x:c>
      <x:c r="M344" s="28" t="str">
        <x:v>The Art &amp; Science of Foodpairing.pdf: 336</x:v>
      </x:c>
    </x:row>
    <x:row r="345" ht="64" customHeight="1">
      <x:c r="A345" s="28" t="str">
        <x:v>STN-0415</x:v>
      </x:c>
      <x:c r="B345" s="28" t="str">
        <x:v>чернослив</x:v>
      </x:c>
      <x:c r="C345" s="28" t="str">
        <x:v>чернослив</x:v>
      </x:c>
      <x:c r="D345" s="28" t="str">
        <x:v>гвоздика</x:v>
      </x:c>
      <x:c r="E345" s="28" t="str">
        <x:v>Специи и острые компоненты</x:v>
      </x:c>
      <x:c r="F345" s="28" t="str">
        <x:v>комплементарность ароматических семейств, вкусовой контраст и матричный эффект</x:v>
      </x:c>
      <x:c r="G345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Гвоздика относится к группе «Специи и острые компоненты» и даёт профиль «тёплый, фенольный и пряный»; типичные соединения или классы: эвгенол, эвгенилацетат.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45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45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345" s="28" t="str">
        <x:v>напиток, соус, десерт или горячее блюдо после пробной дегустации</x:v>
      </x:c>
      <x:c r="K345" s="28" t="str">
        <x:v>Гипотеза / практическая</x:v>
      </x:c>
      <x:c r="L345" s="28" t="str">
        <x:v>Таблица сочетания(1).pdf</x:v>
      </x:c>
      <x:c r="M345" s="28" t="str">
        <x:v>Таблица сочетания(1).pdf: 5 | Таблица сочетания(1).pdf: 18</x:v>
      </x:c>
    </x:row>
    <x:row r="346" ht="64" customHeight="1">
      <x:c r="A346" s="28" t="str">
        <x:v>STN-0417</x:v>
      </x:c>
      <x:c r="B346" s="28" t="str">
        <x:v>чернослив</x:v>
      </x:c>
      <x:c r="C346" s="28" t="str">
        <x:v>чернослив</x:v>
      </x:c>
      <x:c r="D346" s="28" t="str">
        <x:v>груша</x:v>
      </x:c>
      <x:c r="E346" s="28" t="str">
        <x:v>Семечковые фрукты</x:v>
      </x:c>
      <x:c r="F346" s="28" t="str">
        <x:v>комплементарность ароматических семейств, вкусовой контраст и матричный эффект</x:v>
      </x:c>
      <x:c r="G346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Груша относится к группе «Семечковые фрукты» и даёт профиль «сочный фруктовый, цветочный, медовый, зелёный; у зрелых сортов — винный и пряный»; типичные соединения или классы: этил (E,Z)-2,4-декадиеноат («грушевый эфир»), гексилацетат, бутилацетат, гексаналь, линалоол. По доступным материалам нельзя уверенно свести совместимость к одной общей молекуле. Общие ароматические направления: фруктовый, винный. Базовый фрукт даёт: высокая сладость, мягкая кислотность и плотная сухофруктовая насыщенность. Партнёр добавляет: мягкая сладость, умеренная кислотность, иногда лёгкая зернистость и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водная, богатая пектином и каменистыми клетками; летучие эфиры чувствительны к перегреву.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H346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незрелая груша ароматически бедна, перезрелая быстро становится мучнистой; сильная кислота может сделать профиль тонким.</x:v>
      </x:c>
      <x:c r="I346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46" s="28" t="str">
        <x:v>напиток, соус, десерт или горячее блюдо после пробной дегустации</x:v>
      </x:c>
      <x:c r="K346" s="28" t="str">
        <x:v>Гипотеза / практическая</x:v>
      </x:c>
      <x:c r="L346" s="28" t="str">
        <x:v>Таблица сочетания(1).pdf</x:v>
      </x:c>
      <x:c r="M346" s="28" t="str">
        <x:v>Таблица сочетания(1).pdf: Таблица сочетаний: 18 | Таблица сочетания(1).pdf: 18</x:v>
      </x:c>
    </x:row>
    <x:row r="347" ht="64" customHeight="1">
      <x:c r="A347" s="28" t="str">
        <x:v>STN-0418</x:v>
      </x:c>
      <x:c r="B347" s="28" t="str">
        <x:v>чернослив</x:v>
      </x:c>
      <x:c r="C347" s="28" t="str">
        <x:v>чернослив</x:v>
      </x:c>
      <x:c r="D347" s="28" t="str">
        <x:v>доенджан</x:v>
      </x:c>
      <x:c r="E347" s="28" t="str">
        <x:v>Ферментированные продукты, соусы и уксусы</x:v>
      </x:c>
      <x:c r="F347" s="28" t="str">
        <x:v>комплементарность ароматических семейств, вкусовой контраст и матричный эффект</x:v>
      </x:c>
      <x:c r="G347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Доенджан относится к группе «Ферментированные продукты, соусы и уксусы» и даёт профиль «умами, ферментированный, солёный, кислый и иногда жареный»; типичные соединения или классы: органические кислоты, эфиры, пиразины, сернистые соединения. По доступным материалам нельзя уверенно свести совместимость к одной общей молекуле. Кислота, соль и умами усиливают контраст с фруктовой сладостью; сочетание работает в малой дозировке как приправа. Матрица пары: маловодная, богатая сахарами, пектином и сорбитолом; хорошо удерживает специи и алкоголь. Партнёр: часто водная и солёная; концентраты требуют малых доз.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H347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редукция концентрирует соль, кислоту и умами; ферментация создаёт дополнительные эфиры.</x:v>
      </x:c>
      <x:c r="I347" s="28" t="str">
        <x:v>легко сделать вкус тяжёлым и приторным; нужна кислота, соль, горечь или умами. Соль и кислота быстро становятся доминирующими; используйте как акцент.</x:v>
      </x:c>
      <x:c r="J347" s="28" t="str">
        <x:v>соус, глазировка, чатни, маринад, гарнир или основное блюдо</x:v>
      </x:c>
      <x:c r="K347" s="28" t="str">
        <x:v>Средняя</x:v>
      </x:c>
      <x:c r="L347" s="28" t="str">
        <x:v>The Art &amp; Science of Foodpairing.pdf</x:v>
      </x:c>
      <x:c r="M347" s="28" t="str">
        <x:v>The Art &amp; Science of Foodpairing.pdf: 247</x:v>
      </x:c>
    </x:row>
    <x:row r="348" ht="64" customHeight="1">
      <x:c r="A348" s="28" t="str">
        <x:v>STN-0419</x:v>
      </x:c>
      <x:c r="B348" s="28" t="str">
        <x:v>чернослив</x:v>
      </x:c>
      <x:c r="C348" s="28" t="str">
        <x:v>чернослив</x:v>
      </x:c>
      <x:c r="D348" s="28" t="str">
        <x:v>изюм</x:v>
      </x:c>
      <x:c r="E348" s="28" t="str">
        <x:v>Фрукты</x:v>
      </x:c>
      <x:c r="F348" s="28" t="str">
        <x:v>комплементарность ароматических семейств, вкусовой контраст и матричный эффект</x:v>
      </x:c>
      <x:c r="G348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Изюм относится к группе «Фрукты» и даёт профиль «зелёный, фруктовый, цветочный»; типичные соединения или классы: лактоны, терпены, эфиры. По доступным материалам нельзя уверенно свести совместимость к одной общей молекуле. Общие ароматические направления: фруктовый.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водная фруктовая матрица.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48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48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48" s="28" t="str">
        <x:v>сорбет, салат, джем, кордиал, лимонад, коктейль или фруктовый соус</x:v>
      </x:c>
      <x:c r="K348" s="28" t="str">
        <x:v>Гипотеза / практическая</x:v>
      </x:c>
      <x:c r="L348" s="28" t="str">
        <x:v>Таблица сочетания(1).pdf</x:v>
      </x:c>
      <x:c r="M348" s="28" t="str">
        <x:v>Таблица сочетания(1).pdf: 18</x:v>
      </x:c>
    </x:row>
    <x:row r="349" ht="64" customHeight="1">
      <x:c r="A349" s="28" t="str">
        <x:v>STN-0420</x:v>
      </x:c>
      <x:c r="B349" s="28" t="str">
        <x:v>чернослив</x:v>
      </x:c>
      <x:c r="C349" s="28" t="str">
        <x:v>чернослив</x:v>
      </x:c>
      <x:c r="D349" s="28" t="str">
        <x:v>имбирь</x:v>
      </x:c>
      <x:c r="E349" s="28" t="str">
        <x:v>Специи и острые компоненты</x:v>
      </x:c>
      <x:c r="F349" s="28" t="str">
        <x:v>комплементарность ароматических семейств, вкусовой контраст и матричный эффект</x:v>
      </x:c>
      <x:c r="G34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Имбирь относится к группе «Специи и острые компоненты» и даёт профиль «цитрусово-пряный, древесный и свежий»; типичные соединения или классы: зингиберен, цитраль, гингеролы, шогаолы.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49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49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349" s="28" t="str">
        <x:v>напиток, соус, десерт или горячее блюдо после пробной дегустации</x:v>
      </x:c>
      <x:c r="K349" s="28" t="str">
        <x:v>Гипотеза / практическая</x:v>
      </x:c>
      <x:c r="L349" s="28" t="str">
        <x:v>Таблица сочетания(1).pdf</x:v>
      </x:c>
      <x:c r="M349" s="28" t="str">
        <x:v>Таблица сочетания(1).pdf: 18</x:v>
      </x:c>
    </x:row>
    <x:row r="350" ht="64" customHeight="1">
      <x:c r="A350" s="28" t="str">
        <x:v>STN-0421</x:v>
      </x:c>
      <x:c r="B350" s="28" t="str">
        <x:v>чернослив</x:v>
      </x:c>
      <x:c r="C350" s="28" t="str">
        <x:v>чернослив</x:v>
      </x:c>
      <x:c r="D350" s="28" t="str">
        <x:v>инжир</x:v>
      </x:c>
      <x:c r="E350" s="28" t="str">
        <x:v>Субтропические фрукты</x:v>
      </x:c>
      <x:c r="F350" s="28" t="str">
        <x:v>прямое или классовое перекрытие характерных одорантов + вкусовой баланс</x:v>
      </x:c>
      <x:c r="G35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Инжир относится к группе «Субтропические фрукты» и даёт профиль «медовый, зелёный, ягодный, цветочный, кокосово-лактонный»; типичные соединения или классы: бензальдегид, линалоол, фуранеол, лактоны и зелёные альдегиды. В рабочих профилях пересекаются: бензальдегид. Базовый фрукт даёт: высокая сладость, мягкая кислотность и плотная сухофруктовая насыщенность. Партнёр добавляет: высокая сладость, низкая кислотность; семена дают хруст.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пектиновая и сахаристая; сушёный инжир концентрирует сахар, фенолы и карамельные ноты.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H350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нуждается в кислоте, соли или горечи; молочный латекс незрелых плодов может раздражать.</x:v>
      </x:c>
      <x:c r="I350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0" s="28" t="str">
        <x:v>напиток, соус, десерт или горячее блюдо после пробной дегустации</x:v>
      </x:c>
      <x:c r="K350" s="28" t="str">
        <x:v>Гипотеза / практическая</x:v>
      </x:c>
      <x:c r="L350" s="28" t="str">
        <x:v>Таблица сочетания(1).pdf</x:v>
      </x:c>
      <x:c r="M350" s="28" t="str">
        <x:v>Таблица сочетания(1).pdf: Таблица сочетаний: 18, 8 | Таблица сочетания(1).pdf: 8 | Таблица сочетания(1).pdf: 18</x:v>
      </x:c>
    </x:row>
    <x:row r="351" ht="64" customHeight="1">
      <x:c r="A351" s="28" t="str">
        <x:v>STN-0422</x:v>
      </x:c>
      <x:c r="B351" s="28" t="str">
        <x:v>чернослив</x:v>
      </x:c>
      <x:c r="C351" s="28" t="str">
        <x:v>чернослив</x:v>
      </x:c>
      <x:c r="D351" s="28" t="str">
        <x:v>карамель</x:v>
      </x:c>
      <x:c r="E351" s="28" t="str">
        <x:v>Сахара, мёд и кондитерские основы</x:v>
      </x:c>
      <x:c r="F351" s="28" t="str">
        <x:v>прямое или классовое перекрытие характерных одорантов + вкусовой баланс</x:v>
      </x:c>
      <x:c r="G35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Карамель относится к группе «Сахара, мёд и кондитерские основы» и даёт профиль «жжёный сахар, сливочный и жареный»; типичные соединения или классы: мальтол, фурфурол, диацетил. В рабочих профилях пересекаются: фурфурол, мальтол. 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351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351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1" s="28" t="str">
        <x:v>напиток, соус, десерт или горячее блюдо после пробной дегустации</x:v>
      </x:c>
      <x:c r="K351" s="28" t="str">
        <x:v>Гипотеза / практическая</x:v>
      </x:c>
      <x:c r="L351" s="28" t="str">
        <x:v>Таблица сочетания(1).pdf</x:v>
      </x:c>
      <x:c r="M351" s="28" t="str">
        <x:v>Таблица сочетания(1).pdf: 18</x:v>
      </x:c>
    </x:row>
    <x:row r="352" ht="64" customHeight="1">
      <x:c r="A352" s="28" t="str">
        <x:v>STN-0424</x:v>
      </x:c>
      <x:c r="B352" s="28" t="str">
        <x:v>чернослив</x:v>
      </x:c>
      <x:c r="C352" s="28" t="str">
        <x:v>чернослив</x:v>
      </x:c>
      <x:c r="D352" s="28" t="str">
        <x:v>каштан</x:v>
      </x:c>
      <x:c r="E352" s="28" t="str">
        <x:v>Прочее</x:v>
      </x:c>
      <x:c r="F352" s="28" t="str">
        <x:v>комплементарность ароматических семейств, вкусовой контраст и матричный эффект</x:v>
      </x:c>
      <x:c r="G35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Каштан относится к группе «Прочее» и даёт профиль «ароматический профиль зависит от конкретного ингредиента»; типичные соединения или классы: летучие соединения конкретного продукта.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сочетание оценивается по балансу сладости, кислоты, соли, горечи и умами.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важны вода, жир, белок, сахар и температура.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H352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требуется пробная сборка с учётом технологии.</x:v>
      </x:c>
      <x:c r="I352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2" s="28" t="str">
        <x:v>напиток, соус, десерт или горячее блюдо после пробной дегустации</x:v>
      </x:c>
      <x:c r="K352" s="28" t="str">
        <x:v>Гипотеза / практическая</x:v>
      </x:c>
      <x:c r="L352" s="28" t="str">
        <x:v>Таблица сочетания(1).pdf</x:v>
      </x:c>
      <x:c r="M352" s="28" t="str">
        <x:v>Таблица сочетания(1).pdf: 4 | Таблица сочетания(1).pdf: 18</x:v>
      </x:c>
    </x:row>
    <x:row r="353" ht="64" customHeight="1">
      <x:c r="A353" s="28" t="str">
        <x:v>STN-0425</x:v>
      </x:c>
      <x:c r="B353" s="28" t="str">
        <x:v>чернослив</x:v>
      </x:c>
      <x:c r="C353" s="28" t="str">
        <x:v>чернослив</x:v>
      </x:c>
      <x:c r="D353" s="28" t="str">
        <x:v>кленовый сироп</x:v>
      </x:c>
      <x:c r="E353" s="28" t="str">
        <x:v>Сахара, мёд и кондитерские основы</x:v>
      </x:c>
      <x:c r="F353" s="28" t="str">
        <x:v>прямое или классовое перекрытие характерных одорантов + вкусовой баланс</x:v>
      </x:c>
      <x:c r="G35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Кленовый сироп относится к группе «Сахара, мёд и кондитерские основы» и даёт профиль «медовый, карамельный, ванильный и жареный»; типичные соединения или классы: мальтол, фуранеол, фурфурол, ванилин. В рабочих профилях пересекаются: фурфурол, мальтол. Общие ароматические направления: карамельный. 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353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353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3" s="28" t="str">
        <x:v>напиток, соус, десерт или горячее блюдо после пробной дегустации</x:v>
      </x:c>
      <x:c r="K353" s="28" t="str">
        <x:v>Гипотеза / практическая</x:v>
      </x:c>
      <x:c r="L353" s="28" t="str">
        <x:v>Таблица сочетания(1).pdf</x:v>
      </x:c>
      <x:c r="M353" s="28" t="str">
        <x:v>Таблица сочетания(1).pdf: 18</x:v>
      </x:c>
    </x:row>
    <x:row r="354" ht="64" customHeight="1">
      <x:c r="A354" s="28" t="str">
        <x:v>STN-0426</x:v>
      </x:c>
      <x:c r="B354" s="28" t="str">
        <x:v>чернослив</x:v>
      </x:c>
      <x:c r="C354" s="28" t="str">
        <x:v>чернослив</x:v>
      </x:c>
      <x:c r="D354" s="28" t="str">
        <x:v>кокос</x:v>
      </x:c>
      <x:c r="E354" s="28" t="str">
        <x:v>Тропические фрукты и жирные матрицы</x:v>
      </x:c>
      <x:c r="F354" s="28" t="str">
        <x:v>комплементарность ароматических семейств, вкусовой контраст и матричный эффект</x:v>
      </x:c>
      <x:c r="G35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богатая жиром эмульсия; хорошо растворяет гидрофобные терпены, специи и ароматические масла.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35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354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4" s="28" t="str">
        <x:v>напиток, соус, десерт или горячее блюдо после пробной дегустации</x:v>
      </x:c>
      <x:c r="K354" s="28" t="str">
        <x:v>Средняя</x:v>
      </x:c>
      <x:c r="L354" s="28" t="str">
        <x:v>The Art &amp; Science of Foodpairing.pdf</x:v>
      </x:c>
      <x:c r="M354" s="28" t="str">
        <x:v>The Art &amp; Science of Foodpairing.pdf: 135</x:v>
      </x:c>
    </x:row>
    <x:row r="355" ht="64" customHeight="1">
      <x:c r="A355" s="28" t="str">
        <x:v>STN-0427</x:v>
      </x:c>
      <x:c r="B355" s="28" t="str">
        <x:v>чернослив</x:v>
      </x:c>
      <x:c r="C355" s="28" t="str">
        <x:v>чернослив</x:v>
      </x:c>
      <x:c r="D355" s="28" t="str">
        <x:v>корица</x:v>
      </x:c>
      <x:c r="E355" s="28" t="str">
        <x:v>Специи и острые компоненты</x:v>
      </x:c>
      <x:c r="F355" s="28" t="str">
        <x:v>комплементарность ароматических семейств, вкусовой контраст и матричный эффект</x:v>
      </x:c>
      <x:c r="G355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Корица относится к группе «Специи и острые компоненты» и даёт профиль «тёплый, древесный и сладко-пряный»; типичные соединения или классы: коричный альдегид, эвгенол. По доступным материалам нельзя уверенно свести совместимость к одной общей молекуле. Сладость и кислота фрукта смягчают остроту и горечь специи, а пряный компонент удлиняет ароматическое послевкусие. Матрица пары: маловодная, богатая сахарами, пектином и сорбитолом; хорошо удерживает специи и алкоголь. Партнёр: ароматические масла хорошо переходят в жир и этанол. Обработка: 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H355" s="28" t="str">
        <x:v>замачивание возвращает сочность; тушение усиливает карамель и пряности; копчение быстро становится доминирующим. Краткая инфузия сохраняет детализацию; длительный нагрев и настаивание повышают горечь и остроту. Для партнёра важно: обжарка усиливает тёплые ноты, но пережаривание даёт горечь.</x:v>
      </x:c>
      <x:c r="I355" s="28" t="str">
        <x:v>легко сделать вкус тяжёлым и приторным; нужна кислота, соль, горечь или умами. Специя легко доминирует; начинайте с низкой дозировки и учитывайте рост остроты после выдержки.</x:v>
      </x:c>
      <x:c r="J355" s="28" t="str">
        <x:v>напиток, соус, десерт или горячее блюдо после пробной дегустации</x:v>
      </x:c>
      <x:c r="K355" s="28" t="str">
        <x:v>Гипотеза / практическая</x:v>
      </x:c>
      <x:c r="L355" s="28" t="str">
        <x:v>Таблица сочетания(1).pdf</x:v>
      </x:c>
      <x:c r="M355" s="28" t="str">
        <x:v>Таблица сочетания(1).pdf: 18</x:v>
      </x:c>
    </x:row>
    <x:row r="356" ht="64" customHeight="1">
      <x:c r="A356" s="28" t="str">
        <x:v>STN-0428</x:v>
      </x:c>
      <x:c r="B356" s="28" t="str">
        <x:v>чернослив</x:v>
      </x:c>
      <x:c r="C356" s="28" t="str">
        <x:v>чернослив</x:v>
      </x:c>
      <x:c r="D356" s="28" t="str">
        <x:v>лимон</x:v>
      </x:c>
      <x:c r="E356" s="28" t="str">
        <x:v>Цитрусовые</x:v>
      </x:c>
      <x:c r="F356" s="28" t="str">
        <x:v>комплементарность ароматических семейств, вкусовой контраст и матричный эффект</x:v>
      </x:c>
      <x:c r="G356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сок водный и кислый, цедра содержит гидрофобные эфирные масла.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56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56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6" s="28" t="str">
        <x:v>сорбет, салат, джем, кордиал, лимонад, коктейль или фруктовый соус</x:v>
      </x:c>
      <x:c r="K356" s="28" t="str">
        <x:v>Гипотеза / практическая</x:v>
      </x:c>
      <x:c r="L356" s="28" t="str">
        <x:v>Таблица сочетания(1).pdf</x:v>
      </x:c>
      <x:c r="M356" s="28" t="str">
        <x:v>Таблица сочетания(1).pdf: Таблица сочетания(1).pdf: 18 | Таблица сочетания(1).pdf: 18</x:v>
      </x:c>
    </x:row>
    <x:row r="357" ht="64" customHeight="1">
      <x:c r="A357" s="28" t="str">
        <x:v>STN-0429</x:v>
      </x:c>
      <x:c r="B357" s="28" t="str">
        <x:v>чернослив</x:v>
      </x:c>
      <x:c r="C357" s="28" t="str">
        <x:v>чернослив</x:v>
      </x:c>
      <x:c r="D357" s="28" t="str">
        <x:v>мед</x:v>
      </x:c>
      <x:c r="E357" s="28" t="str">
        <x:v>Сахара, мёд и кондитерские основы</x:v>
      </x:c>
      <x:c r="F357" s="28" t="str">
        <x:v>комплементарность ароматических семейств, вкусовой контраст и матричный эффект</x:v>
      </x:c>
      <x:c r="G357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Мед относится к группе «Сахара, мёд и кондитерские основы» и даёт профиль «цветочный, восковой и карамельный»; типичные соединения или классы: фенилуксусная кислота, фураны, терпены, зависящие от ботанического происхождения. По доступным материалам нельзя уверенно свести совместимость к одной общей молекуле. Общие ароматические направления: карамельный. Базовый фрукт даёт: высокая сладость, мягкая кислотность и плотная сухофруктовая насыщенность. Партнёр добавляет: высокая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вязкая сахарная; снижает летучесть и смягчает кислоту.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H357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карамелизация создаёт горько-жареные ноты; перегрев даёт жжёную горечь.</x:v>
      </x:c>
      <x:c r="I357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7" s="28" t="str">
        <x:v>напиток, соус, десерт или горячее блюдо после пробной дегустации</x:v>
      </x:c>
      <x:c r="K357" s="28" t="str">
        <x:v>Гипотеза / практическая</x:v>
      </x:c>
      <x:c r="L357" s="28" t="str">
        <x:v>Таблица сочетания(1).pdf</x:v>
      </x:c>
      <x:c r="M357" s="28" t="str">
        <x:v>Таблица сочетания(1).pdf: 18</x:v>
      </x:c>
    </x:row>
    <x:row r="358" ht="64" customHeight="1">
      <x:c r="A358" s="28" t="str">
        <x:v>STN-0431</x:v>
      </x:c>
      <x:c r="B358" s="28" t="str">
        <x:v>чернослив</x:v>
      </x:c>
      <x:c r="C358" s="28" t="str">
        <x:v>чернослив</x:v>
      </x:c>
      <x:c r="D358" s="28" t="str">
        <x:v>мята</x:v>
      </x:c>
      <x:c r="E358" s="28" t="str">
        <x:v>Травы и цветы</x:v>
      </x:c>
      <x:c r="F358" s="28" t="str">
        <x:v>комплементарность ароматических семейств, вкусовой контраст и матричный эффект</x:v>
      </x:c>
      <x:c r="G358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Мята относится к группе «Травы и цветы» и даёт профиль «свежий мятный»; типичные соединения или классы: ментол, ментон.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58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58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8" s="28" t="str">
        <x:v>напиток, соус, десерт или горячее блюдо после пробной дегустации</x:v>
      </x:c>
      <x:c r="K358" s="28" t="str">
        <x:v>Гипотеза / практическая</x:v>
      </x:c>
      <x:c r="L358" s="28" t="str">
        <x:v>Таблица сочетания(1).pdf</x:v>
      </x:c>
      <x:c r="M358" s="28" t="str">
        <x:v>Таблица сочетания(1).pdf: 18</x:v>
      </x:c>
    </x:row>
    <x:row r="359" ht="64" customHeight="1">
      <x:c r="A359" s="28" t="str">
        <x:v>STN-0433</x:v>
      </x:c>
      <x:c r="B359" s="28" t="str">
        <x:v>чернослив</x:v>
      </x:c>
      <x:c r="C359" s="28" t="str">
        <x:v>чернослив</x:v>
      </x:c>
      <x:c r="D359" s="28" t="str">
        <x:v>розмарин</x:v>
      </x:c>
      <x:c r="E359" s="28" t="str">
        <x:v>Травы и цветы</x:v>
      </x:c>
      <x:c r="F359" s="28" t="str">
        <x:v>комплементарность ароматических семейств, вкусовой контраст и матричный эффект</x:v>
      </x:c>
      <x:c r="G359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Розмарин относится к группе «Травы и цветы» и даёт профиль «хвойный, камфорный и древесный»; типичные соединения или классы: 1,8-цинеол, камфора, α-пинен.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обычно низкая сладость; возможны горечь и зелёная терпкость.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эфирные масла гидрофобны и лучше раскрываются в жире или этаноле.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H359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короткая холодная экстракция сохраняет верхние ноты; длительный нагрев даёт горечь.</x:v>
      </x:c>
      <x:c r="I359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59" s="28" t="str">
        <x:v>напиток, соус, десерт или горячее блюдо после пробной дегустации</x:v>
      </x:c>
      <x:c r="K359" s="28" t="str">
        <x:v>Гипотеза / практическая</x:v>
      </x:c>
      <x:c r="L359" s="28" t="str">
        <x:v>Таблица сочетания(1).pdf</x:v>
      </x:c>
      <x:c r="M359" s="28" t="str">
        <x:v>Таблица сочетания(1).pdf: 18</x:v>
      </x:c>
    </x:row>
    <x:row r="360" ht="64" customHeight="1">
      <x:c r="A360" s="28" t="str">
        <x:v>STN-0434</x:v>
      </x:c>
      <x:c r="B360" s="28" t="str">
        <x:v>чернослив</x:v>
      </x:c>
      <x:c r="C360" s="28" t="str">
        <x:v>чернослив</x:v>
      </x:c>
      <x:c r="D360" s="28" t="str">
        <x:v>свиная корейка</x:v>
      </x:c>
      <x:c r="E360" s="28" t="str">
        <x:v>Прочее</x:v>
      </x:c>
      <x:c r="F360" s="28" t="str">
        <x:v>комплементарность ароматических семейств, вкусовой контраст и матричный эффект</x:v>
      </x:c>
      <x:c r="G360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баланс зависит от продукта.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матрица зависит от формы продукта.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H360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I360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60" s="28" t="str">
        <x:v>напиток, соус, десерт или горячее блюдо после пробной дегустации</x:v>
      </x:c>
      <x:c r="K360" s="28" t="str">
        <x:v>Средняя</x:v>
      </x:c>
      <x:c r="L360" s="28" t="str">
        <x:v>The Art &amp; Science of Foodpairing.pdf</x:v>
      </x:c>
      <x:c r="M360" s="28" t="str">
        <x:v>The Art &amp; Science of Foodpairing.pdf: 186</x:v>
      </x:c>
    </x:row>
    <x:row r="361" ht="64" customHeight="1">
      <x:c r="A361" s="28" t="str">
        <x:v>STN-0435</x:v>
      </x:c>
      <x:c r="B361" s="28" t="str">
        <x:v>чернослив</x:v>
      </x:c>
      <x:c r="C361" s="28" t="str">
        <x:v>чернослив</x:v>
      </x:c>
      <x:c r="D361" s="28" t="str">
        <x:v>смородина</x:v>
      </x:c>
      <x:c r="E361" s="28" t="str">
        <x:v>Ягоды</x:v>
      </x:c>
      <x:c r="F361" s="28" t="str">
        <x:v>комплементарность ароматических семейств, вкусовой контраст и матричный эффект</x:v>
      </x:c>
      <x:c r="G361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фруктовый.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водная пектиновая; антоцианы влияют на цвет, но не являются главными одорантами.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361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361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61" s="28" t="str">
        <x:v>сорбет, салат, джем, кордиал, лимонад, коктейль или фруктовый соус</x:v>
      </x:c>
      <x:c r="K361" s="28" t="str">
        <x:v>Гипотеза / практическая</x:v>
      </x:c>
      <x:c r="L361" s="28" t="str">
        <x:v>Таблица сочетания(1).pdf</x:v>
      </x:c>
      <x:c r="M361" s="28" t="str">
        <x:v>Таблица сочетания(1).pdf: Таблица сочетаний: 18 | Таблица сочетания(1).pdf: 18</x:v>
      </x:c>
    </x:row>
    <x:row r="362" ht="64" customHeight="1">
      <x:c r="A362" s="28" t="str">
        <x:v>STN-0436</x:v>
      </x:c>
      <x:c r="B362" s="28" t="str">
        <x:v>чернослив</x:v>
      </x:c>
      <x:c r="C362" s="28" t="str">
        <x:v>чернослив</x:v>
      </x:c>
      <x:c r="D362" s="28" t="str">
        <x:v>темный шоколад</x:v>
      </x:c>
      <x:c r="E362" s="28" t="str">
        <x:v>Чай, кофе и какао</x:v>
      </x:c>
      <x:c r="F362" s="28" t="str">
        <x:v>комплементарность ароматических семейств, вкусовой контраст и матричный эффект</x:v>
      </x:c>
      <x:c r="G362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Темный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горечь, терпкость и жареная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водные настои извлекают полифенолы; жир и сахар смягчают горечь.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362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362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62" s="28" t="str">
        <x:v>напиток, соус, десерт или горячее блюдо после пробной дегустации</x:v>
      </x:c>
      <x:c r="K362" s="28" t="str">
        <x:v>Гипотеза / практическая</x:v>
      </x:c>
      <x:c r="L362" s="28" t="str">
        <x:v>Таблица сочетания(1).pdf</x:v>
      </x:c>
      <x:c r="M362" s="28" t="str">
        <x:v>Таблица сочетания(1).pdf: 18</x:v>
      </x:c>
    </x:row>
    <x:row r="363" ht="64" customHeight="1">
      <x:c r="A363" s="28" t="str">
        <x:v>STN-0437</x:v>
      </x:c>
      <x:c r="B363" s="28" t="str">
        <x:v>чернослив</x:v>
      </x:c>
      <x:c r="C363" s="28" t="str">
        <x:v>чернослив</x:v>
      </x:c>
      <x:c r="D363" s="28" t="str">
        <x:v>финик</x:v>
      </x:c>
      <x:c r="E363" s="28" t="str">
        <x:v>Сухофрукты и тропические плоды</x:v>
      </x:c>
      <x:c r="F363" s="28" t="str">
        <x:v>комплементарность ароматических семейств, вкусовой контраст и матричный эффект</x:v>
      </x:c>
      <x:c r="G363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Финик относится к группе «Сухофрукты и тропические плоды» и даёт профиль «медовый, карамельный, сухофруктовый, ореховый и пряный»; типичные соединения или классы: фураны, альдегиды Стреккера, фенольные соединения и продукты карамелизации. По доступным материалам нельзя уверенно свести совместимость к одной общей молекуле. Общие ароматические направления: фруктовый, карамельный. Базовый фрукт даёт: высокая сладость, мягкая кислотность и плотная сухофруктовая насыщенность. Партнёр добавляет: очень высокая сладость, низкая кислотность.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плотная сахаристая и вязкая; хорошо связывает жир и специи.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H363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без кислоты, соли или горечи сочетание быстро становится приторным.</x:v>
      </x:c>
      <x:c r="I363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63" s="28" t="str">
        <x:v>напиток, соус, десерт или горячее блюдо после пробной дегустации</x:v>
      </x:c>
      <x:c r="K363" s="28" t="str">
        <x:v>Гипотеза / практическая</x:v>
      </x:c>
      <x:c r="L363" s="28" t="str">
        <x:v>Таблица сочетания(1).pdf</x:v>
      </x:c>
      <x:c r="M363" s="28" t="str">
        <x:v>Таблица сочетания(1).pdf: Таблица сочетаний: 18, 7 | Таблица сочетания(1).pdf: 7 | Таблица сочетания(1).pdf: 18</x:v>
      </x:c>
    </x:row>
    <x:row r="364" ht="64" customHeight="1">
      <x:c r="A364" s="28" t="str">
        <x:v>STN-0440</x:v>
      </x:c>
      <x:c r="B364" s="28" t="str">
        <x:v>чернослив</x:v>
      </x:c>
      <x:c r="C364" s="28" t="str">
        <x:v>чернослив</x:v>
      </x:c>
      <x:c r="D364" s="28" t="str">
        <x:v>черная смородина</x:v>
      </x:c>
      <x:c r="E364" s="28" t="str">
        <x:v>Ягоды</x:v>
      </x:c>
      <x:c r="F364" s="28" t="str">
        <x:v>комплементарность ароматических семейств, вкусовой контраст и матричный эффект</x:v>
      </x:c>
      <x:c r="G364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Черная смородина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По доступным материалам нельзя уверенно свести совместимость к одной общей молекуле. Общие ароматические направления: фруктовый. Близкие фруктовые эфиры создают непрерывность, а различия в кислотности, терпкости и сладости формируют контраст. Матрица пары: маловодная, богатая сахарами, пектином и сорбитолом; хорошо удерживает специи и алкоголь. Партнёр: водная пектиновая; антоцианы влияют на цвет, но не являются главными одорантами.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364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364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64" s="28" t="str">
        <x:v>сорбет, салат, джем, кордиал, лимонад, коктейль или фруктовый соус</x:v>
      </x:c>
      <x:c r="K364" s="28" t="str">
        <x:v>Гипотеза / практическая</x:v>
      </x:c>
      <x:c r="L364" s="28" t="str">
        <x:v>Таблица сочетания(1).pdf</x:v>
      </x:c>
      <x:c r="M364" s="28" t="str">
        <x:v>Таблица сочетания(1).pdf: Таблица сочетаний: 2 | Таблица сочетания(1).pdf: 2</x:v>
      </x:c>
    </x:row>
    <x:row r="365" ht="64" customHeight="1">
      <x:c r="A365" s="28" t="str">
        <x:v>STN-0441</x:v>
      </x:c>
      <x:c r="B365" s="28" t="str">
        <x:v>чернослив</x:v>
      </x:c>
      <x:c r="C365" s="28" t="str">
        <x:v>чернослив</x:v>
      </x:c>
      <x:c r="D365" s="28" t="str">
        <x:v>черный трюфель</x:v>
      </x:c>
      <x:c r="E365" s="28" t="str">
        <x:v>Грибы и трюфели</x:v>
      </x:c>
      <x:c r="F365" s="28" t="str">
        <x:v>комплементарность ароматических семейств, вкусовой контраст и матричный эффект</x:v>
      </x:c>
      <x:c r="G365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Черный трюфель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высокая сладость, мягкая кислотность и плотная сухофруктовая насыщенность. Партнёр добавляет: умами и лёгкая горечь.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вода и клетчатка; обжарка создаёт новые жареные молекулы.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H365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</x:v>
      </x:c>
      <x:c r="I365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65" s="28" t="str">
        <x:v>соус, глазировка, чатни, маринад, гарнир или основное блюдо</x:v>
      </x:c>
      <x:c r="K365" s="28" t="str">
        <x:v>Средняя</x:v>
      </x:c>
      <x:c r="L365" s="28" t="str">
        <x:v>The Art &amp; Science of Foodpairing.pdf</x:v>
      </x:c>
      <x:c r="M365" s="28" t="str">
        <x:v>The Art &amp; Science of Foodpairing.pdf: 193</x:v>
      </x:c>
    </x:row>
    <x:row r="366" ht="64" customHeight="1">
      <x:c r="A366" s="28" t="str">
        <x:v>STN-0442</x:v>
      </x:c>
      <x:c r="B366" s="28" t="str">
        <x:v>чернослив</x:v>
      </x:c>
      <x:c r="C366" s="28" t="str">
        <x:v>чернослив</x:v>
      </x:c>
      <x:c r="D366" s="28" t="str">
        <x:v>шоколад</x:v>
      </x:c>
      <x:c r="E366" s="28" t="str">
        <x:v>Чай, кофе и какао</x:v>
      </x:c>
      <x:c r="F366" s="28" t="str">
        <x:v>комплементарность ароматических семейств, вкусовой контраст и матричный эффект</x:v>
      </x:c>
      <x:c r="G366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Шоколад относится к группе «Чай, кофе и какао» и даёт профиль «какао, жареный, ореховый и фруктовый»; типичные соединения или классы: пиразины, альдегиды Стреккера, фураны.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горечь, терпкость и жареная сладость.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водные настои извлекают полифенолы; жир и сахар смягчают горечь.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H366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степень обжарки или заваривания радикально меняет профиль.</x:v>
      </x:c>
      <x:c r="I366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66" s="28" t="str">
        <x:v>напиток, соус, десерт или горячее блюдо после пробной дегустации</x:v>
      </x:c>
      <x:c r="K366" s="28" t="str">
        <x:v>Средняя</x:v>
      </x:c>
      <x:c r="L366" s="28" t="str">
        <x:v>The Art &amp; Science of Foodpairing.pdf</x:v>
      </x:c>
      <x:c r="M366" s="28" t="str">
        <x:v>The Art &amp; Science of Foodpairing.pdf: 62</x:v>
      </x:c>
    </x:row>
    <x:row r="367" ht="64" customHeight="1">
      <x:c r="A367" s="28" t="str">
        <x:v>STN-0443</x:v>
      </x:c>
      <x:c r="B367" s="28" t="str">
        <x:v>чернослив</x:v>
      </x:c>
      <x:c r="C367" s="28" t="str">
        <x:v>чернослив</x:v>
      </x:c>
      <x:c r="D367" s="28" t="str">
        <x:v>яблоко</x:v>
      </x:c>
      <x:c r="E367" s="28" t="str">
        <x:v>Семечковые фрукты</x:v>
      </x:c>
      <x:c r="F367" s="28" t="str">
        <x:v>комплементарность ароматических семейств, вкусовой контраст и матричный эффект</x:v>
      </x:c>
      <x:c r="G367" s="28" t="str">
        <x:v>Чернослив формирует профиль «тёмно-фруктовый, карамельный, винный, слегка дымный и миндальный»; характерные соединения: фурфурол, 5-метилфурфурол, мальтол, лактоны, бензальдегид, продукты термического распада сахаров. Яблоко относится к группе «Семечковые фрукты» и даёт профиль «свежий фруктовый, зелёный, цветочный, пряный; профиль сильно зависит от сорта и зрелости»; типичные соединения или классы: гексилацетат, бутил ацетат, этил-2-метилбутират, гексаналь, транс-2-гексеналь, β-дамасценон. По доступным материалам нельзя уверенно свести совместимость к одной общей молекуле. Общие ароматические направления: фруктовый. Базовый фрукт даёт: высокая сладость, мягкая кислотность и плотная сухофруктовая насыщенность. Партнёр добавляет: сладость и яблочная кислота; иногда лёгкая терпкость кожицы. Баланс корректируется сахаром, кислотой, солью и горечью. Матрица пары: маловодная, богатая сахарами, пектином и сорбитолом; хорошо удерживает специи и алкоголь. Партнёр: водная, с пектином; низкое содержание жира; ароматические эфиры быстро теряются после разрезания. Обработка: 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H367" s="28" t="str">
        <x:v>замачивание возвращает сочность; тушение усиливает карамель и пряности; копчение быстро становится доминирующим. Холодная обработка лучше сохраняет летучие эфиры; нагрев смещает профиль к джему, карамели и сухофруктам. Для партнёра важно: окисление и потемнение после нарезки; слишком ранний сбор даёт слабый аромат; длительный нагрев превращает свежий профиль в печёный.</x:v>
      </x:c>
      <x:c r="I367" s="28" t="str">
        <x:v>легко сделать вкус тяжёлым и приторным; нужна кислота, соль, горечь или умами. Главный риск — неверная дозировка и потеря свежих летучих нот после нагрева или выдержки.</x:v>
      </x:c>
      <x:c r="J367" s="28" t="str">
        <x:v>напиток, соус, десерт или горячее блюдо после пробной дегустации</x:v>
      </x:c>
      <x:c r="K367" s="28" t="str">
        <x:v>Гипотеза / практическая</x:v>
      </x:c>
      <x:c r="L367" s="28" t="str">
        <x:v>Таблица сочетания(1).pdf</x:v>
      </x:c>
      <x:c r="M367" s="28" t="str">
        <x:v>Таблица сочетания(1).pdf: Таблица сочетаний: 18 | Таблица сочетания(1).pdf: 18</x:v>
      </x:c>
    </x:row>
    <x:row r="368" ht="64" customHeight="1">
      <x:c r="A368" s="28" t="str">
        <x:v>STN-0444</x:v>
      </x:c>
      <x:c r="B368" s="28" t="str">
        <x:v>уме</x:v>
      </x:c>
      <x:c r="C368" s="28" t="str">
        <x:v>уме</x:v>
      </x:c>
      <x:c r="D368" s="28" t="str">
        <x:v>авокадо</x:v>
      </x:c>
      <x:c r="E368" s="28" t="str">
        <x:v>Тропические фрукты и жирные матрицы</x:v>
      </x:c>
      <x:c r="F368" s="28" t="str">
        <x:v>комплементарность ароматических семейств, вкусовой контраст и матричный эффект</x:v>
      </x:c>
      <x:c r="G368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Авокадо относится к группе «Тропические фрукты и жирные матрицы» и даёт профиль «зелёный, травянистый, ореховый, маслянистый и слегка грибной»; типичные соединения или классы: гексаналь, (E)-2-гексеналь, 1-гексен-3-он, спирты и продукты окисления липидов. По доступным материалам нельзя уверенно свести совместимость к одной общей молекуле. Общие ароматические направления: зелёный. Базовый фрукт даёт: высокая кислотность; у умэбоси — соль и выраженная ферментированная умами-нота. Партнёр добавляет: мягкий, жирный, почти несладкий; лёгкая растительная горечь. Баланс корректируется сахаром, кислотой, солью и горечью. Матрица пары: водная и кислотная; в умэбоси — концентрированная соль и полифенолы. Партнёр: высокожировая эмульсия; хорошо растворяет гидрофобные ароматические молекулы.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H368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быстро окисляется и темнеет; перегрев может дать горечь и разрушить кремовую текстуру.</x:v>
      </x:c>
      <x:c r="I368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68" s="28" t="str">
        <x:v>напиток, соус, десерт или горячее блюдо после пробной дегустации</x:v>
      </x:c>
      <x:c r="K368" s="28" t="str">
        <x:v>Средняя</x:v>
      </x:c>
      <x:c r="L368" s="28" t="str">
        <x:v>The Art &amp; Science of Foodpairing.pdf</x:v>
      </x:c>
      <x:c r="M368" s="28" t="str">
        <x:v>The Art &amp; Science of Foodpairing.pdf: 354</x:v>
      </x:c>
    </x:row>
    <x:row r="369" ht="64" customHeight="1">
      <x:c r="A369" s="28" t="str">
        <x:v>STN-0445</x:v>
      </x:c>
      <x:c r="B369" s="28" t="str">
        <x:v>уме</x:v>
      </x:c>
      <x:c r="C369" s="28" t="str">
        <x:v>уме</x:v>
      </x:c>
      <x:c r="D369" s="28" t="str">
        <x:v>голубика</x:v>
      </x:c>
      <x:c r="E369" s="28" t="str">
        <x:v>Ягоды</x:v>
      </x:c>
      <x:c r="F369" s="28" t="str">
        <x:v>прямое или классовое перекрытие характерных одорантов + вкусовой баланс</x:v>
      </x:c>
      <x:c r="G369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Голубика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водная пектиновая; антоцианы влияют на цвет, но не являются главными одорантами.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369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369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69" s="28" t="str">
        <x:v>сорбет, салат, джем, кордиал, лимонад, коктейль или фруктовый соус</x:v>
      </x:c>
      <x:c r="K369" s="28" t="str">
        <x:v>Средняя</x:v>
      </x:c>
      <x:c r="L369" s="28" t="str">
        <x:v>The Art &amp; Science of Foodpairing.pdf</x:v>
      </x:c>
      <x:c r="M369" s="28" t="str">
        <x:v>The Art &amp; Science of Foodpairing.pdf: The Art &amp; Science of Foodpairing: 205 | The Art &amp; Science of Foodpairing.pdf: 205</x:v>
      </x:c>
    </x:row>
    <x:row r="370" ht="64" customHeight="1">
      <x:c r="A370" s="28" t="str">
        <x:v>STN-0446</x:v>
      </x:c>
      <x:c r="B370" s="28" t="str">
        <x:v>уме</x:v>
      </x:c>
      <x:c r="C370" s="28" t="str">
        <x:v>уме</x:v>
      </x:c>
      <x:c r="D370" s="28" t="str">
        <x:v>грейпфрут</x:v>
      </x:c>
      <x:c r="E370" s="28" t="str">
        <x:v>Цитрусовые</x:v>
      </x:c>
      <x:c r="F370" s="28" t="str">
        <x:v>прямое или классовое перекрытие характерных одорантов + вкусовой баланс</x:v>
      </x:c>
      <x:c r="G370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Грейпфрут относится к группе «Цитрусовые» и даёт профиль «цитрусовый, свежий, зелёный и цветочный»; типичные соединения или классы: лимонен, цитраль, линалоол, γ-терпинен. В рабочих профилях пересекаются: линалоол.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сок водный и кислый, цедра содержит гидрофобные эфирные масла.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70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70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70" s="28" t="str">
        <x:v>сорбет, салат, джем, кордиал, лимонад, коктейль или фруктовый соус</x:v>
      </x:c>
      <x:c r="K370" s="28" t="str">
        <x:v>Средняя</x:v>
      </x:c>
      <x:c r="L370" s="28" t="str">
        <x:v>The Art &amp; Science of Foodpairing.pdf</x:v>
      </x:c>
      <x:c r="M370" s="28" t="str">
        <x:v>The Art &amp; Science of Foodpairing.pdf: 359</x:v>
      </x:c>
    </x:row>
    <x:row r="371" ht="64" customHeight="1">
      <x:c r="A371" s="28" t="str">
        <x:v>STN-0447</x:v>
      </x:c>
      <x:c r="B371" s="28" t="str">
        <x:v>уме</x:v>
      </x:c>
      <x:c r="C371" s="28" t="str">
        <x:v>уме</x:v>
      </x:c>
      <x:c r="D371" s="28" t="str">
        <x:v>запеченный морской язык</x:v>
      </x:c>
      <x:c r="E371" s="28" t="str">
        <x:v>Рыба и морепродукты</x:v>
      </x:c>
      <x:c r="F371" s="28" t="str">
        <x:v>комплементарность ароматических семейств, вкусовой контраст и матричный эффект</x:v>
      </x:c>
      <x:c r="G371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Запеченный морской язык относится к группе «Рыба и морепродукты» и даёт профиль «морской, солёный, умами, иногда йодистый и жареный»; типичные соединения или классы: амины, бромфенолы, альдегиды жирных кислот,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водная и кислотная; в умэбоси — концентрированная соль и полифенолы. Партнёр: водно-белковая матрица; жирная рыба лучше удерживает лактоны.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H371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I371" s="28" t="str">
        <x:v>легко пересолить или сделать кислоту агрессивной; дозировать как приправу. Сильная сладость и длительный контакт с кислотой могут замаскировать морской вкус и изменить белковую текстуру.</x:v>
      </x:c>
      <x:c r="J371" s="28" t="str">
        <x:v>соус, глазировка, чатни, маринад, гарнир или основное блюдо</x:v>
      </x:c>
      <x:c r="K371" s="28" t="str">
        <x:v>Средняя</x:v>
      </x:c>
      <x:c r="L371" s="28" t="str">
        <x:v>The Art &amp; Science of Foodpairing.pdf</x:v>
      </x:c>
      <x:c r="M371" s="28" t="str">
        <x:v>The Art &amp; Science of Foodpairing.pdf: 104</x:v>
      </x:c>
    </x:row>
    <x:row r="372" ht="64" customHeight="1">
      <x:c r="A372" s="28" t="str">
        <x:v>STN-0448</x:v>
      </x:c>
      <x:c r="B372" s="28" t="str">
        <x:v>уме</x:v>
      </x:c>
      <x:c r="C372" s="28" t="str">
        <x:v>уме</x:v>
      </x:c>
      <x:c r="D372" s="28" t="str">
        <x:v>клубника</x:v>
      </x:c>
      <x:c r="E372" s="28" t="str">
        <x:v>Ягоды</x:v>
      </x:c>
      <x:c r="F372" s="28" t="str">
        <x:v>прямое или классовое перекрытие характерных одорантов + вкусовой баланс</x:v>
      </x:c>
      <x:c r="G372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Клубника относится к группе «Ягоды» и даёт профиль «красно-фруктовый, цветочный, зелёный и иногда сернистый»; типичные соединения или классы: фуранеол, эфиры, иононы, зелёные альдегиды. В рабочих профилях пересекаются: эфиры. Общие ароматические направления: цветочный, зелёный.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водная пектиновая; антоцианы влияют на цвет, но не являются главными одорантами.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H372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заморозка разрушает клетки и облегчает экстракцию; нагрев переводит профиль в джемовый.</x:v>
      </x:c>
      <x:c r="I372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72" s="28" t="str">
        <x:v>сорбет, салат, джем, кордиал, лимонад, коктейль или фруктовый соус</x:v>
      </x:c>
      <x:c r="K372" s="28" t="str">
        <x:v>Средняя</x:v>
      </x:c>
      <x:c r="L372" s="28" t="str">
        <x:v>The Art &amp; Science of Foodpairing.pdf</x:v>
      </x:c>
      <x:c r="M372" s="28" t="str">
        <x:v>The Art &amp; Science of Foodpairing.pdf: The Art &amp; Science of Foodpairing: 71 | The Art &amp; Science of Foodpairing.pdf: 71</x:v>
      </x:c>
    </x:row>
    <x:row r="373" ht="64" customHeight="1">
      <x:c r="A373" s="28" t="str">
        <x:v>STN-0449</x:v>
      </x:c>
      <x:c r="B373" s="28" t="str">
        <x:v>уме</x:v>
      </x:c>
      <x:c r="C373" s="28" t="str">
        <x:v>уме</x:v>
      </x:c>
      <x:c r="D373" s="28" t="str">
        <x:v>кокос</x:v>
      </x:c>
      <x:c r="E373" s="28" t="str">
        <x:v>Тропические фрукты и жирные матрицы</x:v>
      </x:c>
      <x:c r="F373" s="28" t="str">
        <x:v>комплементарность ароматических семейств, вкусовой контраст и матричный эффект</x:v>
      </x:c>
      <x:c r="G373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Кокос относится к группе «Тропические фрукты и жирные матрицы» и даёт профиль «сливочный, молочный, ореховый, сладкий и древесный»; типичные соединения или классы: γ-ноналактон, γ-окталактон, δ-декалактон, жирные кислоты; при обжарке — пиразины и фураны. По доступным материалам нельзя уверенно свести совместимость к одной общей молекуле. Базовый фрукт даёт: высокая кислотность; у умэбоси — соль и выраженная ферментированная умами-нота. Партнёр добавляет: мягкая сладость; кокосовая вода минеральнее, мякоть и молоко жирнее. Баланс корректируется сахаром, кислотой, солью и горечью. Матрица пары: водная и кислотная; в умэбоси — концентрированная соль и полифенолы. Партнёр: богатая жиром эмульсия; хорошо растворяет гидрофобные терпены, специи и ароматические масла.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H373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может приглушать кислоту и тонкие ароматы; при перегреве эмульсия расслаивается.</x:v>
      </x:c>
      <x:c r="I373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73" s="28" t="str">
        <x:v>напиток, соус, десерт или горячее блюдо после пробной дегустации</x:v>
      </x:c>
      <x:c r="K373" s="28" t="str">
        <x:v>Средняя</x:v>
      </x:c>
      <x:c r="L373" s="28" t="str">
        <x:v>The Art &amp; Science of Foodpairing.pdf</x:v>
      </x:c>
      <x:c r="M373" s="28" t="str">
        <x:v>The Art &amp; Science of Foodpairing.pdf: 134 | The Art &amp; Science of Foodpairing.pdf: 135</x:v>
      </x:c>
    </x:row>
    <x:row r="374" ht="64" customHeight="1">
      <x:c r="A374" s="28" t="str">
        <x:v>STN-0450</x:v>
      </x:c>
      <x:c r="B374" s="28" t="str">
        <x:v>уме</x:v>
      </x:c>
      <x:c r="C374" s="28" t="str">
        <x:v>уме</x:v>
      </x:c>
      <x:c r="D374" s="28" t="str">
        <x:v>лимон</x:v>
      </x:c>
      <x:c r="E374" s="28" t="str">
        <x:v>Цитрусовые</x:v>
      </x:c>
      <x:c r="F374" s="28" t="str">
        <x:v>комплементарность ароматических семейств, вкусовой контраст и матричный эффект</x:v>
      </x:c>
      <x:c r="G374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Лимон относится к группе «Цитрусовые» и даёт профиль «яркий цитрусовый и свежий»; типичные соединения или классы: лимонен, цитраль, β-пинен. По доступным материалам нельзя уверенно свести совместимость к одной общей молекуле. Близкие фруктовые эфиры создают непрерывность, а различия в кислотности, терпкости и сладости формируют контраст. Матрица пары: водная и кислотная; в умэбоси — концентрированная соль и полифенолы. Партнёр: сок водный и кислый, цедра содержит гидрофобные эфирные масла.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H374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сок лучше использовать свежим; цедра хорошо экстрагируется жиром и этанолом; белая часть даёт горечь.</x:v>
      </x:c>
      <x:c r="I374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74" s="28" t="str">
        <x:v>сорбет, салат, джем, кордиал, лимонад, коктейль или фруктовый соус</x:v>
      </x:c>
      <x:c r="K374" s="28" t="str">
        <x:v>Средняя</x:v>
      </x:c>
      <x:c r="L374" s="28" t="str">
        <x:v>The Art &amp; Science of Foodpairing.pdf</x:v>
      </x:c>
      <x:c r="M374" s="28" t="str">
        <x:v>The Art &amp; Science of Foodpairing.pdf: 88</x:v>
      </x:c>
    </x:row>
    <x:row r="375" ht="64" customHeight="1">
      <x:c r="A375" s="28" t="str">
        <x:v>STN-0451</x:v>
      </x:c>
      <x:c r="B375" s="28" t="str">
        <x:v>уме</x:v>
      </x:c>
      <x:c r="C375" s="28" t="str">
        <x:v>уме</x:v>
      </x:c>
      <x:c r="D375" s="28" t="str">
        <x:v>оливковое масло</x:v>
      </x:c>
      <x:c r="E375" s="28" t="str">
        <x:v>Молочные продукты и сыры</x:v>
      </x:c>
      <x:c r="F375" s="28" t="str">
        <x:v>комплементарность ароматических семейств, вкусовой контраст и матричный эффект</x:v>
      </x:c>
      <x:c r="G375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Оливковое масло относится к группе «Молочные продукты и сыры» и даёт профиль «масляный, молочный, сливочный, сырный»; типичные соединения или классы: диацетил, жирные кислоты, лактоны. По доступным материалам нельзя уверенно свести совместимость к одной общей молекуле. Базовый фрукт даёт: высокая кислотность; у умэбоси — соль и выраженная ферментированная умами-нота. Партнёр добавляет: жирный, кислый/солёный. Баланс корректируется сахаром, кислотой, солью и горечью. Матрица пары: водная и кислотная; в умэбоси — концентрированная соль и полифенолы. Партнёр: жировая и белковая матрица смягчает кислотность.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75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75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75" s="28" t="str">
        <x:v>напиток, соус, десерт или горячее блюдо после пробной дегустации</x:v>
      </x:c>
      <x:c r="K375" s="28" t="str">
        <x:v>Средняя</x:v>
      </x:c>
      <x:c r="L375" s="28" t="str">
        <x:v>The Art &amp; Science of Foodpairing.pdf</x:v>
      </x:c>
      <x:c r="M375" s="28" t="str">
        <x:v>The Art &amp; Science of Foodpairing.pdf: 173</x:v>
      </x:c>
    </x:row>
    <x:row r="376" ht="64" customHeight="1">
      <x:c r="A376" s="28" t="str">
        <x:v>STN-0452</x:v>
      </x:c>
      <x:c r="B376" s="28" t="str">
        <x:v>уме</x:v>
      </x:c>
      <x:c r="C376" s="28" t="str">
        <x:v>уме</x:v>
      </x:c>
      <x:c r="D376" s="28" t="str">
        <x:v>отварная морковь</x:v>
      </x:c>
      <x:c r="E376" s="28" t="str">
        <x:v>Овощи</x:v>
      </x:c>
      <x:c r="F376" s="28" t="str">
        <x:v>прямое или классовое перекрытие характерных одорантов + вкусовой баланс</x:v>
      </x:c>
      <x:c r="G376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Отварная морковь относится к группе «Овощи» и даёт профиль «зелёный, землистый, растительный, иногда сернистый»; типичные соединения или классы: C6-альдегиды, метоксипиразины, геосмин (землистые), сернистые соединения. В рабочих профилях пересекаются: c6-альдегиды. Общие ароматические направления: зелёный. Базовый фрукт даёт: высокая кислотность; у умэбоси — соль и выраженная ферментированная умами-нота. Партнёр добавляет: сладковатый, горьковатый, умами. Баланс корректируется сахаром, кислотой, солью и горечью. Матрица пары: водная и кислотная; в умэбоси — концентрированная соль и полифенолы. Партнёр: водная/крахмальная матрица; масло помогает распределить цедру.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H376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Кислота подчёркивает сладость овощей и сокращает землистое или сернистое послевкусие..</x:v>
      </x:c>
      <x:c r="I376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76" s="28" t="str">
        <x:v>напиток, соус, десерт или горячее блюдо после пробной дегустации</x:v>
      </x:c>
      <x:c r="K376" s="28" t="str">
        <x:v>Средняя</x:v>
      </x:c>
      <x:c r="L376" s="28" t="str">
        <x:v>The Art &amp; Science of Foodpairing.pdf</x:v>
      </x:c>
      <x:c r="M376" s="28" t="str">
        <x:v>The Art &amp; Science of Foodpairing.pdf: 232</x:v>
      </x:c>
    </x:row>
    <x:row r="377" ht="64" customHeight="1">
      <x:c r="A377" s="28" t="str">
        <x:v>STN-0454</x:v>
      </x:c>
      <x:c r="B377" s="28" t="str">
        <x:v>уме</x:v>
      </x:c>
      <x:c r="C377" s="28" t="str">
        <x:v>уме</x:v>
      </x:c>
      <x:c r="D377" s="28" t="str">
        <x:v>традиционный бальзамический уксус</x:v>
      </x:c>
      <x:c r="E377" s="28" t="str">
        <x:v>Ферментированные продукты, соусы и уксусы</x:v>
      </x:c>
      <x:c r="F377" s="28" t="str">
        <x:v>прямое или классовое перекрытие характерных одорантов + вкусовой баланс</x:v>
      </x:c>
      <x:c r="G377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Традиционный бальзамический уксус относится к группе «Ферментированные продукты, соусы и уксусы» и даёт профиль «кислый, умами, ферментированный, солёный»; типичные соединения или классы: уксусная кислота, эфиры, аминокислотные и ферментационные соединения. В рабочих профилях пересекаются: эфиры. Общие ароматические направления: кислый. Кислота, соль и умами усиливают контраст с фруктовой сладостью; сочетание работает в малой дозировке как приправа. Матрица пары: водная и кислотная; в умэбоси — концентрированная соль и полифенолы. Партнёр: водная и солевая матрица; часть ароматов удерживается белком и сахаром.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H377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I377" s="28" t="str">
        <x:v>легко пересолить или сделать кислоту агрессивной; дозировать как приправу. Соль и кислота быстро становятся доминирующими; используйте как акцент.</x:v>
      </x:c>
      <x:c r="J377" s="28" t="str">
        <x:v>соус, глазировка, чатни, маринад, гарнир или основное блюдо</x:v>
      </x:c>
      <x:c r="K377" s="28" t="str">
        <x:v>Средняя</x:v>
      </x:c>
      <x:c r="L377" s="28" t="str">
        <x:v>The Art &amp; Science of Foodpairing.pdf</x:v>
      </x:c>
      <x:c r="M377" s="28" t="str">
        <x:v>The Art &amp; Science of Foodpairing.pdf: 316</x:v>
      </x:c>
    </x:row>
    <x:row r="378" ht="64" customHeight="1">
      <x:c r="A378" s="28" t="str">
        <x:v>STN-0456</x:v>
      </x:c>
      <x:c r="B378" s="28" t="str">
        <x:v>уме</x:v>
      </x:c>
      <x:c r="C378" s="28" t="str">
        <x:v>уме</x:v>
      </x:c>
      <x:c r="D378" s="28" t="str">
        <x:v>цветы жасмина</x:v>
      </x:c>
      <x:c r="E378" s="28" t="str">
        <x:v>Травы и цветы</x:v>
      </x:c>
      <x:c r="F378" s="28" t="str">
        <x:v>прямое или классовое перекрытие характерных одорантов + вкусовой баланс</x:v>
      </x:c>
      <x:c r="G378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Цветы жасмина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цветочный, зелёный. Базовый фрукт даёт: высокая кислотность; у умэбоси — соль и выраженная ферментированная умами-нота. Партнёр добавляет: горьковатый, свежий. Баланс корректируется сахаром, кислотой, солью и горечью. Матрица пары: водная и кислотная; в умэбоси — концентрированная соль и полифенолы. Партнёр: летучие масла чувствительны к нагреву.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78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78" s="28" t="str">
        <x:v>легко пересолить или сделать кислоту агрессивной; дозировать как приправу. Главный риск — неверная дозировка и потеря свежих летучих нот после нагрева или выдержки.</x:v>
      </x:c>
      <x:c r="J378" s="28" t="str">
        <x:v>напиток, соус, десерт или горячее блюдо после пробной дегустации</x:v>
      </x:c>
      <x:c r="K378" s="28" t="str">
        <x:v>Средняя</x:v>
      </x:c>
      <x:c r="L378" s="28" t="str">
        <x:v>The Art &amp; Science of Foodpairing.pdf</x:v>
      </x:c>
      <x:c r="M378" s="28" t="str">
        <x:v>The Art &amp; Science of Foodpairing.pdf: 211</x:v>
      </x:c>
    </x:row>
    <x:row r="379" ht="64" customHeight="1">
      <x:c r="A379" s="28" t="str">
        <x:v>STN-0457</x:v>
      </x:c>
      <x:c r="B379" s="28" t="str">
        <x:v>уме</x:v>
      </x:c>
      <x:c r="C379" s="28" t="str">
        <x:v>уме</x:v>
      </x:c>
      <x:c r="D379" s="28" t="str">
        <x:v>японский соевый соус</x:v>
      </x:c>
      <x:c r="E379" s="28" t="str">
        <x:v>Ферментированные продукты, соусы и уксусы</x:v>
      </x:c>
      <x:c r="F379" s="28" t="str">
        <x:v>прямое или классовое перекрытие характерных одорантов + вкусовой баланс</x:v>
      </x:c>
      <x:c r="G379" s="28" t="str">
        <x:v>Уме формирует профиль «зелёный, кислый, цветочный, миндальный и солоновато-ферментированный в обработанных продуктах»; характерные соединения: бензальдегид, фруктовые эфиры, линалоол, C6-альдегиды, органические кислоты. Японский соевый соус относится к группе «Ферментированные продукты, соусы и уксусы» и даёт профиль «кислый, умами, ферментированный, солёный»; типичные соединения или классы: уксусная кислота, эфиры, аминокислотные и ферментационные соединения. В рабочих профилях пересекаются: эфиры. Общие ароматические направления: кислый. Кислота, соль и умами усиливают контраст с фруктовой сладостью; сочетание работает в малой дозировке как приправа. Матрица пары: водная и кислотная; в умэбоси — концентрированная соль и полифенолы. Партнёр: водная и солевая матрица; часть ароматов удерживается белком и сахаром. Обработка: 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H379" s="28" t="str">
        <x:v>соление и ферментация меняют свежий фруктовый профиль на солёно-кислый и умами; ликёры сохраняют миндально-фруктовые ноты. Холодная обработка лучше сохраняет летучие эфиры; нагрев смещает профиль к джему, карамели и сухофруктам.</x:v>
      </x:c>
      <x:c r="I379" s="28" t="str">
        <x:v>легко пересолить или сделать кислоту агрессивной; дозировать как приправу. Соль и кислота быстро становятся доминирующими; используйте как акцент.</x:v>
      </x:c>
      <x:c r="J379" s="28" t="str">
        <x:v>соус, глазировка, чатни, маринад, гарнир или основное блюдо</x:v>
      </x:c>
      <x:c r="K379" s="28" t="str">
        <x:v>Средняя</x:v>
      </x:c>
      <x:c r="L379" s="28" t="str">
        <x:v>The Art &amp; Science of Foodpairing.pdf</x:v>
      </x:c>
      <x:c r="M379" s="28" t="str">
        <x:v>The Art &amp; Science of Foodpairing.pdf: 301</x:v>
      </x:c>
    </x:row>
    <x:row r="380" ht="64" customHeight="1">
      <x:c r="A380" s="28" t="str">
        <x:v>STN-0458</x:v>
      </x:c>
      <x:c r="B380" s="28" t="str">
        <x:v>плюмкот</x:v>
      </x:c>
      <x:c r="C380" s="28" t="str">
        <x:v>плюмкот</x:v>
      </x:c>
      <x:c r="D380" s="28" t="str">
        <x:v>белый перец</x:v>
      </x:c>
      <x:c r="E380" s="28" t="str">
        <x:v>Специи и острые компоненты</x:v>
      </x:c>
      <x:c r="F380" s="28" t="str">
        <x:v>комплементарность ароматических семейств, вкусовой контраст и матричный эффект</x:v>
      </x:c>
      <x:c r="G380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Белый перец относится к группе «Специи и острые компоненты» и даёт профиль «пряный, древесный, цветочный или жгучий»; типичные соединения или классы: эвгенол, циннамальдегид, анетол, терпены, капсаициноиды, пиперин. По доступным материалам нельзя уверенно свести совместимость к одной общей молекуле. Общие ароматические направления: цветочный. Сладость и кислота фрукта смягчают остроту и горечь специи, а пряный компонент удлиняет ароматическое послевкусие. Матрица пары: сочная пектиновая; сочетает поведение сливы и абрикоса. Партнёр: гидрофобные молекулы хорошо переходят в жир и этанол. Обработка: нагрев усиливает джемовые ноты; холодная обработка лучше сохраняет цветочность. Краткая инфузия сохраняет детализацию; длительный нагрев и настаивание повышают горечь и остроту.</x:v>
      </x:c>
      <x:c r="H380" s="28" t="str">
        <x:v>нагрев усиливает джемовые ноты; холодная обработка лучше сохраняет цветочность. Краткая инфузия сохраняет детализацию; длительный нагрев и настаивание повышают горечь и остроту.</x:v>
      </x:c>
      <x:c r="I380" s="28" t="str">
        <x:v>сортовая вариативность очень высокая; рецептуру нужно настраивать по партии. Специя легко доминирует; начинайте с низкой дозировки и учитывайте рост остроты после выдержки.</x:v>
      </x:c>
      <x:c r="J380" s="28" t="str">
        <x:v>напиток, соус, десерт или горячее блюдо после пробной дегустации</x:v>
      </x:c>
      <x:c r="K380" s="28" t="str">
        <x:v>Средняя</x:v>
      </x:c>
      <x:c r="L380" s="28" t="str">
        <x:v>The Art &amp; Science of Foodpairing.pdf</x:v>
      </x:c>
      <x:c r="M380" s="28" t="str">
        <x:v>The Art &amp; Science of Foodpairing.pdf: 274</x:v>
      </x:c>
    </x:row>
    <x:row r="381" ht="64" customHeight="1">
      <x:c r="A381" s="28" t="str">
        <x:v>STN-0459</x:v>
      </x:c>
      <x:c r="B381" s="28" t="str">
        <x:v>плюмкот</x:v>
      </x:c>
      <x:c r="C381" s="28" t="str">
        <x:v>плюмкот</x:v>
      </x:c>
      <x:c r="D381" s="28" t="str">
        <x:v>киви</x:v>
      </x:c>
      <x:c r="E381" s="28" t="str">
        <x:v>Тропические и субтропические фрукты</x:v>
      </x:c>
      <x:c r="F381" s="28" t="str">
        <x:v>прямое или классовое перекрытие характерных одорантов + вкусовой баланс</x:v>
      </x:c>
      <x:c r="G381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Киви относится к группе «Тропические и субтропические фрукты» и даёт профиль «зелёный, травянистый, цитрусовый, фруктовый и слегка морской»; типичные соединения или классы: гексаналь, (E)-2-гексеналь, этилбутират, метилбутират, линалоол; фермент актинидин. В рабочих профилях пересекаются: линалоол. Базовый фрукт даёт: сладость с выраженной фруктовой кислотностью; баланс зависит от сорта. Партнёр добавляет: высокая кислотность, сладость и выраженная свежесть. Баланс корректируется сахаром, кислотой, солью и горечью. Матрица пары: сочная пектиновая; сочетает поведение сливы и абрикоса. Партнёр: водная; содержит протеазу актинидин и кристаллы оксалата кальция.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H381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длительный контакт с белком даёт кашеобразную текстуру; у чувствительных людей возможны аллергические реакции и раздражение.</x:v>
      </x:c>
      <x:c r="I381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81" s="28" t="str">
        <x:v>напиток, соус, десерт или горячее блюдо после пробной дегустации</x:v>
      </x:c>
      <x:c r="K381" s="28" t="str">
        <x:v>Средняя</x:v>
      </x:c>
      <x:c r="L381" s="28" t="str">
        <x:v>The Art &amp; Science of Foodpairing.pdf</x:v>
      </x:c>
      <x:c r="M381" s="28" t="str">
        <x:v>The Art &amp; Science of Foodpairing.pdf: 42</x:v>
      </x:c>
    </x:row>
    <x:row r="382" ht="64" customHeight="1">
      <x:c r="A382" s="28" t="str">
        <x:v>STN-0460</x:v>
      </x:c>
      <x:c r="B382" s="28" t="str">
        <x:v>плюмкот</x:v>
      </x:c>
      <x:c r="C382" s="28" t="str">
        <x:v>плюмкот</x:v>
      </x:c>
      <x:c r="D382" s="28" t="str">
        <x:v>красный сладкий перец</x:v>
      </x:c>
      <x:c r="E382" s="28" t="str">
        <x:v>Специи</x:v>
      </x:c>
      <x:c r="F382" s="28" t="str">
        <x:v>комплементарность ароматических семейств, вкусовой контраст и матричный эффект</x:v>
      </x:c>
      <x:c r="G382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Красный сладкий перец относится к группе «Специи» и даёт профиль «древесный, пряный, тёплый»; типичные соединения или классы: коричный альдегид, терпены, эвгенол.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пряный, иногда горький. Баланс корректируется сахаром, кислотой, солью и горечью. Матрица пары: сочная пектиновая; сочетает поведение сливы и абрикоса. Партнёр: эфирные масла хорошо извлекаются спиртом и жиром.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82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82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82" s="28" t="str">
        <x:v>напиток, соус, десерт или горячее блюдо после пробной дегустации</x:v>
      </x:c>
      <x:c r="K382" s="28" t="str">
        <x:v>Средняя</x:v>
      </x:c>
      <x:c r="L382" s="28" t="str">
        <x:v>The Art &amp; Science of Foodpairing.pdf</x:v>
      </x:c>
      <x:c r="M382" s="28" t="str">
        <x:v>The Art &amp; Science of Foodpairing.pdf: 109</x:v>
      </x:c>
    </x:row>
    <x:row r="383" ht="64" customHeight="1">
      <x:c r="A383" s="28" t="str">
        <x:v>STN-0461</x:v>
      </x:c>
      <x:c r="B383" s="28" t="str">
        <x:v>плюмкот</x:v>
      </x:c>
      <x:c r="C383" s="28" t="str">
        <x:v>плюмкот</x:v>
      </x:c>
      <x:c r="D383" s="28" t="str">
        <x:v>пармиджано-реджано</x:v>
      </x:c>
      <x:c r="E383" s="28" t="str">
        <x:v>Рыба и морепродукты</x:v>
      </x:c>
      <x:c r="F383" s="28" t="str">
        <x:v>комплементарность ароматических семейств, вкусовой контраст и матричный эффект</x:v>
      </x:c>
      <x:c r="G383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Пармиджано-реджано относится к группе «Рыба и морепродукты» и даёт профиль «жирный, морской, умами»; типичные соединения или классы: альдегиды, амины, сернистые соединения. По доступным материалам нельзя уверенно свести совместимость к одной общей молекуле. Кислотность повышает свежесть и слюноотделение, а фруктовая сладость смягчает соль и морские ноты; дозировка должна оставаться умеренной. Матрица пары: сочная пектиновая; сочетает поведение сливы и абрикоса. Партнёр: белковая/жировая матрица; кислота снижает рыбные ноты.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83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83" s="28" t="str">
        <x:v>сортовая вариативность очень высокая; рецептуру нужно настраивать по партии. Сильная сладость и длительный контакт с кислотой могут замаскировать морской вкус и изменить белковую текстуру.</x:v>
      </x:c>
      <x:c r="J383" s="28" t="str">
        <x:v>соус, глазировка, чатни, маринад, гарнир или основное блюдо</x:v>
      </x:c>
      <x:c r="K383" s="28" t="str">
        <x:v>Средняя</x:v>
      </x:c>
      <x:c r="L383" s="28" t="str">
        <x:v>The Art &amp; Science of Foodpairing.pdf</x:v>
      </x:c>
      <x:c r="M383" s="28" t="str">
        <x:v>The Art &amp; Science of Foodpairing.pdf: 283</x:v>
      </x:c>
    </x:row>
    <x:row r="384" ht="64" customHeight="1">
      <x:c r="A384" s="28" t="str">
        <x:v>STN-0463</x:v>
      </x:c>
      <x:c r="B384" s="28" t="str">
        <x:v>плюмкот</x:v>
      </x:c>
      <x:c r="C384" s="28" t="str">
        <x:v>плюмкот</x:v>
      </x:c>
      <x:c r="D384" s="28" t="str">
        <x:v>свиная корейка</x:v>
      </x:c>
      <x:c r="E384" s="28" t="str">
        <x:v>Прочее</x:v>
      </x:c>
      <x:c r="F384" s="28" t="str">
        <x:v>комплементарность ароматических семейств, вкусовой контраст и матричный эффект</x:v>
      </x:c>
      <x:c r="G384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Свиная корейка относится к группе «Прочее» и даёт профиль «комплексный профиль, зависящий от продукта»; типичные соединения или классы: нужен профиль конкретного ингредиента.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баланс зависит от продукта. Баланс корректируется сахаром, кислотой, солью и горечью. Матрица пары: сочная пектиновая; сочетает поведение сливы и абрикоса. Партнёр: матрица зависит от формы продукта.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H384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I384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84" s="28" t="str">
        <x:v>напиток, соус, десерт или горячее блюдо после пробной дегустации</x:v>
      </x:c>
      <x:c r="K384" s="28" t="str">
        <x:v>Средняя</x:v>
      </x:c>
      <x:c r="L384" s="28" t="str">
        <x:v>The Art &amp; Science of Foodpairing.pdf</x:v>
      </x:c>
      <x:c r="M384" s="28" t="str">
        <x:v>The Art &amp; Science of Foodpairing.pdf: 187</x:v>
      </x:c>
    </x:row>
    <x:row r="385" ht="64" customHeight="1">
      <x:c r="A385" s="28" t="str">
        <x:v>STN-0464</x:v>
      </x:c>
      <x:c r="B385" s="28" t="str">
        <x:v>плюмкот</x:v>
      </x:c>
      <x:c r="C385" s="28" t="str">
        <x:v>плюмкот</x:v>
      </x:c>
      <x:c r="D385" s="28" t="str">
        <x:v>цветы жасмина</x:v>
      </x:c>
      <x:c r="E385" s="28" t="str">
        <x:v>Травы и цветы</x:v>
      </x:c>
      <x:c r="F385" s="28" t="str">
        <x:v>прямое или классовое перекрытие характерных одорантов + вкусовой баланс</x:v>
      </x:c>
      <x:c r="G385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Цветы жасмина относится к группе «Травы и цветы» и даёт профиль «зелёный, травянистый, цветочный»; типичные соединения или классы: гераниол, линалоол, терпены, эвгенол. В рабочих профилях пересекаются: линалоол. Общие ароматические направления: цветочный. Базовый фрукт даёт: сладость с выраженной фруктовой кислотностью; баланс зависит от сорта. Партнёр добавляет: горьковатый, свежий. Баланс корректируется сахаром, кислотой, солью и горечью. Матрица пары: сочная пектиновая; сочетает поведение сливы и абрикоса. Партнёр: летучие масла чувствительны к нагреву.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85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85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85" s="28" t="str">
        <x:v>напиток, соус, десерт или горячее блюдо после пробной дегустации</x:v>
      </x:c>
      <x:c r="K385" s="28" t="str">
        <x:v>Средняя</x:v>
      </x:c>
      <x:c r="L385" s="28" t="str">
        <x:v>The Art &amp; Science of Foodpairing.pdf</x:v>
      </x:c>
      <x:c r="M385" s="28" t="str">
        <x:v>The Art &amp; Science of Foodpairing.pdf: 211</x:v>
      </x:c>
    </x:row>
    <x:row r="386" ht="64" customHeight="1">
      <x:c r="A386" s="28" t="str">
        <x:v>STN-0465</x:v>
      </x:c>
      <x:c r="B386" s="28" t="str">
        <x:v>плюмкот</x:v>
      </x:c>
      <x:c r="C386" s="28" t="str">
        <x:v>плюмкот</x:v>
      </x:c>
      <x:c r="D386" s="28" t="str">
        <x:v>черный трюфель</x:v>
      </x:c>
      <x:c r="E386" s="28" t="str">
        <x:v>Грибы и трюфели</x:v>
      </x:c>
      <x:c r="F386" s="28" t="str">
        <x:v>комплементарность ароматических семейств, вкусовой контраст и матричный эффект</x:v>
      </x:c>
      <x:c r="G386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Черный трюфель относится к группе «Грибы и трюфели» и даёт профиль «землистый, грибной, ореховый и умами»; типичные соединения или классы: 1-октен-3-ол, 1-октен-3-он, сернистые соединения.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умами и лёгкая горечь. Баланс корректируется сахаром, кислотой, солью и горечью. Матрица пары: сочная пектиновая; сочетает поведение сливы и абрикоса. Партнёр: вода и клетчатка; обжарка создаёт новые жареные молекулы.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H386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</x:v>
      </x:c>
      <x:c r="I386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86" s="28" t="str">
        <x:v>соус, глазировка, чатни, маринад, гарнир или основное блюдо</x:v>
      </x:c>
      <x:c r="K386" s="28" t="str">
        <x:v>Средняя</x:v>
      </x:c>
      <x:c r="L386" s="28" t="str">
        <x:v>The Art &amp; Science of Foodpairing.pdf</x:v>
      </x:c>
      <x:c r="M386" s="28" t="str">
        <x:v>The Art &amp; Science of Foodpairing.pdf: 193</x:v>
      </x:c>
    </x:row>
    <x:row r="387" ht="64" customHeight="1">
      <x:c r="A387" s="28" t="str">
        <x:v>STN-0466</x:v>
      </x:c>
      <x:c r="B387" s="28" t="str">
        <x:v>плюмкот</x:v>
      </x:c>
      <x:c r="C387" s="28" t="str">
        <x:v>плюмкот</x:v>
      </x:c>
      <x:c r="D387" s="28" t="str">
        <x:v>шиитаке</x:v>
      </x:c>
      <x:c r="E387" s="28" t="str">
        <x:v>Прочее</x:v>
      </x:c>
      <x:c r="F387" s="28" t="str">
        <x:v>комплементарность ароматических семейств, вкусовой контраст и матричный эффект</x:v>
      </x:c>
      <x:c r="G387" s="28" t="str">
        <x:v>Плюмкот формирует профиль «сливово-персиковый, цветочный, винный и сливочно-лактонный»; характерные соединения: лактоны, фруктовые эфиры, линалоол, бензальдегид, C6-альдегиды. Шиитаке относится к группе «Прочее» и даёт профиль «комплексный»; типичные соединения или классы: не конкретизированы. По доступным материалам нельзя уверенно свести совместимость к одной общей молекуле. Базовый фрукт даёт: сладость с выраженной фруктовой кислотностью; баланс зависит от сорта. Партнёр добавляет: зависит от ингредиента. Баланс корректируется сахаром, кислотой, солью и горечью. Матрица пары: сочная пектиновая; сочетает поведение сливы и абрикоса. Партнёр: механизм зависит от конкретного продукта. Обработка: 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H387" s="28" t="str">
        <x:v>нагрев усиливает джемовые ноты; холодная обработка лучше сохраняет цветочность. Холодная обработка лучше сохраняет летучие эфиры; нагрев смещает профиль к джему, карамели и сухофруктам. Для партнёра важно: Справочный групповой профиль; для точного состава конкретного сорта или бренда нужен инструментальный анализ..</x:v>
      </x:c>
      <x:c r="I387" s="28" t="str">
        <x:v>сортовая вариативность очень высокая; рецептуру нужно настраивать по партии. Главный риск — неверная дозировка и потеря свежих летучих нот после нагрева или выдержки.</x:v>
      </x:c>
      <x:c r="J387" s="28" t="str">
        <x:v>напиток, соус, десерт или горячее блюдо после пробной дегустации</x:v>
      </x:c>
      <x:c r="K387" s="28" t="str">
        <x:v>Средняя</x:v>
      </x:c>
      <x:c r="L387" s="28" t="str">
        <x:v>The Art &amp; Science of Foodpairing.pdf</x:v>
      </x:c>
      <x:c r="M387" s="28" t="str">
        <x:v>The Art &amp; Science of Foodpairing.pdf: 127</x:v>
      </x:c>
    </x:row>
  </x:sheetData>
  <x:conditionalFormatting sqref="K2:K387">
    <x:cfRule type="expression" dxfId="12" priority="1">
      <x:formula>K2="Высокая"</x:formula>
    </x:cfRule>
    <x:cfRule type="expression" dxfId="13" priority="2">
      <x:formula>K2="Средняя"</x:formula>
    </x:cfRule>
    <x:cfRule type="expression" dxfId="14" priority="3">
      <x:formula>K2="Гипотеза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b2b14201f04a3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1" hidden="0" customWidth="1"/>
    <x:col min="3" max="3" width="38" hidden="0" customWidth="1"/>
    <x:col min="4" max="4" width="46" hidden="0" customWidth="1"/>
    <x:col min="5" max="5" width="38" hidden="0" customWidth="1"/>
    <x:col min="6" max="6" width="50" hidden="0" customWidth="1"/>
    <x:col min="7" max="7" width="52" hidden="0" customWidth="1"/>
    <x:col min="8" max="8" width="48" hidden="0" customWidth="1"/>
    <x:col min="9" max="9" width="54" hidden="0" customWidth="1"/>
    <x:col min="10" max="10" width="15" hidden="0" customWidth="1"/>
  </x:cols>
  <x:sheetData>
    <x:row r="1">
      <x:c r="A1" s="20" t="str">
        <x:v>Ингредиент</x:v>
      </x:c>
      <x:c r="B1" s="20" t="str">
        <x:v>Группа</x:v>
      </x:c>
      <x:c r="C1" s="20" t="str">
        <x:v>Ароматический профиль</x:v>
      </x:c>
      <x:c r="D1" s="20" t="str">
        <x:v>Характерные соединения</x:v>
      </x:c>
      <x:c r="E1" s="20" t="str">
        <x:v>Вкус и баланс</x:v>
      </x:c>
      <x:c r="F1" s="20" t="str">
        <x:v>Матрица</x:v>
      </x:c>
      <x:c r="G1" s="20" t="str">
        <x:v>Изменение при обработке</x:v>
      </x:c>
      <x:c r="H1" s="20" t="str">
        <x:v>Рекомендуемые технологии</x:v>
      </x:c>
      <x:c r="I1" s="20" t="str">
        <x:v>Критические точки</x:v>
      </x:c>
      <x:c r="J1" s="20" t="str">
        <x:v>Количество пар</x:v>
      </x:c>
    </x:row>
    <x:row r="2" ht="76" customHeight="1">
      <x:c r="A2" s="28" t="str">
        <x:v>абрикос</x:v>
      </x:c>
      <x:c r="B2" s="28" t="str">
        <x:v>Косточковые фрукты</x:v>
      </x:c>
      <x:c r="C2" s="28" t="str">
        <x:v>цветочный, фруктовый, медовый, сливочно-лактонный, миндальный</x:v>
      </x:c>
      <x:c r="D2" s="28" t="str">
        <x:v>γ- и δ-лактоны, линалоол, гераниол, бензальдегид, β-ионон, дамасценон, фруктовые эфиры</x:v>
      </x:c>
      <x:c r="E2" s="28" t="str">
        <x:v>сладость и заметная фруктовая кислотность; сушёный плод становится слаще, плотнее и слегка карамельным</x:v>
      </x:c>
      <x:c r="F2" s="28" t="str">
        <x:v>водно-пектиновая мякоть; низкий жир; кожица и косточка могут добавлять терпкость и миндальный оттенок</x:v>
      </x:c>
      <x:c r="G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</x:v>
      </x:c>
      <x:c r="H2" s="28" t="str">
        <x:v>холодное пюре, кордиал, бережное припускание, запекание, джем, сушка, ферментация</x:v>
      </x:c>
      <x:c r="I2" s="28" t="str">
        <x:v>не использовать сырые косточки: цианогенные гликозиды требуют промышленно валидированной обработки; перегрев скрывает цветочные ноты</x:v>
      </x:c>
      <x:c r="J2" s="28" t="n">
        <x:v>79</x:v>
      </x:c>
    </x:row>
    <x:row r="3" ht="76" customHeight="1">
      <x:c r="A3" s="28" t="str">
        <x:v>персик</x:v>
      </x:c>
      <x:c r="B3" s="28" t="str">
        <x:v>Косточковые фрукты</x:v>
      </x:c>
      <x:c r="C3" s="28" t="str">
        <x:v>сливочный, персиковый, кокосово-лактонный, цветочный, зелёный</x:v>
      </x:c>
      <x:c r="D3" s="28" t="str">
        <x:v>γ- и δ-декалактон, γ- и δ-додекалактон, линалоол, бензальдегид, гексаналь, цис-3-гексенол</x:v>
      </x:c>
      <x:c r="E3" s="28" t="str">
        <x:v>выраженная сладость, умеренная кислотность; беломякотные сорта обычно слаще и мягче по кислоте</x:v>
      </x:c>
      <x:c r="F3" s="28" t="str">
        <x:v>сочная пектиновая мякоть; кожица несёт зелёные и цветочные ноты; лактоны хорошо удерживаются жиром и этанолом</x:v>
      </x:c>
      <x:c r="G3" s="28" t="str">
        <x:v>спелость резко увеличивает аромат; нагрев усиливает варенье, карамель и миндальные оттенки, но снижает свежую цветочность</x:v>
      </x:c>
      <x:c r="H3" s="28" t="str">
        <x:v>холодное пюре, вакуумная инфузия, сорбет, кордиал, бережное запекание, ферментация</x:v>
      </x:c>
      <x:c r="I3" s="28" t="str">
        <x:v>незрелый плод ароматически беден; перезрелый быстро окисляется; косточки не использовать без безопасной технологии</x:v>
      </x:c>
      <x:c r="J3" s="28" t="n">
        <x:v>155</x:v>
      </x:c>
    </x:row>
    <x:row r="4" ht="76" customHeight="1">
      <x:c r="A4" s="28" t="str">
        <x:v>нектарин</x:v>
      </x:c>
      <x:c r="B4" s="28" t="str">
        <x:v>Косточковые фрукты</x:v>
      </x:c>
      <x:c r="C4" s="28" t="str">
        <x:v>персиковый, фруктовый, цветочный, зелёный, сливочно-лактонный</x:v>
      </x:c>
      <x:c r="D4" s="28" t="str">
        <x:v>γ- и δ-декалактон, γ- и δ-додекалактон, фруктовые эфиры, линалоол, бензальдегид, C6-альдегиды</x:v>
      </x:c>
      <x:c r="E4" s="28" t="str">
        <x:v>сладкий, сочный, с умеренной кислотностью; профиль близок к персику, но кожица гладкая и часто более ярко-фруктовая</x:v>
      </x:c>
      <x:c r="F4" s="28" t="str">
        <x:v>водно-пектиновая; гидрофобные лактоны лучше проявляются в жире и этаноле</x:v>
      </x:c>
      <x:c r="G4" s="28" t="str">
        <x:v>нагрев делает профиль джемовым и сглаживает различия между нектарином и персиком</x:v>
      </x:c>
      <x:c r="H4" s="28" t="str">
        <x:v>холодное пюре, сок, кордиал, сорбет, лёгкая мацерация, краткое запекание</x:v>
      </x:c>
      <x:c r="I4" s="28" t="str">
        <x:v>не перегревать и не переслащивать; иначе исчезает свежая фруктовая детализация</x:v>
      </x:c>
      <x:c r="J4" s="28" t="n">
        <x:v>133</x:v>
      </x:c>
    </x:row>
    <x:row r="5" ht="76" customHeight="1">
      <x:c r="A5" s="28" t="str">
        <x:v>слива</x:v>
      </x:c>
      <x:c r="B5" s="28" t="str">
        <x:v>Косточковые фрукты</x:v>
      </x:c>
      <x:c r="C5" s="28" t="str">
        <x:v>винно-фруктовый, цветочный, зелёный, пряный, миндальный; от свежего до тёмно-джемового</x:v>
      </x:c>
      <x:c r="D5" s="28" t="str">
        <x:v>фруктовые эфиры, γ- и δ-лактоны, бензальдегид, линалоол, C6-альдегиды, дамасконы</x:v>
      </x:c>
      <x:c r="E5" s="28" t="str">
        <x:v>сладость и заметная яблочно-лимонная кислотность; кожица часто терпкая</x:v>
      </x:c>
      <x:c r="F5" s="28" t="str">
        <x:v>сочная пектиновая мякоть; кожица богата полифенолами; аромат хорошо работает в воде, сахаре и этаноле</x:v>
      </x:c>
      <x:c r="G5" s="28" t="str">
        <x:v>нагрев усиливает джем, сухофрукты, специи и карамель; ферментация создаёт винные и эфирные ноты</x:v>
      </x:c>
      <x:c r="H5" s="28" t="str">
        <x:v>джем, соус, кордиал, ферментация, сливовое вино, запекание, дегидрация</x:v>
      </x:c>
      <x:c r="I5" s="28" t="str">
        <x:v>избыток кожицы даёт грубую терпкость; косточки требуют осторожности</x:v>
      </x:c>
      <x:c r="J5" s="28" t="n">
        <x:v>46</x:v>
      </x:c>
    </x:row>
    <x:row r="6" ht="76" customHeight="1">
      <x:c r="A6" s="28" t="str">
        <x:v>чернослив</x:v>
      </x:c>
      <x:c r="B6" s="28" t="str">
        <x:v>Сушёные косточковые фрукты</x:v>
      </x:c>
      <x:c r="C6" s="28" t="str">
        <x:v>тёмно-фруктовый, карамельный, винный, слегка дымный и миндальный</x:v>
      </x:c>
      <x:c r="D6" s="28" t="str">
        <x:v>фурфурол, 5-метилфурфурол, мальтол, лактоны, бензальдегид, продукты термического распада сахаров</x:v>
      </x:c>
      <x:c r="E6" s="28" t="str">
        <x:v>высокая сладость, мягкая кислотность и плотная сухофруктовая насыщенность</x:v>
      </x:c>
      <x:c r="F6" s="28" t="str">
        <x:v>маловодная, богатая сахарами, пектином и сорбитолом; хорошо удерживает специи и алкоголь</x:v>
      </x:c>
      <x:c r="G6" s="28" t="str">
        <x:v>замачивание возвращает сочность; тушение усиливает карамель и пряности; копчение быстро становится доминирующим</x:v>
      </x:c>
      <x:c r="H6" s="28" t="str">
        <x:v>мацерация в алкоголе, тушение, пюре, соус, начинка, ферментация</x:v>
      </x:c>
      <x:c r="I6" s="28" t="str">
        <x:v>легко сделать вкус тяжёлым и приторным; нужна кислота, соль, горечь или умами</x:v>
      </x:c>
      <x:c r="J6" s="28" t="n">
        <x:v>39</x:v>
      </x:c>
    </x:row>
    <x:row r="7" ht="76" customHeight="1">
      <x:c r="A7" s="28" t="str">
        <x:v>мирабель</x:v>
      </x:c>
      <x:c r="B7" s="28" t="str">
        <x:v>Косточковые фрукты</x:v>
      </x:c>
      <x:c r="C7" s="28" t="str">
        <x:v>медовый, цветочный, сливовый, винный и слегка миндальный</x:v>
      </x:c>
      <x:c r="D7" s="28" t="str">
        <x:v>фруктовые эфиры, линалоол, бензальдегид, лактоны, дамасценон</x:v>
      </x:c>
      <x:c r="E7" s="28" t="str">
        <x:v>выраженная сладость и умеренная кислотность</x:v>
      </x:c>
      <x:c r="F7" s="28" t="str">
        <x:v>сочная пектиновая мякоть; особенно хорошо переносит дистилляцию и ферментацию</x:v>
      </x:c>
      <x:c r="G7" s="28" t="str">
        <x:v>нагрев усиливает мёд и джем; ферментация и дистилляция подчёркивают эфирный сливовый профиль</x:v>
      </x:c>
      <x:c r="H7" s="28" t="str">
        <x:v>компот, джем, ферментация, о-де-ви, кордиал</x:v>
      </x:c>
      <x:c r="I7" s="28" t="str">
        <x:v>тонкие цветочные ноты теряются при открытом кипячении</x:v>
      </x:c>
      <x:c r="J7" s="28" t="n">
        <x:v>1</x:v>
      </x:c>
    </x:row>
    <x:row r="8" ht="76" customHeight="1">
      <x:c r="A8" s="28" t="str">
        <x:v>уме</x:v>
      </x:c>
      <x:c r="B8" s="28" t="str">
        <x:v>Косточковые фрукты и ферментированные производные</x:v>
      </x:c>
      <x:c r="C8" s="28" t="str">
        <x:v>зелёный, кислый, цветочный, миндальный и солоновато-ферментированный в обработанных продуктах</x:v>
      </x:c>
      <x:c r="D8" s="28" t="str">
        <x:v>бензальдегид, фруктовые эфиры, линалоол, C6-альдегиды, органические кислоты</x:v>
      </x:c>
      <x:c r="E8" s="28" t="str">
        <x:v>высокая кислотность; у умэбоси — соль и выраженная ферментированная умами-нота</x:v>
      </x:c>
      <x:c r="F8" s="28" t="str">
        <x:v>водная и кислотная; в умэбоси — концентрированная соль и полифенолы</x:v>
      </x:c>
      <x:c r="G8" s="28" t="str">
        <x:v>соление и ферментация меняют свежий фруктовый профиль на солёно-кислый и умами; ликёры сохраняют миндально-фруктовые ноты</x:v>
      </x:c>
      <x:c r="H8" s="28" t="str">
        <x:v>умэсю, сироп, уксус, умэбоси, кордиал, соус</x:v>
      </x:c>
      <x:c r="I8" s="28" t="str">
        <x:v>легко пересолить или сделать кислоту агрессивной; дозировать как приправу</x:v>
      </x:c>
      <x:c r="J8" s="28" t="n">
        <x:v>14</x:v>
      </x:c>
    </x:row>
    <x:row r="9" ht="76" customHeight="1">
      <x:c r="A9" s="28" t="str">
        <x:v>плюмкот</x:v>
      </x:c>
      <x:c r="B9" s="28" t="str">
        <x:v>Гибридные косточковые фрукты</x:v>
      </x:c>
      <x:c r="C9" s="28" t="str">
        <x:v>сливово-персиковый, цветочный, винный и сливочно-лактонный</x:v>
      </x:c>
      <x:c r="D9" s="28" t="str">
        <x:v>лактоны, фруктовые эфиры, линалоол, бензальдегид, C6-альдегиды</x:v>
      </x:c>
      <x:c r="E9" s="28" t="str">
        <x:v>сладость с выраженной фруктовой кислотностью; баланс зависит от сорта</x:v>
      </x:c>
      <x:c r="F9" s="28" t="str">
        <x:v>сочная пектиновая; сочетает поведение сливы и абрикоса</x:v>
      </x:c>
      <x:c r="G9" s="28" t="str">
        <x:v>нагрев усиливает джемовые ноты; холодная обработка лучше сохраняет цветочность</x:v>
      </x:c>
      <x:c r="H9" s="28" t="str">
        <x:v>сорбет, кордиал, джем, запекание, ферментация</x:v>
      </x:c>
      <x:c r="I9" s="28" t="str">
        <x:v>сортовая вариативность очень высокая; рецептуру нужно настраивать по партии</x:v>
      </x:c>
      <x:c r="J9" s="28" t="n">
        <x:v>10</x:v>
      </x:c>
    </x:row>
  </x:sheetData>
  <x:conditionalFormatting sqref="J2:J9">
    <x:cfRule type="dataBar" priority="1">
      <x:dataBar>
        <x:cfvo type="min"/>
        <x:cfvo type="max"/>
        <x:color rgb="FF7C3F55"/>
      </x:dataBar>
      <x:extLst>
        <x:ext xmlns:x14="http://schemas.microsoft.com/office/spreadsheetml/2009/9/main" uri="{B025F937-C7B1-47D3-B67F-A62EFF666E3E}">
          <x14:id>{C5694A7A-0D5F-1E16-F193-604A99AABB3D}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25d90c6aee4476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5694A7A-0D5F-1E16-F193-604A99AABB3D}">
            <x14:dataBar gradient="1">
              <x14:cfvo type="min"/>
              <x14:cfvo type="max"/>
              <x14:fillColor rgb="FF7C3F55"/>
            </x14:dataBar>
          </x14:cfRule>
          <xm:sqref>J2:J9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31" hidden="0" customWidth="1"/>
    <x:col min="4" max="4" width="11" hidden="0" customWidth="1"/>
    <x:col min="5" max="5" width="22" hidden="0" customWidth="1"/>
    <x:col min="6" max="6" width="16" hidden="0" customWidth="1"/>
    <x:col min="7" max="7" width="40" hidden="0" customWidth="1"/>
    <x:col min="8" max="8" width="49" hidden="0" customWidth="1"/>
    <x:col min="9" max="9" width="39" hidden="0" customWidth="1"/>
    <x:col min="10" max="10" width="46" hidden="0" customWidth="1"/>
  </x:cols>
  <x:sheetData>
    <x:row r="1">
      <x:c r="A1" s="20" t="str">
        <x:v>Косточковый ингредиент</x:v>
      </x:c>
      <x:c r="B1" s="20" t="str">
        <x:v>Место</x:v>
      </x:c>
      <x:c r="C1" s="20" t="str">
        <x:v>Партнёр</x:v>
      </x:c>
      <x:c r="D1" s="20" t="str">
        <x:v>Балл</x:v>
      </x:c>
      <x:c r="E1" s="20" t="str">
        <x:v>Уверенность</x:v>
      </x:c>
      <x:c r="F1" s="20" t="str">
        <x:v>Число источников</x:v>
      </x:c>
      <x:c r="G1" s="20" t="str">
        <x:v>Тип механизма</x:v>
      </x:c>
      <x:c r="H1" s="20" t="str">
        <x:v>Применение</x:v>
      </x:c>
      <x:c r="I1" s="20" t="str">
        <x:v>Источники</x:v>
      </x:c>
      <x:c r="J1" s="20" t="str">
        <x:v>Страницы</x:v>
      </x:c>
    </x:row>
    <x:row r="2" ht="44" customHeight="1">
      <x:c r="A2" s="28" t="str">
        <x:v>абрикос</x:v>
      </x:c>
      <x:c r="B2" s="28" t="n">
        <x:v>1</x:v>
      </x:c>
      <x:c r="C2" s="28" t="str">
        <x:v>апельсин</x:v>
      </x:c>
      <x:c r="D2" s="28" t="n">
        <x:v>12</x:v>
      </x:c>
      <x:c r="E2" s="28" t="str">
        <x:v>Высокая</x:v>
      </x:c>
      <x:c r="F2" s="28" t="n">
        <x:v>3</x:v>
      </x:c>
      <x:c r="G2" s="28" t="str">
        <x:v>прямое или классовое перекрытие характерных одорантов + вкусовой баланс</x:v>
      </x:c>
      <x:c r="H2" s="28" t="str">
        <x:v>сорбет, салат, джем, кордиал, лимонад, коктейль или фруктовый соус</x:v>
      </x:c>
      <x:c r="I2" s="28" t="str">
        <x:v>The Art &amp; Science of Foodpairing.pdf | Таблица сочетания(1).pdf | Тезариус вкусов (Ники Сегнит)(1).pdf</x:v>
      </x:c>
      <x:c r="J2" s="28" t="str">
        <x:v>Таблица сочетания(1).pdf: Таблица сочетания(1).pdf: 1, 14 | Тезариус вкусов (Ники Сегнит)(1).pdf: 741, 772 | Тезариус вкусов (Ники Сегнит)(1).pdf: Таблица сочетания(1).pdf: 1, 14 | Тезариус вкусов (Ники Сегнит)(1).pdf: 741, 772 | Таблица сочетания(1).pdf: 1 | Таблица сочетания(1).pdf: 14 | Тезариус вкусов (Ники Сегнит)(1).pdf: 741 | Тезариус вкусов (Ники Сегнит)(1).pdf: 772 | The Art &amp; Science of Foodpairing.pdf: 236</x:v>
      </x:c>
    </x:row>
    <x:row r="3" ht="44" customHeight="1">
      <x:c r="A3" s="28" t="str">
        <x:v>абрикос</x:v>
      </x:c>
      <x:c r="B3" s="28" t="n">
        <x:v>2</x:v>
      </x:c>
      <x:c r="C3" s="28" t="str">
        <x:v>миндаль</x:v>
      </x:c>
      <x:c r="D3" s="28" t="n">
        <x:v>12</x:v>
      </x:c>
      <x:c r="E3" s="28" t="str">
        <x:v>Высокая</x:v>
      </x:c>
      <x:c r="F3" s="28" t="n">
        <x:v>3</x:v>
      </x:c>
      <x:c r="G3" s="28" t="str">
        <x:v>прямое или классовое перекрытие характерных одорантов + вкусовой баланс</x:v>
      </x:c>
      <x:c r="H3" s="28" t="str">
        <x:v>тарт, крем, мороженое, выпечка, сырная подача или начинка</x:v>
      </x:c>
      <x:c r="I3" s="28" t="str">
        <x:v>The Art &amp; Science of Foodpairing.pdf | Таблица сочетания(1).pdf | Тезариус вкусов (Ники Сегнит)(1).pdf</x:v>
      </x:c>
      <x:c r="J3" s="28" t="str">
        <x:v>Таблица сочетания(1).pdf: 1 | Тезариус вкусов (Ники Сегнит)(1).pdf: 641 | Тезариус вкусов (Ники Сегнит)(1).pdf: 743 | The Art &amp; Science of Foodpairing.pdf: 344 | The Art &amp; Science of Foodpairing.pdf: 347</x:v>
      </x:c>
    </x:row>
    <x:row r="4" ht="44" customHeight="1">
      <x:c r="A4" s="28" t="str">
        <x:v>абрикос</x:v>
      </x:c>
      <x:c r="B4" s="28" t="n">
        <x:v>3</x:v>
      </x:c>
      <x:c r="C4" s="28" t="str">
        <x:v>персик</x:v>
      </x:c>
      <x:c r="D4" s="28" t="n">
        <x:v>12</x:v>
      </x:c>
      <x:c r="E4" s="28" t="str">
        <x:v>Высокая</x:v>
      </x:c>
      <x:c r="F4" s="28" t="n">
        <x:v>3</x:v>
      </x:c>
      <x:c r="G4" s="28" t="str">
        <x:v>прямое или классовое перекрытие характерных одорантов + вкусовой баланс</x:v>
      </x:c>
      <x:c r="H4" s="28" t="str">
        <x:v>напиток, соус, десерт или горячее блюдо после пробной дегустации</x:v>
      </x:c>
      <x:c r="I4" s="28" t="str">
        <x:v>The Art &amp; Science of Foodpairing.pdf | Таблица сочетания(1).pdf | Тезариус вкусов (Ники Сегнит)(1).pdf</x:v>
      </x:c>
      <x:c r="J4" s="28" t="str">
        <x:v>Таблица сочетания(1).pdf: 1 | Таблица сочетания(1).pdf: 15 | Тезариус вкусов (Ники Сегнит)(1).pdf: 743 | Тезариус вкусов (Ники Сегнит)(1).pdf: 747 | The Art &amp; Science of Foodpairing.pdf: 260</x:v>
      </x:c>
    </x:row>
    <x:row r="5" ht="44" customHeight="1">
      <x:c r="A5" s="28" t="str">
        <x:v>абрикос</x:v>
      </x:c>
      <x:c r="B5" s="28" t="n">
        <x:v>4</x:v>
      </x:c>
      <x:c r="C5" s="28" t="str">
        <x:v>ваниль</x:v>
      </x:c>
      <x:c r="D5" s="28" t="n">
        <x:v>10</x:v>
      </x:c>
      <x:c r="E5" s="28" t="str">
        <x:v>Высокая</x:v>
      </x:c>
      <x:c r="F5" s="28" t="n">
        <x:v>2</x:v>
      </x:c>
      <x:c r="G5" s="28" t="str">
        <x:v>прямое или классовое перекрытие характерных одорантов + вкусовой баланс</x:v>
      </x:c>
      <x:c r="H5" s="28" t="str">
        <x:v>напиток, соус, десерт или горячее блюдо после пробной дегустации</x:v>
      </x:c>
      <x:c r="I5" s="28" t="str">
        <x:v>Таблица сочетания(1).pdf | Тезариус вкусов (Ники Сегнит)(1).pdf</x:v>
      </x:c>
      <x:c r="J5" s="28" t="str">
        <x:v>Таблица сочетания(1).pdf: 1 | Таблица сочетания(1).pdf: 21 | Тезариус вкусов (Ники Сегнит)(1).pdf: 741 | Тезариус вкусов (Ники Сегнит)(1).pdf: 914</x:v>
      </x:c>
    </x:row>
    <x:row r="6" ht="44" customHeight="1">
      <x:c r="A6" s="28" t="str">
        <x:v>абрикос</x:v>
      </x:c>
      <x:c r="B6" s="28" t="n">
        <x:v>5</x:v>
      </x:c>
      <x:c r="C6" s="28" t="str">
        <x:v>голубика</x:v>
      </x:c>
      <x:c r="D6" s="28" t="n">
        <x:v>10</x:v>
      </x:c>
      <x:c r="E6" s="28" t="str">
        <x:v>Высокая</x:v>
      </x:c>
      <x:c r="F6" s="28" t="n">
        <x:v>2</x:v>
      </x:c>
      <x:c r="G6" s="28" t="str">
        <x:v>прямое или классовое перекрытие характерных одорантов + вкусовой баланс</x:v>
      </x:c>
      <x:c r="H6" s="28" t="str">
        <x:v>сорбет, салат, джем, кордиал, лимонад, коктейль или фруктовый соус</x:v>
      </x:c>
      <x:c r="I6" s="28" t="str">
        <x:v>The Art &amp; Science of Foodpairing.pdf | Таблица сочетания(1).pdf</x:v>
      </x:c>
      <x:c r="J6" s="28" t="str">
        <x:v>The Art &amp; Science of Foodpairing.pdf: The Art &amp; Science of Foodpairing: 205; Таблица сочетаний: 3 | Таблица сочетания(1).pdf: 3 | The Art &amp; Science of Foodpairing.pdf: 204 | The Art &amp; Science of Foodpairing.pdf: 205</x:v>
      </x:c>
    </x:row>
    <x:row r="7" ht="44" customHeight="1">
      <x:c r="A7" s="28" t="str">
        <x:v>абрикос</x:v>
      </x:c>
      <x:c r="B7" s="28" t="n">
        <x:v>6</x:v>
      </x:c>
      <x:c r="C7" s="28" t="str">
        <x:v>зира</x:v>
      </x:c>
      <x:c r="D7" s="28" t="n">
        <x:v>10</x:v>
      </x:c>
      <x:c r="E7" s="28" t="str">
        <x:v>Высокая</x:v>
      </x:c>
      <x:c r="F7" s="28" t="n">
        <x:v>2</x:v>
      </x:c>
      <x:c r="G7" s="28" t="str">
        <x:v>комплементарность ароматических семейств, вкусовой контраст и матричный эффект</x:v>
      </x:c>
      <x:c r="H7" s="28" t="str">
        <x:v>напиток, соус, десерт или горячее блюдо после пробной дегустации</x:v>
      </x:c>
      <x:c r="I7" s="28" t="str">
        <x:v>The Art &amp; Science of Foodpairing.pdf | Тезариус вкусов (Ники Сегнит)(1).pdf</x:v>
      </x:c>
      <x:c r="J7" s="28" t="str">
        <x:v>Тезариус вкусов (Ники Сегнит)(1).pdf: 214 | Тезариус вкусов (Ники Сегнит)(1).pdf: 742 | The Art &amp; Science of Foodpairing.pdf: 228</x:v>
      </x:c>
    </x:row>
    <x:row r="8" ht="44" customHeight="1">
      <x:c r="A8" s="28" t="str">
        <x:v>абрикос</x:v>
      </x:c>
      <x:c r="B8" s="28" t="n">
        <x:v>7</x:v>
      </x:c>
      <x:c r="C8" s="28" t="str">
        <x:v>имбирь</x:v>
      </x:c>
      <x:c r="D8" s="28" t="n">
        <x:v>10</x:v>
      </x:c>
      <x:c r="E8" s="28" t="str">
        <x:v>Высокая</x:v>
      </x:c>
      <x:c r="F8" s="28" t="n">
        <x:v>2</x:v>
      </x:c>
      <x:c r="G8" s="28" t="str">
        <x:v>комплементарность ароматических семейств, вкусовой контраст и матричный эффект</x:v>
      </x:c>
      <x:c r="H8" s="28" t="str">
        <x:v>напиток, соус, десерт или горячее блюдо после пробной дегустации</x:v>
      </x:c>
      <x:c r="I8" s="28" t="str">
        <x:v>Таблица сочетания(1).pdf | Тезариус вкусов (Ники Сегнит)(1).pdf</x:v>
      </x:c>
      <x:c r="J8" s="28" t="str">
        <x:v>Таблица сочетания(1).pdf: 1 | Таблица сочетания(1).pdf: 8 | Тезариус вкусов (Ники Сегнит)(1).pdf: 742 | Тезариус вкусов (Ники Сегнит)(1).pdf: 812</x:v>
      </x:c>
    </x:row>
    <x:row r="9" ht="44" customHeight="1">
      <x:c r="A9" s="28" t="str">
        <x:v>абрикос</x:v>
      </x:c>
      <x:c r="B9" s="28" t="n">
        <x:v>8</x:v>
      </x:c>
      <x:c r="C9" s="28" t="str">
        <x:v>кардамон</x:v>
      </x:c>
      <x:c r="D9" s="28" t="n">
        <x:v>10</x:v>
      </x:c>
      <x:c r="E9" s="28" t="str">
        <x:v>Высокая</x:v>
      </x:c>
      <x:c r="F9" s="28" t="n">
        <x:v>2</x:v>
      </x:c>
      <x:c r="G9" s="28" t="str">
        <x:v>прямое или классовое перекрытие характерных одорантов + вкусовой баланс</x:v>
      </x:c>
      <x:c r="H9" s="28" t="str">
        <x:v>напиток, соус, десерт или горячее блюдо после пробной дегустации</x:v>
      </x:c>
      <x:c r="I9" s="28" t="str">
        <x:v>Таблица сочетания(1).pdf | Тезариус вкусов (Ники Сегнит)(1).pdf</x:v>
      </x:c>
      <x:c r="J9" s="28" t="str">
        <x:v>Таблица сочетания(1).pdf: 1 | Тезариус вкусов (Ники Сегнит)(1).pdf: 743 | Тезариус вкусов (Ники Сегнит)(1).pdf: 825</x:v>
      </x:c>
    </x:row>
    <x:row r="10" ht="44" customHeight="1">
      <x:c r="A10" s="28" t="str">
        <x:v>абрикос</x:v>
      </x:c>
      <x:c r="B10" s="28" t="n">
        <x:v>9</x:v>
      </x:c>
      <x:c r="C10" s="28" t="str">
        <x:v>козий сыр</x:v>
      </x:c>
      <x:c r="D10" s="28" t="n">
        <x:v>10</x:v>
      </x:c>
      <x:c r="E10" s="28" t="str">
        <x:v>Высокая</x:v>
      </x:c>
      <x:c r="F10" s="28" t="n">
        <x:v>2</x:v>
      </x:c>
      <x:c r="G10" s="28" t="str">
        <x:v>комплементарность ароматических семейств, вкусовой контраст и матричный эффект</x:v>
      </x:c>
      <x:c r="H10" s="28" t="str">
        <x:v>тарт, крем, мороженое, выпечка, сырная подача или начинка</x:v>
      </x:c>
      <x:c r="I10" s="28" t="str">
        <x:v>The Art &amp; Science of Foodpairing.pdf | Тезариус вкусов (Ники Сегнит)(1).pdf</x:v>
      </x:c>
      <x:c r="J10" s="28" t="str">
        <x:v>Тезариус вкусов (Ники Сегнит)(1).pdf: 136 | Тезариус вкусов (Ники Сегнит)(1).pdf: 743 | The Art &amp; Science of Foodpairing.pdf: 200</x:v>
      </x:c>
    </x:row>
    <x:row r="11" ht="44" customHeight="1">
      <x:c r="A11" s="28" t="str">
        <x:v>абрикос</x:v>
      </x:c>
      <x:c r="B11" s="28" t="n">
        <x:v>10</x:v>
      </x:c>
      <x:c r="C11" s="28" t="str">
        <x:v>малина</x:v>
      </x:c>
      <x:c r="D11" s="28" t="n">
        <x:v>10</x:v>
      </x:c>
      <x:c r="E11" s="28" t="str">
        <x:v>Высокая</x:v>
      </x:c>
      <x:c r="F11" s="28" t="n">
        <x:v>2</x:v>
      </x:c>
      <x:c r="G11" s="28" t="str">
        <x:v>прямое или классовое перекрытие характерных одорантов + вкусовой баланс</x:v>
      </x:c>
      <x:c r="H11" s="28" t="str">
        <x:v>сорбет, салат, джем, кордиал, лимонад, коктейль или фруктовый соус</x:v>
      </x:c>
      <x:c r="I11" s="28" t="str">
        <x:v>Таблица сочетания(1).pdf | Тезариус вкусов (Ники Сегнит)(1).pdf</x:v>
      </x:c>
      <x:c r="J11" s="28" t="str">
        <x:v>Таблица сочетания(1).pdf: Тезариус вкусов: 743, 884; Таблица сочетаний: 2, 19 | Таблица сочетания(1).pdf: 19 | Тезариус вкусов (Ники Сегнит)(1).pdf: 743 | Тезариус вкусов (Ники Сегнит)(1).pdf: 884</x:v>
      </x:c>
    </x:row>
    <x:row r="12" ht="44" customHeight="1">
      <x:c r="A12" s="28" t="str">
        <x:v>абрикос</x:v>
      </x:c>
      <x:c r="B12" s="28" t="n">
        <x:v>11</x:v>
      </x:c>
      <x:c r="C12" s="28" t="str">
        <x:v>манго</x:v>
      </x:c>
      <x:c r="D12" s="28" t="n">
        <x:v>10</x:v>
      </x:c>
      <x:c r="E12" s="28" t="str">
        <x:v>Высокая</x:v>
      </x:c>
      <x:c r="F12" s="28" t="n">
        <x:v>2</x:v>
      </x:c>
      <x:c r="G12" s="28" t="str">
        <x:v>прямое или классовое перекрытие характерных одорантов + вкусовой баланс</x:v>
      </x:c>
      <x:c r="H12" s="28" t="str">
        <x:v>напиток, соус, десерт или горячее блюдо после пробной дегустации</x:v>
      </x:c>
      <x:c r="I12" s="28" t="str">
        <x:v>The Art &amp; Science of Foodpairing.pdf | Тезариус вкусов (Ники Сегнит)(1).pdf</x:v>
      </x:c>
      <x:c r="J12" s="28" t="str">
        <x:v>Тезариус вкусов (Ники Сегнит)(1).pdf: Тезаурус вкусов: 743 | Тезариус вкусов (Ники Сегнит)(1).pdf: 743 | The Art &amp; Science of Foodpairing.pdf: 313</x:v>
      </x:c>
    </x:row>
    <x:row r="13" ht="44" customHeight="1">
      <x:c r="A13" s="28" t="str">
        <x:v>абрикос</x:v>
      </x:c>
      <x:c r="B13" s="28" t="n">
        <x:v>12</x:v>
      </x:c>
      <x:c r="C13" s="28" t="str">
        <x:v>роза</x:v>
      </x:c>
      <x:c r="D13" s="28" t="n">
        <x:v>10</x:v>
      </x:c>
      <x:c r="E13" s="28" t="str">
        <x:v>Высокая</x:v>
      </x:c>
      <x:c r="F13" s="28" t="n">
        <x:v>2</x:v>
      </x:c>
      <x:c r="G13" s="28" t="str">
        <x:v>прямое или классовое перекрытие характерных одорантов + вкусовой баланс</x:v>
      </x:c>
      <x:c r="H13" s="28" t="str">
        <x:v>напиток, соус, десерт или горячее блюдо после пробной дегустации</x:v>
      </x:c>
      <x:c r="I13" s="28" t="str">
        <x:v>Таблица сочетания(1).pdf | Тезариус вкусов (Ники Сегнит)(1).pdf</x:v>
      </x:c>
      <x:c r="J13" s="28" t="str">
        <x:v>Таблица сочетания(1).pdf: 1 | Тезариус вкусов (Ники Сегнит)(1).pdf: 743 | Тезариус вкусов (Ники Сегнит)(1).pdf: 899</x:v>
      </x:c>
    </x:row>
    <x:row r="14" ht="44" customHeight="1">
      <x:c r="A14" s="28" t="str">
        <x:v>абрикос</x:v>
      </x:c>
      <x:c r="B14" s="28" t="n">
        <x:v>13</x:v>
      </x:c>
      <x:c r="C14" s="28" t="str">
        <x:v>розмарин</x:v>
      </x:c>
      <x:c r="D14" s="28" t="n">
        <x:v>10</x:v>
      </x:c>
      <x:c r="E14" s="28" t="str">
        <x:v>Высокая</x:v>
      </x:c>
      <x:c r="F14" s="28" t="n">
        <x:v>2</x:v>
      </x:c>
      <x:c r="G14" s="28" t="str">
        <x:v>комплементарность ароматических семейств, вкусовой контраст и матричный эффект</x:v>
      </x:c>
      <x:c r="H14" s="28" t="str">
        <x:v>напиток, соус, десерт или горячее блюдо после пробной дегустации</x:v>
      </x:c>
      <x:c r="I14" s="28" t="str">
        <x:v>Таблица сочетания(1).pdf | Тезариус вкусов (Ники Сегнит)(1).pdf</x:v>
      </x:c>
      <x:c r="J14" s="28" t="str">
        <x:v>Таблица сочетания(1).pdf: 19 | Тезариус вкусов (Ники Сегнит)(1).pdf: 744 | Тезариус вкусов (Ники Сегнит)(1).pdf: 832</x:v>
      </x:c>
    </x:row>
    <x:row r="15" ht="44" customHeight="1">
      <x:c r="A15" s="28" t="str">
        <x:v>абрикос</x:v>
      </x:c>
      <x:c r="B15" s="28" t="n">
        <x:v>14</x:v>
      </x:c>
      <x:c r="C15" s="28" t="str">
        <x:v>чернослив</x:v>
      </x:c>
      <x:c r="D15" s="28" t="n">
        <x:v>10</x:v>
      </x:c>
      <x:c r="E15" s="28" t="str">
        <x:v>Высокая</x:v>
      </x:c>
      <x:c r="F15" s="28" t="n">
        <x:v>2</x:v>
      </x:c>
      <x:c r="G15" s="28" t="str">
        <x:v>прямое или классовое перекрытие характерных одорантов + вкусовой баланс</x:v>
      </x:c>
      <x:c r="H15" s="28" t="str">
        <x:v>напиток, соус, десерт или горячее блюдо после пробной дегустации</x:v>
      </x:c>
      <x:c r="I15" s="28" t="str">
        <x:v>The Art &amp; Science of Foodpairing.pdf | Таблица сочетания(1).pdf</x:v>
      </x:c>
      <x:c r="J15" s="28" t="str">
        <x:v>Таблица сочетания(1).pdf: 18 | The Art &amp; Science of Foodpairing.pdf: 206</x:v>
      </x:c>
    </x:row>
    <x:row r="16" ht="44" customHeight="1">
      <x:c r="A16" s="28" t="str">
        <x:v>абрикос</x:v>
      </x:c>
      <x:c r="B16" s="28" t="n">
        <x:v>15</x:v>
      </x:c>
      <x:c r="C16" s="28" t="str">
        <x:v>доенджан</x:v>
      </x:c>
      <x:c r="D16" s="28" t="n">
        <x:v>7</x:v>
      </x:c>
      <x:c r="E16" s="28" t="str">
        <x:v>Средняя</x:v>
      </x:c>
      <x:c r="F16" s="28" t="n">
        <x:v>1</x:v>
      </x:c>
      <x:c r="G16" s="28" t="str">
        <x:v>прямое или классовое перекрытие характерных одорантов + вкусовой баланс</x:v>
      </x:c>
      <x:c r="H16" s="28" t="str">
        <x:v>соус, глазировка, чатни, маринад, гарнир или основное блюдо</x:v>
      </x:c>
      <x:c r="I16" s="28" t="str">
        <x:v>The Art &amp; Science of Foodpairing.pdf</x:v>
      </x:c>
      <x:c r="J16" s="28" t="str">
        <x:v>The Art &amp; Science of Foodpairing.pdf: 246 | The Art &amp; Science of Foodpairing.pdf: 247</x:v>
      </x:c>
    </x:row>
    <x:row r="17" ht="44" customHeight="1">
      <x:c r="A17" s="28" t="str">
        <x:v>абрикос</x:v>
      </x:c>
      <x:c r="B17" s="28" t="n">
        <x:v>16</x:v>
      </x:c>
      <x:c r="C17" s="28" t="str">
        <x:v>оливковое масло</x:v>
      </x:c>
      <x:c r="D17" s="28" t="n">
        <x:v>7</x:v>
      </x:c>
      <x:c r="E17" s="28" t="str">
        <x:v>Средняя</x:v>
      </x:c>
      <x:c r="F17" s="28" t="n">
        <x:v>1</x:v>
      </x:c>
      <x:c r="G17" s="28" t="str">
        <x:v>комплементарность ароматических семейств, вкусовой контраст и матричный эффект</x:v>
      </x:c>
      <x:c r="H17" s="28" t="str">
        <x:v>напиток, соус, десерт или горячее блюдо после пробной дегустации</x:v>
      </x:c>
      <x:c r="I17" s="28" t="str">
        <x:v>The Art &amp; Science of Foodpairing.pdf</x:v>
      </x:c>
      <x:c r="J17" s="28" t="str">
        <x:v>The Art &amp; Science of Foodpairing.pdf: 173</x:v>
      </x:c>
    </x:row>
    <x:row r="18" ht="44" customHeight="1">
      <x:c r="A18" s="28" t="str">
        <x:v>абрикос</x:v>
      </x:c>
      <x:c r="B18" s="28" t="n">
        <x:v>17</x:v>
      </x:c>
      <x:c r="C18" s="28" t="str">
        <x:v>отварная или запеченная свекла</x:v>
      </x:c>
      <x:c r="D18" s="28" t="n">
        <x:v>7</x:v>
      </x:c>
      <x:c r="E18" s="28" t="str">
        <x:v>Средняя</x:v>
      </x:c>
      <x:c r="F18" s="28" t="n">
        <x:v>1</x:v>
      </x:c>
      <x:c r="G18" s="28" t="str">
        <x:v>комплементарность ароматических семейств, вкусовой контраст и матричный эффект</x:v>
      </x:c>
      <x:c r="H18" s="28" t="str">
        <x:v>соус, глазировка, чатни, маринад, гарнир или основное блюдо</x:v>
      </x:c>
      <x:c r="I18" s="28" t="str">
        <x:v>The Art &amp; Science of Foodpairing.pdf</x:v>
      </x:c>
      <x:c r="J18" s="28" t="str">
        <x:v>The Art &amp; Science of Foodpairing.pdf: 223 | The Art &amp; Science of Foodpairing.pdf: 224</x:v>
      </x:c>
    </x:row>
    <x:row r="19" ht="44" customHeight="1">
      <x:c r="A19" s="28" t="str">
        <x:v>абрикос</x:v>
      </x:c>
      <x:c r="B19" s="28" t="n">
        <x:v>18</x:v>
      </x:c>
      <x:c r="C19" s="28" t="str">
        <x:v>яблоко кокс оранж пиппин</x:v>
      </x:c>
      <x:c r="D19" s="28" t="n">
        <x:v>7</x:v>
      </x:c>
      <x:c r="E19" s="28" t="str">
        <x:v>Средняя</x:v>
      </x:c>
      <x:c r="F19" s="28" t="n">
        <x:v>1</x:v>
      </x:c>
      <x:c r="G19" s="28" t="str">
        <x:v>прямое или классовое перекрытие характерных одорантов + вкусовой баланс</x:v>
      </x:c>
      <x:c r="H19" s="28" t="str">
        <x:v>сорбет, салат, джем, кордиал, лимонад, коктейль или фруктовый соус</x:v>
      </x:c>
      <x:c r="I19" s="28" t="str">
        <x:v>The Art &amp; Science of Foodpairing.pdf</x:v>
      </x:c>
      <x:c r="J19" s="28" t="str">
        <x:v>The Art &amp; Science of Foodpairing.pdf: 47 | The Art &amp; Science of Foodpairing.pdf: 48 | The Art &amp; Science of Foodpairing.pdf: 49</x:v>
      </x:c>
    </x:row>
    <x:row r="20" ht="44" customHeight="1">
      <x:c r="A20" s="28" t="str">
        <x:v>абрикос</x:v>
      </x:c>
      <x:c r="B20" s="28" t="n">
        <x:v>19</x:v>
      </x:c>
      <x:c r="C20" s="28" t="str">
        <x:v>ананас</x:v>
      </x:c>
      <x:c r="D20" s="28" t="n">
        <x:v>6</x:v>
      </x:c>
      <x:c r="E20" s="28" t="str">
        <x:v>Гипотеза / практическая</x:v>
      </x:c>
      <x:c r="F20" s="28" t="n">
        <x:v>1</x:v>
      </x:c>
      <x:c r="G20" s="28" t="str">
        <x:v>комплементарность ароматических семейств, вкусовой контраст и матричный эффект</x:v>
      </x:c>
      <x:c r="H20" s="28" t="str">
        <x:v>напиток, соус, десерт или горячее блюдо после пробной дегустации</x:v>
      </x:c>
      <x:c r="I20" s="28" t="str">
        <x:v>Таблица сочетания(1).pdf</x:v>
      </x:c>
      <x:c r="J20" s="28" t="str">
        <x:v>Таблица сочетания(1).pdf: Таблица сочетаний: 1, 17 | Таблица сочетания(1).pdf: 1 | Таблица сочетания(1).pdf: 17</x:v>
      </x:c>
    </x:row>
    <x:row r="21" ht="44" customHeight="1">
      <x:c r="A21" s="28" t="str">
        <x:v>абрикос</x:v>
      </x:c>
      <x:c r="B21" s="28" t="n">
        <x:v>20</x:v>
      </x:c>
      <x:c r="C21" s="28" t="str">
        <x:v>арбуз</x:v>
      </x:c>
      <x:c r="D21" s="28" t="n">
        <x:v>6</x:v>
      </x:c>
      <x:c r="E21" s="28" t="str">
        <x:v>Средняя</x:v>
      </x:c>
      <x:c r="F21" s="28" t="n">
        <x:v>1</x:v>
      </x:c>
      <x:c r="G21" s="28" t="str">
        <x:v>комплементарность ароматических семейств, вкусовой контраст и матричный эффект</x:v>
      </x:c>
      <x:c r="H21" s="28" t="str">
        <x:v>напиток, соус, десерт или горячее блюдо после пробной дегустации</x:v>
      </x:c>
      <x:c r="I21" s="28" t="str">
        <x:v>The Art &amp; Science of Foodpairing.pdf</x:v>
      </x:c>
      <x:c r="J21" s="28" t="str">
        <x:v>The Art &amp; Science of Foodpairing.pdf: The Art &amp; Science of Foodpairing: 78 | The Art &amp; Science of Foodpairing.pdf: 78</x:v>
      </x:c>
    </x:row>
    <x:row r="22" ht="44" customHeight="1">
      <x:c r="A22" s="28" t="str">
        <x:v>персик</x:v>
      </x:c>
      <x:c r="B22" s="28" t="n">
        <x:v>1</x:v>
      </x:c>
      <x:c r="C22" s="28" t="str">
        <x:v>абрикос</x:v>
      </x:c>
      <x:c r="D22" s="28" t="n">
        <x:v>12</x:v>
      </x:c>
      <x:c r="E22" s="28" t="str">
        <x:v>Высокая</x:v>
      </x:c>
      <x:c r="F22" s="28" t="n">
        <x:v>3</x:v>
      </x:c>
      <x:c r="G22" s="28" t="str">
        <x:v>прямое или классовое перекрытие характерных одорантов + вкусовой баланс</x:v>
      </x:c>
      <x:c r="H22" s="28" t="str">
        <x:v>напиток, соус, десерт или горячее блюдо после пробной дегустации</x:v>
      </x:c>
      <x:c r="I22" s="28" t="str">
        <x:v>The Art &amp; Science of Foodpairing.pdf | Таблица сочетания(1).pdf | Тезариус вкусов (Ники Сегнит)(1).pdf</x:v>
      </x:c>
      <x:c r="J22" s="28" t="str">
        <x:v>Таблица сочетания(1).pdf: 1 | Таблица сочетания(1).pdf: 15 | Тезариус вкусов (Ники Сегнит)(1).pdf: 743 | Тезариус вкусов (Ники Сегнит)(1).pdf: 747 | The Art &amp; Science of Foodpairing.pdf: 260</x:v>
      </x:c>
    </x:row>
    <x:row r="23" ht="44" customHeight="1">
      <x:c r="A23" s="28" t="str">
        <x:v>персик</x:v>
      </x:c>
      <x:c r="B23" s="28" t="n">
        <x:v>2</x:v>
      </x:c>
      <x:c r="C23" s="28" t="str">
        <x:v>вишня</x:v>
      </x:c>
      <x:c r="D23" s="28" t="n">
        <x:v>12</x:v>
      </x:c>
      <x:c r="E23" s="28" t="str">
        <x:v>Высокая</x:v>
      </x:c>
      <x:c r="F23" s="28" t="n">
        <x:v>3</x:v>
      </x:c>
      <x:c r="G23" s="28" t="str">
        <x:v>прямое или классовое перекрытие характерных одорантов + вкусовой баланс</x:v>
      </x:c>
      <x:c r="H23" s="28" t="str">
        <x:v>напиток, соус, десерт или горячее блюдо после пробной дегустации</x:v>
      </x:c>
      <x:c r="I23" s="28" t="str">
        <x:v>The Art &amp; Science of Foodpairing.pdf | Таблица сочетания(1).pdf | Тезариус вкусов (Ники Сегнит)(1).pdf</x:v>
      </x:c>
      <x:c r="J23" s="28" t="str">
        <x:v>The Art &amp; Science of Foodpairing.pdf: Тезариус вкусов: 656, 749; The Art &amp; Science of Foodpairing: 260; Таблица сочетаний: 4, 15 | Таблица сочетания(1).pdf: 4 | Таблица сочетания(1).pdf: 15 | Тезариус вкусов (Ники Сегнит)(1).pdf: 656 | Тезариус вкусов (Ники Сегнит)(1).pdf: 749</x:v>
      </x:c>
    </x:row>
    <x:row r="24" ht="44" customHeight="1">
      <x:c r="A24" s="28" t="str">
        <x:v>персик</x:v>
      </x:c>
      <x:c r="B24" s="28" t="n">
        <x:v>3</x:v>
      </x:c>
      <x:c r="C24" s="28" t="str">
        <x:v>ежевика</x:v>
      </x:c>
      <x:c r="D24" s="28" t="n">
        <x:v>12</x:v>
      </x:c>
      <x:c r="E24" s="28" t="str">
        <x:v>Высокая</x:v>
      </x:c>
      <x:c r="F24" s="28" t="n">
        <x:v>3</x:v>
      </x:c>
      <x:c r="G24" s="28" t="str">
        <x:v>комплементарность ароматических семейств, вкусовой контраст и матричный эффект</x:v>
      </x:c>
      <x:c r="H24" s="28" t="str">
        <x:v>сорбет, салат, джем, кордиал, лимонад, коктейль или фруктовый соус</x:v>
      </x:c>
      <x:c r="I24" s="28" t="str">
        <x:v>The Art &amp; Science of Foodpairing.pdf | Таблица сочетания(1).pdf | Тезариус вкусов (Ники Сегнит)(1).pdf</x:v>
      </x:c>
      <x:c r="J24" s="28" t="str">
        <x:v>The Art &amp; Science of Foodpairing.pdf: Тезариус вкусов: 750, 882; The Art &amp; Science of Foodpairing: 260; Таблица сочетаний: 2, 15 | Таблица сочетания(1).pdf: 2 | Таблица сочетания(1).pdf: 15 | Тезариус вкусов (Ники Сегнит)(1).pdf: 750 | Тезариус вкусов (Ники Сегнит)(1).pdf: 882 | The Art &amp; Science of Foodpairing.pdf: 260–261</x:v>
      </x:c>
    </x:row>
    <x:row r="25" ht="44" customHeight="1">
      <x:c r="A25" s="28" t="str">
        <x:v>персик</x:v>
      </x:c>
      <x:c r="B25" s="28" t="n">
        <x:v>4</x:v>
      </x:c>
      <x:c r="C25" s="28" t="str">
        <x:v>малина</x:v>
      </x:c>
      <x:c r="D25" s="28" t="n">
        <x:v>12</x:v>
      </x:c>
      <x:c r="E25" s="28" t="str">
        <x:v>Высокая</x:v>
      </x:c>
      <x:c r="F25" s="28" t="n">
        <x:v>3</x:v>
      </x:c>
      <x:c r="G25" s="28" t="str">
        <x:v>комплементарность ароматических семейств, вкусовой контраст и матричный эффект</x:v>
      </x:c>
      <x:c r="H25" s="28" t="str">
        <x:v>сорбет, салат, джем, кордиал, лимонад, коктейль или фруктовый соус</x:v>
      </x:c>
      <x:c r="I25" s="28" t="str">
        <x:v>The Art &amp; Science of Foodpairing.pdf | Таблица сочетания(1).pdf | Тезариус вкусов (Ники Сегнит)(1).pdf</x:v>
      </x:c>
      <x:c r="J25" s="28" t="str">
        <x:v>The Art &amp; Science of Foodpairing.pdf: Тезариус вкусов: 751, 889; The Art &amp; Science of Foodpairing: 261; Таблица сочетаний: 19 | Таблица сочетания(1).pdf: 19 | Тезариус вкусов (Ники Сегнит)(1).pdf: 751 | Тезариус вкусов (Ники Сегнит)(1).pdf: 889 | The Art &amp; Science of Foodpairing.pdf: 338 | The Art &amp; Science of Foodpairing.pdf: 260–261</x:v>
      </x:c>
    </x:row>
    <x:row r="26" ht="44" customHeight="1">
      <x:c r="A26" s="28" t="str">
        <x:v>персик</x:v>
      </x:c>
      <x:c r="B26" s="28" t="n">
        <x:v>5</x:v>
      </x:c>
      <x:c r="C26" s="28" t="str">
        <x:v>миндаль</x:v>
      </x:c>
      <x:c r="D26" s="28" t="n">
        <x:v>12</x:v>
      </x:c>
      <x:c r="E26" s="28" t="str">
        <x:v>Высокая</x:v>
      </x:c>
      <x:c r="F26" s="28" t="n">
        <x:v>3</x:v>
      </x:c>
      <x:c r="G26" s="28" t="str">
        <x:v>прямое или классовое перекрытие характерных одорантов + вкусовой баланс</x:v>
      </x:c>
      <x:c r="H26" s="28" t="str">
        <x:v>тарт, крем, мороженое, выпечка, сырная подача или начинка</x:v>
      </x:c>
      <x:c r="I26" s="28" t="str">
        <x:v>The Art &amp; Science of Foodpairing.pdf | Таблица сочетания(1).pdf | Тезариус вкусов (Ники Сегнит)(1).pdf</x:v>
      </x:c>
      <x:c r="J26" s="28" t="str">
        <x:v>Таблица сочетания(1).pdf: 1 | Таблица сочетания(1).pdf: 15 | Тезариус вкусов (Ники Сегнит)(1).pdf: 646 | Тезариус вкусов (Ники Сегнит)(1).pdf: 751 | The Art &amp; Science of Foodpairing.pdf: 260–261</x:v>
      </x:c>
    </x:row>
    <x:row r="27" ht="44" customHeight="1">
      <x:c r="A27" s="28" t="str">
        <x:v>персик</x:v>
      </x:c>
      <x:c r="B27" s="28" t="n">
        <x:v>6</x:v>
      </x:c>
      <x:c r="C27" s="28" t="str">
        <x:v>ваниль</x:v>
      </x:c>
      <x:c r="D27" s="28" t="n">
        <x:v>10</x:v>
      </x:c>
      <x:c r="E27" s="28" t="str">
        <x:v>Высокая</x:v>
      </x:c>
      <x:c r="F27" s="28" t="n">
        <x:v>2</x:v>
      </x:c>
      <x:c r="G27" s="28" t="str">
        <x:v>прямое или классовое перекрытие характерных одорантов + вкусовой баланс</x:v>
      </x:c>
      <x:c r="H27" s="28" t="str">
        <x:v>напиток, соус, десерт или горячее блюдо после пробной дегустации</x:v>
      </x:c>
      <x:c r="I27" s="28" t="str">
        <x:v>Таблица сочетания(1).pdf | Тезариус вкусов (Ники Сегнит)(1).pdf</x:v>
      </x:c>
      <x:c r="J27" s="28" t="str">
        <x:v>Таблица сочетания(1).pdf: 15 | Таблица сочетания(1).pdf: 21 | Тезариус вкусов (Ники Сегнит)(1).pdf: 747 | Тезариус вкусов (Ники Сегнит)(1).pdf: 919</x:v>
      </x:c>
    </x:row>
    <x:row r="28" ht="44" customHeight="1">
      <x:c r="A28" s="28" t="str">
        <x:v>персик</x:v>
      </x:c>
      <x:c r="B28" s="28" t="n">
        <x:v>7</x:v>
      </x:c>
      <x:c r="C28" s="28" t="str">
        <x:v>гвоздика</x:v>
      </x:c>
      <x:c r="D28" s="28" t="n">
        <x:v>10</x:v>
      </x:c>
      <x:c r="E28" s="28" t="str">
        <x:v>Высокая</x:v>
      </x:c>
      <x:c r="F28" s="28" t="n">
        <x:v>2</x:v>
      </x:c>
      <x:c r="G28" s="28" t="str">
        <x:v>комплементарность ароматических семейств, вкусовой контраст и матричный эффект</x:v>
      </x:c>
      <x:c r="H28" s="28" t="str">
        <x:v>напиток, соус, десерт или горячее блюдо после пробной дегустации</x:v>
      </x:c>
      <x:c r="I28" s="28" t="str">
        <x:v>Таблица сочетания(1).pdf | Тезариус вкусов (Ники Сегнит)(1).pdf</x:v>
      </x:c>
      <x:c r="J28" s="28" t="str">
        <x:v>Таблица сочетания(1).pdf: 15 | Тезариус вкусов (Ники Сегнит)(1).pdf: 584 | Тезариус вкусов (Ники Сегнит)(1).pdf: 750</x:v>
      </x:c>
    </x:row>
    <x:row r="29" ht="44" customHeight="1">
      <x:c r="A29" s="28" t="str">
        <x:v>персик</x:v>
      </x:c>
      <x:c r="B29" s="28" t="n">
        <x:v>8</x:v>
      </x:c>
      <x:c r="C29" s="28" t="str">
        <x:v>клубника</x:v>
      </x:c>
      <x:c r="D29" s="28" t="n">
        <x:v>10</x:v>
      </x:c>
      <x:c r="E29" s="28" t="str">
        <x:v>Высокая</x:v>
      </x:c>
      <x:c r="F29" s="28" t="n">
        <x:v>2</x:v>
      </x:c>
      <x:c r="G29" s="28" t="str">
        <x:v>комплементарность ароматических семейств, вкусовой контраст и матричный эффект</x:v>
      </x:c>
      <x:c r="H29" s="28" t="str">
        <x:v>сорбет, салат, джем, кордиал, лимонад, коктейль или фруктовый соус</x:v>
      </x:c>
      <x:c r="I29" s="28" t="str">
        <x:v>The Art &amp; Science of Foodpairing.pdf | Тезариус вкусов (Ники Сегнит)(1).pdf</x:v>
      </x:c>
      <x:c r="J29" s="28" t="str">
        <x:v>The Art &amp; Science of Foodpairing.pdf: Тезариус вкусов: 698, 751; The Art &amp; Science of Foodpairing: 71 | Тезариус вкусов (Ники Сегнит)(1).pdf: 698 | Тезариус вкусов (Ники Сегнит)(1).pdf: 751 | The Art &amp; Science of Foodpairing.pdf: 71</x:v>
      </x:c>
    </x:row>
    <x:row r="30" ht="44" customHeight="1">
      <x:c r="A30" s="28" t="str">
        <x:v>персик</x:v>
      </x:c>
      <x:c r="B30" s="28" t="n">
        <x:v>9</x:v>
      </x:c>
      <x:c r="C30" s="28" t="str">
        <x:v>кокос</x:v>
      </x:c>
      <x:c r="D30" s="28" t="n">
        <x:v>10</x:v>
      </x:c>
      <x:c r="E30" s="28" t="str">
        <x:v>Высокая</x:v>
      </x:c>
      <x:c r="F30" s="28" t="n">
        <x:v>2</x:v>
      </x:c>
      <x:c r="G30" s="28" t="str">
        <x:v>прямое или классовое перекрытие характерных одорантов + вкусовой баланс</x:v>
      </x:c>
      <x:c r="H30" s="28" t="str">
        <x:v>напиток, соус, десерт или горячее блюдо после пробной дегустации</x:v>
      </x:c>
      <x:c r="I30" s="28" t="str">
        <x:v>The Art &amp; Science of Foodpairing.pdf | Таблица сочетания(1).pdf</x:v>
      </x:c>
      <x:c r="J30" s="28" t="str">
        <x:v>The Art &amp; Science of Foodpairing.pdf: Таблица сочетаний: 15 | The Art &amp; Science of Foodpairing: 134 | Таблица сочетания(1).pdf: 15 | The Art &amp; Science of Foodpairing.pdf: 134</x:v>
      </x:c>
    </x:row>
    <x:row r="31" ht="44" customHeight="1">
      <x:c r="A31" s="28" t="str">
        <x:v>персик</x:v>
      </x:c>
      <x:c r="B31" s="28" t="n">
        <x:v>10</x:v>
      </x:c>
      <x:c r="C31" s="28" t="str">
        <x:v>нектарин</x:v>
      </x:c>
      <x:c r="D31" s="28" t="n">
        <x:v>10</x:v>
      </x:c>
      <x:c r="E31" s="28" t="str">
        <x:v>Высокая</x:v>
      </x:c>
      <x:c r="F31" s="28" t="n">
        <x:v>2</x:v>
      </x:c>
      <x:c r="G31" s="28" t="str">
        <x:v>прямое или классовое перекрытие характерных одорантов + вкусовой баланс</x:v>
      </x:c>
      <x:c r="H31" s="28" t="str">
        <x:v>напиток, соус, десерт или горячее блюдо после пробной дегустации</x:v>
      </x:c>
      <x:c r="I31" s="28" t="str">
        <x:v>The Art &amp; Science of Foodpairing.pdf | Таблица сочетания(1).pdf</x:v>
      </x:c>
      <x:c r="J31" s="28" t="str">
        <x:v>Таблица сочетания(1).pdf: 14 | Таблица сочетания(1).pdf: 15 | The Art &amp; Science of Foodpairing.pdf: 260 | The Art &amp; Science of Foodpairing.pdf: 260–261</x:v>
      </x:c>
    </x:row>
    <x:row r="32" ht="44" customHeight="1">
      <x:c r="A32" s="28" t="str">
        <x:v>персик</x:v>
      </x:c>
      <x:c r="B32" s="28" t="n">
        <x:v>11</x:v>
      </x:c>
      <x:c r="C32" s="28" t="str">
        <x:v>слива</x:v>
      </x:c>
      <x:c r="D32" s="28" t="n">
        <x:v>10</x:v>
      </x:c>
      <x:c r="E32" s="28" t="str">
        <x:v>Высокая</x:v>
      </x:c>
      <x:c r="F32" s="28" t="n">
        <x:v>2</x:v>
      </x:c>
      <x:c r="G32" s="28" t="str">
        <x:v>прямое или классовое перекрытие характерных одорантов + вкусовой баланс</x:v>
      </x:c>
      <x:c r="H32" s="28" t="str">
        <x:v>напиток, соус, десерт или горячее блюдо после пробной дегустации</x:v>
      </x:c>
      <x:c r="I32" s="28" t="str">
        <x:v>The Art &amp; Science of Foodpairing.pdf | Таблица сочетания(1).pdf</x:v>
      </x:c>
      <x:c r="J32" s="28" t="str">
        <x:v>Таблица сочетания(1).pdf: 17 | The Art &amp; Science of Foodpairing.pdf: 260</x:v>
      </x:c>
    </x:row>
    <x:row r="33" ht="44" customHeight="1">
      <x:c r="A33" s="28" t="str">
        <x:v>персик</x:v>
      </x:c>
      <x:c r="B33" s="28" t="n">
        <x:v>12</x:v>
      </x:c>
      <x:c r="C33" s="28" t="str">
        <x:v>фисташка</x:v>
      </x:c>
      <x:c r="D33" s="28" t="n">
        <x:v>10</x:v>
      </x:c>
      <x:c r="E33" s="28" t="str">
        <x:v>Высокая</x:v>
      </x:c>
      <x:c r="F33" s="28" t="n">
        <x:v>2</x:v>
      </x:c>
      <x:c r="G33" s="28" t="str">
        <x:v>прямое или классовое перекрытие характерных одорантов + вкусовой баланс</x:v>
      </x:c>
      <x:c r="H33" s="28" t="str">
        <x:v>тарт, крем, мороженое, выпечка, сырная подача или начинка</x:v>
      </x:c>
      <x:c r="I33" s="28" t="str">
        <x:v>The Art &amp; Science of Foodpairing.pdf | Таблица сочетания(1).pdf</x:v>
      </x:c>
      <x:c r="J33" s="28" t="str">
        <x:v>Таблица сочетания(1).pdf: 15 | Таблица сочетания(1).pdf: 17 | The Art &amp; Science of Foodpairing.pdf: 260–261</x:v>
      </x:c>
    </x:row>
    <x:row r="34" ht="44" customHeight="1">
      <x:c r="A34" s="28" t="str">
        <x:v>персик</x:v>
      </x:c>
      <x:c r="B34" s="28" t="n">
        <x:v>13</x:v>
      </x:c>
      <x:c r="C34" s="28" t="str">
        <x:v>кедровый орех</x:v>
      </x:c>
      <x:c r="D34" s="28" t="n">
        <x:v>9</x:v>
      </x:c>
      <x:c r="E34" s="28" t="str">
        <x:v>Высокая</x:v>
      </x:c>
      <x:c r="F34" s="28" t="n">
        <x:v>2</x:v>
      </x:c>
      <x:c r="G34" s="28" t="str">
        <x:v>прямое или классовое перекрытие характерных одорантов + вкусовой баланс</x:v>
      </x:c>
      <x:c r="H34" s="28" t="str">
        <x:v>тарт, крем, мороженое, выпечка, сырная подача или начинка</x:v>
      </x:c>
      <x:c r="I34" s="28" t="str">
        <x:v>The Art &amp; Science of Foodpairing.pdf | Таблица сочетания(1).pdf</x:v>
      </x:c>
      <x:c r="J34" s="28" t="str">
        <x:v>Таблица сочетания(1).pdf: 16 | The Art &amp; Science of Foodpairing.pdf: 260–261</x:v>
      </x:c>
    </x:row>
    <x:row r="35" ht="44" customHeight="1">
      <x:c r="A35" s="28" t="str">
        <x:v>персик</x:v>
      </x:c>
      <x:c r="B35" s="28" t="n">
        <x:v>14</x:v>
      </x:c>
      <x:c r="C35" s="28" t="str">
        <x:v>лемонграсс</x:v>
      </x:c>
      <x:c r="D35" s="28" t="n">
        <x:v>9</x:v>
      </x:c>
      <x:c r="E35" s="28" t="str">
        <x:v>Высокая</x:v>
      </x:c>
      <x:c r="F35" s="28" t="n">
        <x:v>2</x:v>
      </x:c>
      <x:c r="G35" s="28" t="str">
        <x:v>прямое или классовое перекрытие характерных одорантов + вкусовой баланс</x:v>
      </x:c>
      <x:c r="H35" s="28" t="str">
        <x:v>напиток, соус, десерт или горячее блюдо после пробной дегустации</x:v>
      </x:c>
      <x:c r="I35" s="28" t="str">
        <x:v>The Art &amp; Science of Foodpairing.pdf | Таблица сочетания(1).pdf</x:v>
      </x:c>
      <x:c r="J35" s="28" t="str">
        <x:v>Таблица сочетания(1).pdf: 11 | The Art &amp; Science of Foodpairing.pdf: 144</x:v>
      </x:c>
    </x:row>
    <x:row r="36" ht="44" customHeight="1">
      <x:c r="A36" s="28" t="str">
        <x:v>персик</x:v>
      </x:c>
      <x:c r="B36" s="28" t="n">
        <x:v>15</x:v>
      </x:c>
      <x:c r="C36" s="28" t="str">
        <x:v>шоколад</x:v>
      </x:c>
      <x:c r="D36" s="28" t="n">
        <x:v>9</x:v>
      </x:c>
      <x:c r="E36" s="28" t="str">
        <x:v>Высокая</x:v>
      </x:c>
      <x:c r="F36" s="28" t="n">
        <x:v>2</x:v>
      </x:c>
      <x:c r="G36" s="28" t="str">
        <x:v>комплементарность ароматических семейств, вкусовой контраст и матричный эффект</x:v>
      </x:c>
      <x:c r="H36" s="28" t="str">
        <x:v>напиток, соус, десерт или горячее блюдо после пробной дегустации</x:v>
      </x:c>
      <x:c r="I36" s="28" t="str">
        <x:v>The Art &amp; Science of Foodpairing.pdf | Таблица сочетания(1).pdf</x:v>
      </x:c>
      <x:c r="J36" s="28" t="str">
        <x:v>Таблица сочетания(1).pdf: 15 | The Art &amp; Science of Foodpairing.pdf: 62</x:v>
      </x:c>
    </x:row>
    <x:row r="37" ht="44" customHeight="1">
      <x:c r="A37" s="28" t="str">
        <x:v>персик</x:v>
      </x:c>
      <x:c r="B37" s="28" t="n">
        <x:v>16</x:v>
      </x:c>
      <x:c r="C37" s="28" t="str">
        <x:v>апельсин</x:v>
      </x:c>
      <x:c r="D37" s="28" t="n">
        <x:v>7</x:v>
      </x:c>
      <x:c r="E37" s="28" t="str">
        <x:v>Средняя</x:v>
      </x:c>
      <x:c r="F37" s="28" t="n">
        <x:v>1</x:v>
      </x:c>
      <x:c r="G37" s="28" t="str">
        <x:v>прямое или классовое перекрытие характерных одорантов + вкусовой баланс</x:v>
      </x:c>
      <x:c r="H37" s="28" t="str">
        <x:v>сорбет, салат, джем, кордиал, лимонад, коктейль или фруктовый соус</x:v>
      </x:c>
      <x:c r="I37" s="28" t="str">
        <x:v>Тезариус вкусов (Ники Сегнит)(1).pdf</x:v>
      </x:c>
      <x:c r="J37" s="28" t="str">
        <x:v>Тезариус вкусов (Ники Сегнит)(1).pdf: Тезариус вкусов (Ники Сегнит)(1).pdf: 747, 779 | Тезариус вкусов (Ники Сегнит)(1).pdf: 747 | Тезариус вкусов (Ники Сегнит)(1).pdf: 779</x:v>
      </x:c>
    </x:row>
    <x:row r="38" ht="44" customHeight="1">
      <x:c r="A38" s="28" t="str">
        <x:v>персик</x:v>
      </x:c>
      <x:c r="B38" s="28" t="n">
        <x:v>17</x:v>
      </x:c>
      <x:c r="C38" s="28" t="str">
        <x:v>манго</x:v>
      </x:c>
      <x:c r="D38" s="28" t="n">
        <x:v>7</x:v>
      </x:c>
      <x:c r="E38" s="28" t="str">
        <x:v>Средняя</x:v>
      </x:c>
      <x:c r="F38" s="28" t="n">
        <x:v>1</x:v>
      </x:c>
      <x:c r="G38" s="28" t="str">
        <x:v>прямое или классовое перекрытие характерных одорантов + вкусовой баланс</x:v>
      </x:c>
      <x:c r="H38" s="28" t="str">
        <x:v>напиток, соус, десерт или горячее блюдо после пробной дегустации</x:v>
      </x:c>
      <x:c r="I38" s="28" t="str">
        <x:v>Тезариус вкусов (Ники Сегнит)(1).pdf</x:v>
      </x:c>
      <x:c r="J38" s="28" t="str">
        <x:v>Тезариус вкусов (Ники Сегнит)(1).pdf: Тезаурус вкусов: 767, 751 | Тезариус вкусов (Ники Сегнит)(1).pdf: 751 | Тезариус вкусов (Ники Сегнит)(1).pdf: 767</x:v>
      </x:c>
    </x:row>
    <x:row r="39" ht="44" customHeight="1">
      <x:c r="A39" s="28" t="str">
        <x:v>персик</x:v>
      </x:c>
      <x:c r="B39" s="28" t="n">
        <x:v>18</x:v>
      </x:c>
      <x:c r="C39" s="28" t="str">
        <x:v>черника</x:v>
      </x:c>
      <x:c r="D39" s="28" t="n">
        <x:v>7</x:v>
      </x:c>
      <x:c r="E39" s="28" t="str">
        <x:v>Средняя</x:v>
      </x:c>
      <x:c r="F39" s="28" t="n">
        <x:v>1</x:v>
      </x:c>
      <x:c r="G39" s="28" t="str">
        <x:v>комплементарность ароматических семейств, вкусовой контраст и матричный эффект</x:v>
      </x:c>
      <x:c r="H39" s="28" t="str">
        <x:v>сорбет, салат, джем, кордиал, лимонад, коктейль или фруктовый соус</x:v>
      </x:c>
      <x:c r="I39" s="28" t="str">
        <x:v>Тезариус вкусов (Ники Сегнит)(1).pdf</x:v>
      </x:c>
      <x:c r="J39" s="28" t="str">
        <x:v>Тезариус вкусов (Ники Сегнит)(1).pdf: Тезариус вкусов: 751, 905 | Тезариус вкусов (Ники Сегнит)(1).pdf: 751 | Тезариус вкусов (Ники Сегнит)(1).pdf: 905</x:v>
      </x:c>
    </x:row>
    <x:row r="40" ht="44" customHeight="1">
      <x:c r="A40" s="28" t="str">
        <x:v>персик</x:v>
      </x:c>
      <x:c r="B40" s="28" t="n">
        <x:v>19</x:v>
      </x:c>
      <x:c r="C40" s="28" t="str">
        <x:v>чернослив</x:v>
      </x:c>
      <x:c r="D40" s="28" t="n">
        <x:v>7</x:v>
      </x:c>
      <x:c r="E40" s="28" t="str">
        <x:v>Средняя</x:v>
      </x:c>
      <x:c r="F40" s="28" t="n">
        <x:v>1</x:v>
      </x:c>
      <x:c r="G40" s="28" t="str">
        <x:v>прямое или классовое перекрытие характерных одорантов + вкусовой баланс</x:v>
      </x:c>
      <x:c r="H40" s="28" t="str">
        <x:v>напиток, соус, десерт или горячее блюдо после пробной дегустации</x:v>
      </x:c>
      <x:c r="I40" s="28" t="str">
        <x:v>The Art &amp; Science of Foodpairing.pdf</x:v>
      </x:c>
      <x:c r="J40" s="28" t="str">
        <x:v>The Art &amp; Science of Foodpairing.pdf: 260 | The Art &amp; Science of Foodpairing.pdf: 260–261</x:v>
      </x:c>
    </x:row>
    <x:row r="41" ht="44" customHeight="1">
      <x:c r="A41" s="28" t="str">
        <x:v>персик</x:v>
      </x:c>
      <x:c r="B41" s="28" t="n">
        <x:v>20</x:v>
      </x:c>
      <x:c r="C41" s="28" t="str">
        <x:v>авокадо</x:v>
      </x:c>
      <x:c r="D41" s="28" t="n">
        <x:v>6</x:v>
      </x:c>
      <x:c r="E41" s="28" t="str">
        <x:v>Средняя</x:v>
      </x:c>
      <x:c r="F41" s="28" t="n">
        <x:v>1</x:v>
      </x:c>
      <x:c r="G41" s="28" t="str">
        <x:v>прямое или классовое перекрытие характерных одорантов + вкусовой баланс</x:v>
      </x:c>
      <x:c r="H41" s="28" t="str">
        <x:v>напиток, соус, десерт или горячее блюдо после пробной дегустации</x:v>
      </x:c>
      <x:c r="I41" s="28" t="str">
        <x:v>The Art &amp; Science of Foodpairing.pdf</x:v>
      </x:c>
      <x:c r="J41" s="28" t="str">
        <x:v>The Art &amp; Science of Foodpairing.pdf: 355 | The Art &amp; Science of Foodpairing.pdf: 260–261</x:v>
      </x:c>
    </x:row>
    <x:row r="42" ht="44" customHeight="1">
      <x:c r="A42" s="28" t="str">
        <x:v>нектарин</x:v>
      </x:c>
      <x:c r="B42" s="28" t="n">
        <x:v>1</x:v>
      </x:c>
      <x:c r="C42" s="28" t="str">
        <x:v>голубика</x:v>
      </x:c>
      <x:c r="D42" s="28" t="n">
        <x:v>10</x:v>
      </x:c>
      <x:c r="E42" s="28" t="str">
        <x:v>Высокая</x:v>
      </x:c>
      <x:c r="F42" s="28" t="n">
        <x:v>2</x:v>
      </x:c>
      <x:c r="G42" s="28" t="str">
        <x:v>прямое или классовое перекрытие характерных одорантов + вкусовой баланс</x:v>
      </x:c>
      <x:c r="H42" s="28" t="str">
        <x:v>сорбет, салат, джем, кордиал, лимонад, коктейль или фруктовый соус</x:v>
      </x:c>
      <x:c r="I42" s="28" t="str">
        <x:v>The Art &amp; Science of Foodpairing.pdf | Таблица сочетания(1).pdf</x:v>
      </x:c>
      <x:c r="J42" s="28" t="str">
        <x:v>Таблица сочетания(1).pdf: Таблица сочетаний: 14 | Таблица сочетания(1).pdf: 14 | The Art &amp; Science of Foodpairing.pdf: 202</x:v>
      </x:c>
    </x:row>
    <x:row r="43" ht="44" customHeight="1">
      <x:c r="A43" s="28" t="str">
        <x:v>нектарин</x:v>
      </x:c>
      <x:c r="B43" s="28" t="n">
        <x:v>2</x:v>
      </x:c>
      <x:c r="C43" s="28" t="str">
        <x:v>ежевика</x:v>
      </x:c>
      <x:c r="D43" s="28" t="n">
        <x:v>10</x:v>
      </x:c>
      <x:c r="E43" s="28" t="str">
        <x:v>Высокая</x:v>
      </x:c>
      <x:c r="F43" s="28" t="n">
        <x:v>2</x:v>
      </x:c>
      <x:c r="G43" s="28" t="str">
        <x:v>прямое или классовое перекрытие характерных одорантов + вкусовой баланс</x:v>
      </x:c>
      <x:c r="H43" s="28" t="str">
        <x:v>сорбет, салат, джем, кордиал, лимонад, коктейль или фруктовый соус</x:v>
      </x:c>
      <x:c r="I43" s="28" t="str">
        <x:v>The Art &amp; Science of Foodpairing.pdf | Таблица сочетания(1).pdf</x:v>
      </x:c>
      <x:c r="J43" s="28" t="str">
        <x:v>Таблица сочетания(1).pdf: Таблица сочетаний: 14 | Таблица сочетания(1).pdf: 14 | The Art &amp; Science of Foodpairing.pdf: 260–261</x:v>
      </x:c>
    </x:row>
    <x:row r="44" ht="44" customHeight="1">
      <x:c r="A44" s="28" t="str">
        <x:v>нектарин</x:v>
      </x:c>
      <x:c r="B44" s="28" t="n">
        <x:v>3</x:v>
      </x:c>
      <x:c r="C44" s="28" t="str">
        <x:v>клубника</x:v>
      </x:c>
      <x:c r="D44" s="28" t="n">
        <x:v>10</x:v>
      </x:c>
      <x:c r="E44" s="28" t="str">
        <x:v>Высокая</x:v>
      </x:c>
      <x:c r="F44" s="28" t="n">
        <x:v>2</x:v>
      </x:c>
      <x:c r="G44" s="28" t="str">
        <x:v>прямое или классовое перекрытие характерных одорантов + вкусовой баланс</x:v>
      </x:c>
      <x:c r="H44" s="28" t="str">
        <x:v>сорбет, салат, джем, кордиал, лимонад, коктейль или фруктовый соус</x:v>
      </x:c>
      <x:c r="I44" s="28" t="str">
        <x:v>The Art &amp; Science of Foodpairing.pdf | Таблица сочетания(1).pdf</x:v>
      </x:c>
      <x:c r="J44" s="28" t="str">
        <x:v>The Art &amp; Science of Foodpairing.pdf: The Art &amp; Science of Foodpairing: 70; Таблица сочетаний: 20 | Таблица сочетания(1).pdf: 20 | The Art &amp; Science of Foodpairing.pdf: 70</x:v>
      </x:c>
    </x:row>
    <x:row r="45" ht="44" customHeight="1">
      <x:c r="A45" s="28" t="str">
        <x:v>нектарин</x:v>
      </x:c>
      <x:c r="B45" s="28" t="n">
        <x:v>4</x:v>
      </x:c>
      <x:c r="C45" s="28" t="str">
        <x:v>малина</x:v>
      </x:c>
      <x:c r="D45" s="28" t="n">
        <x:v>10</x:v>
      </x:c>
      <x:c r="E45" s="28" t="str">
        <x:v>Высокая</x:v>
      </x:c>
      <x:c r="F45" s="28" t="n">
        <x:v>2</x:v>
      </x:c>
      <x:c r="G45" s="28" t="str">
        <x:v>прямое или классовое перекрытие характерных одорантов + вкусовой баланс</x:v>
      </x:c>
      <x:c r="H45" s="28" t="str">
        <x:v>сорбет, салат, джем, кордиал, лимонад, коктейль или фруктовый соус</x:v>
      </x:c>
      <x:c r="I45" s="28" t="str">
        <x:v>The Art &amp; Science of Foodpairing.pdf | Таблица сочетания(1).pdf</x:v>
      </x:c>
      <x:c r="J45" s="28" t="str">
        <x:v>Таблица сочетания(1).pdf: Таблица сочетаний: 19 | Таблица сочетания(1).pdf: 19 | The Art &amp; Science of Foodpairing.pdf: 260–261</x:v>
      </x:c>
    </x:row>
    <x:row r="46" ht="44" customHeight="1">
      <x:c r="A46" s="28" t="str">
        <x:v>нектарин</x:v>
      </x:c>
      <x:c r="B46" s="28" t="n">
        <x:v>5</x:v>
      </x:c>
      <x:c r="C46" s="28" t="str">
        <x:v>персик</x:v>
      </x:c>
      <x:c r="D46" s="28" t="n">
        <x:v>10</x:v>
      </x:c>
      <x:c r="E46" s="28" t="str">
        <x:v>Высокая</x:v>
      </x:c>
      <x:c r="F46" s="28" t="n">
        <x:v>2</x:v>
      </x:c>
      <x:c r="G46" s="28" t="str">
        <x:v>прямое или классовое перекрытие характерных одорантов + вкусовой баланс</x:v>
      </x:c>
      <x:c r="H46" s="28" t="str">
        <x:v>напиток, соус, десерт или горячее блюдо после пробной дегустации</x:v>
      </x:c>
      <x:c r="I46" s="28" t="str">
        <x:v>The Art &amp; Science of Foodpairing.pdf | Таблица сочетания(1).pdf</x:v>
      </x:c>
      <x:c r="J46" s="28" t="str">
        <x:v>Таблица сочетания(1).pdf: 14 | Таблица сочетания(1).pdf: 15 | The Art &amp; Science of Foodpairing.pdf: 260 | The Art &amp; Science of Foodpairing.pdf: 260–261</x:v>
      </x:c>
    </x:row>
    <x:row r="47" ht="44" customHeight="1">
      <x:c r="A47" s="28" t="str">
        <x:v>нектарин</x:v>
      </x:c>
      <x:c r="B47" s="28" t="n">
        <x:v>6</x:v>
      </x:c>
      <x:c r="C47" s="28" t="str">
        <x:v>миндаль</x:v>
      </x:c>
      <x:c r="D47" s="28" t="n">
        <x:v>9</x:v>
      </x:c>
      <x:c r="E47" s="28" t="str">
        <x:v>Высокая</x:v>
      </x:c>
      <x:c r="F47" s="28" t="n">
        <x:v>2</x:v>
      </x:c>
      <x:c r="G47" s="28" t="str">
        <x:v>прямое или классовое перекрытие характерных одорантов + вкусовой баланс</x:v>
      </x:c>
      <x:c r="H47" s="28" t="str">
        <x:v>тарт, крем, мороженое, выпечка, сырная подача или начинка</x:v>
      </x:c>
      <x:c r="I47" s="28" t="str">
        <x:v>The Art &amp; Science of Foodpairing.pdf | Таблица сочетания(1).pdf</x:v>
      </x:c>
      <x:c r="J47" s="28" t="str">
        <x:v>Таблица сочетания(1).pdf: 14 | The Art &amp; Science of Foodpairing.pdf: 260–261</x:v>
      </x:c>
    </x:row>
    <x:row r="48" ht="44" customHeight="1">
      <x:c r="A48" s="28" t="str">
        <x:v>нектарин</x:v>
      </x:c>
      <x:c r="B48" s="28" t="n">
        <x:v>7</x:v>
      </x:c>
      <x:c r="C48" s="28" t="str">
        <x:v>темный шоколад</x:v>
      </x:c>
      <x:c r="D48" s="28" t="n">
        <x:v>9</x:v>
      </x:c>
      <x:c r="E48" s="28" t="str">
        <x:v>Высокая</x:v>
      </x:c>
      <x:c r="F48" s="28" t="n">
        <x:v>2</x:v>
      </x:c>
      <x:c r="G48" s="28" t="str">
        <x:v>комплементарность ароматических семейств, вкусовой контраст и матричный эффект</x:v>
      </x:c>
      <x:c r="H48" s="28" t="str">
        <x:v>напиток, соус, десерт или горячее блюдо после пробной дегустации</x:v>
      </x:c>
      <x:c r="I48" s="28" t="str">
        <x:v>The Art &amp; Science of Foodpairing.pdf | Таблица сочетания(1).pdf</x:v>
      </x:c>
      <x:c r="J48" s="28" t="str">
        <x:v>Таблица сочетания(1).pdf: 14 | The Art &amp; Science of Foodpairing.pdf: 260–261</x:v>
      </x:c>
    </x:row>
    <x:row r="49" ht="44" customHeight="1">
      <x:c r="A49" s="28" t="str">
        <x:v>нектарин</x:v>
      </x:c>
      <x:c r="B49" s="28" t="n">
        <x:v>8</x:v>
      </x:c>
      <x:c r="C49" s="28" t="str">
        <x:v>фисташка</x:v>
      </x:c>
      <x:c r="D49" s="28" t="n">
        <x:v>9</x:v>
      </x:c>
      <x:c r="E49" s="28" t="str">
        <x:v>Высокая</x:v>
      </x:c>
      <x:c r="F49" s="28" t="n">
        <x:v>2</x:v>
      </x:c>
      <x:c r="G49" s="28" t="str">
        <x:v>прямое или классовое перекрытие характерных одорантов + вкусовой баланс</x:v>
      </x:c>
      <x:c r="H49" s="28" t="str">
        <x:v>тарт, крем, мороженое, выпечка, сырная подача или начинка</x:v>
      </x:c>
      <x:c r="I49" s="28" t="str">
        <x:v>The Art &amp; Science of Foodpairing.pdf | Таблица сочетания(1).pdf</x:v>
      </x:c>
      <x:c r="J49" s="28" t="str">
        <x:v>Таблица сочетания(1).pdf: 14 | The Art &amp; Science of Foodpairing.pdf: 260–261</x:v>
      </x:c>
    </x:row>
    <x:row r="50" ht="44" customHeight="1">
      <x:c r="A50" s="28" t="str">
        <x:v>нектарин</x:v>
      </x:c>
      <x:c r="B50" s="28" t="n">
        <x:v>9</x:v>
      </x:c>
      <x:c r="C50" s="28" t="str">
        <x:v>фундук</x:v>
      </x:c>
      <x:c r="D50" s="28" t="n">
        <x:v>9</x:v>
      </x:c>
      <x:c r="E50" s="28" t="str">
        <x:v>Высокая</x:v>
      </x:c>
      <x:c r="F50" s="28" t="n">
        <x:v>2</x:v>
      </x:c>
      <x:c r="G50" s="28" t="str">
        <x:v>комплементарность ароматических семейств, вкусовой контраст и матричный эффект</x:v>
      </x:c>
      <x:c r="H50" s="28" t="str">
        <x:v>тарт, крем, мороженое, выпечка, сырная подача или начинка</x:v>
      </x:c>
      <x:c r="I50" s="28" t="str">
        <x:v>The Art &amp; Science of Foodpairing.pdf | Таблица сочетания(1).pdf</x:v>
      </x:c>
      <x:c r="J50" s="28" t="str">
        <x:v>Таблица сочетания(1).pdf: 14 | The Art &amp; Science of Foodpairing.pdf: 333</x:v>
      </x:c>
    </x:row>
    <x:row r="51" ht="44" customHeight="1">
      <x:c r="A51" s="28" t="str">
        <x:v>нектарин</x:v>
      </x:c>
      <x:c r="B51" s="28" t="n">
        <x:v>10</x:v>
      </x:c>
      <x:c r="C51" s="28" t="str">
        <x:v>ананас</x:v>
      </x:c>
      <x:c r="D51" s="28" t="n">
        <x:v>6</x:v>
      </x:c>
      <x:c r="E51" s="28" t="str">
        <x:v>Средняя</x:v>
      </x:c>
      <x:c r="F51" s="28" t="n">
        <x:v>1</x:v>
      </x:c>
      <x:c r="G51" s="28" t="str">
        <x:v>комплементарность ароматических семейств, вкусовой контраст и матричный эффект</x:v>
      </x:c>
      <x:c r="H51" s="28" t="str">
        <x:v>напиток, соус, десерт или горячее блюдо после пробной дегустации</x:v>
      </x:c>
      <x:c r="I51" s="28" t="str">
        <x:v>The Art &amp; Science of Foodpairing.pdf</x:v>
      </x:c>
      <x:c r="J51" s="28" t="str">
        <x:v>The Art &amp; Science of Foodpairing.pdf: The Art &amp; Science of Foodpairing: 243 | The Art &amp; Science of Foodpairing.pdf: 243</x:v>
      </x:c>
    </x:row>
    <x:row r="52" ht="44" customHeight="1">
      <x:c r="A52" s="28" t="str">
        <x:v>нектарин</x:v>
      </x:c>
      <x:c r="B52" s="28" t="n">
        <x:v>11</x:v>
      </x:c>
      <x:c r="C52" s="28" t="str">
        <x:v>апельсин</x:v>
      </x:c>
      <x:c r="D52" s="28" t="n">
        <x:v>6</x:v>
      </x:c>
      <x:c r="E52" s="28" t="str">
        <x:v>Гипотеза / практическая</x:v>
      </x:c>
      <x:c r="F52" s="28" t="n">
        <x:v>1</x:v>
      </x:c>
      <x:c r="G52" s="28" t="str">
        <x:v>прямое или классовое перекрытие характерных одорантов + вкусовой баланс</x:v>
      </x:c>
      <x:c r="H52" s="28" t="str">
        <x:v>сорбет, салат, джем, кордиал, лимонад, коктейль или фруктовый соус</x:v>
      </x:c>
      <x:c r="I52" s="28" t="str">
        <x:v>Таблица сочетания(1).pdf</x:v>
      </x:c>
      <x:c r="J52" s="28" t="str">
        <x:v>Таблица сочетания(1).pdf: Таблица сочетания(1).pdf: 14 | Таблица сочетания(1).pdf: 14</x:v>
      </x:c>
    </x:row>
    <x:row r="53" ht="44" customHeight="1">
      <x:c r="A53" s="28" t="str">
        <x:v>нектарин</x:v>
      </x:c>
      <x:c r="B53" s="28" t="n">
        <x:v>12</x:v>
      </x:c>
      <x:c r="C53" s="28" t="str">
        <x:v>вишня</x:v>
      </x:c>
      <x:c r="D53" s="28" t="n">
        <x:v>6</x:v>
      </x:c>
      <x:c r="E53" s="28" t="str">
        <x:v>Гипотеза / практическая</x:v>
      </x:c>
      <x:c r="F53" s="28" t="n">
        <x:v>1</x:v>
      </x:c>
      <x:c r="G53" s="28" t="str">
        <x:v>прямое или классовое перекрытие характерных одорантов + вкусовой баланс</x:v>
      </x:c>
      <x:c r="H53" s="28" t="str">
        <x:v>напиток, соус, десерт или горячее блюдо после пробной дегустации</x:v>
      </x:c>
      <x:c r="I53" s="28" t="str">
        <x:v>Таблица сочетания(1).pdf</x:v>
      </x:c>
      <x:c r="J53" s="28" t="str">
        <x:v>Таблица сочетания(1).pdf: Таблица сочетаний: 4, 14 | Таблица сочетания(1).pdf: 4 | Таблица сочетания(1).pdf: 14</x:v>
      </x:c>
    </x:row>
    <x:row r="54" ht="44" customHeight="1">
      <x:c r="A54" s="28" t="str">
        <x:v>нектарин</x:v>
      </x:c>
      <x:c r="B54" s="28" t="n">
        <x:v>13</x:v>
      </x:c>
      <x:c r="C54" s="28" t="str">
        <x:v>листья кориандра</x:v>
      </x:c>
      <x:c r="D54" s="28" t="n">
        <x:v>6</x:v>
      </x:c>
      <x:c r="E54" s="28" t="str">
        <x:v>Средняя</x:v>
      </x:c>
      <x:c r="F54" s="28" t="n">
        <x:v>1</x:v>
      </x:c>
      <x:c r="G54" s="28" t="str">
        <x:v>комплементарность ароматических семейств, вкусовой контраст и матричный эффект</x:v>
      </x:c>
      <x:c r="H54" s="28" t="str">
        <x:v>напиток, соус, десерт или горячее блюдо после пробной дегустации</x:v>
      </x:c>
      <x:c r="I54" s="28" t="str">
        <x:v>The Art &amp; Science of Foodpairing.pdf</x:v>
      </x:c>
      <x:c r="J54" s="28" t="str">
        <x:v>The Art &amp; Science of Foodpairing.pdf: 99 | The Art &amp; Science of Foodpairing.pdf: 260–261</x:v>
      </x:c>
    </x:row>
    <x:row r="55" ht="44" customHeight="1">
      <x:c r="A55" s="28" t="str">
        <x:v>нектарин</x:v>
      </x:c>
      <x:c r="B55" s="28" t="n">
        <x:v>14</x:v>
      </x:c>
      <x:c r="C55" s="28" t="str">
        <x:v>обжаренный страус</x:v>
      </x:c>
      <x:c r="D55" s="28" t="n">
        <x:v>6</x:v>
      </x:c>
      <x:c r="E55" s="28" t="str">
        <x:v>Средняя</x:v>
      </x:c>
      <x:c r="F55" s="28" t="n">
        <x:v>1</x:v>
      </x:c>
      <x:c r="G55" s="28" t="str">
        <x:v>комплементарность ароматических семейств, вкусовой контраст и матричный эффект</x:v>
      </x:c>
      <x:c r="H55" s="28" t="str">
        <x:v>соус, глазировка, чатни, маринад, гарнир или основное блюдо</x:v>
      </x:c>
      <x:c r="I55" s="28" t="str">
        <x:v>The Art &amp; Science of Foodpairing.pdf</x:v>
      </x:c>
      <x:c r="J55" s="28" t="str">
        <x:v>The Art &amp; Science of Foodpairing.pdf: 260–261</x:v>
      </x:c>
    </x:row>
    <x:row r="56" ht="44" customHeight="1">
      <x:c r="A56" s="28" t="str">
        <x:v>нектарин</x:v>
      </x:c>
      <x:c r="B56" s="28" t="n">
        <x:v>15</x:v>
      </x:c>
      <x:c r="C56" s="28" t="str">
        <x:v>свиная корейка</x:v>
      </x:c>
      <x:c r="D56" s="28" t="n">
        <x:v>6</x:v>
      </x:c>
      <x:c r="E56" s="28" t="str">
        <x:v>Средняя</x:v>
      </x:c>
      <x:c r="F56" s="28" t="n">
        <x:v>1</x:v>
      </x:c>
      <x:c r="G56" s="28" t="str">
        <x:v>комплементарность ароматических семейств, вкусовой контраст и матричный эффект</x:v>
      </x:c>
      <x:c r="H56" s="28" t="str">
        <x:v>напиток, соус, десерт или горячее блюдо после пробной дегустации</x:v>
      </x:c>
      <x:c r="I56" s="28" t="str">
        <x:v>The Art &amp; Science of Foodpairing.pdf</x:v>
      </x:c>
      <x:c r="J56" s="28" t="str">
        <x:v>The Art &amp; Science of Foodpairing.pdf: 187 | The Art &amp; Science of Foodpairing.pdf: 189</x:v>
      </x:c>
    </x:row>
    <x:row r="57" ht="44" customHeight="1">
      <x:c r="A57" s="28" t="str">
        <x:v>нектарин</x:v>
      </x:c>
      <x:c r="B57" s="28" t="n">
        <x:v>16</x:v>
      </x:c>
      <x:c r="C57" s="28" t="str">
        <x:v>слива</x:v>
      </x:c>
      <x:c r="D57" s="28" t="n">
        <x:v>6</x:v>
      </x:c>
      <x:c r="E57" s="28" t="str">
        <x:v>Гипотеза / практическая</x:v>
      </x:c>
      <x:c r="F57" s="28" t="n">
        <x:v>1</x:v>
      </x:c>
      <x:c r="G57" s="28" t="str">
        <x:v>прямое или классовое перекрытие характерных одорантов + вкусовой баланс</x:v>
      </x:c>
      <x:c r="H57" s="28" t="str">
        <x:v>напиток, соус, десерт или горячее блюдо после пробной дегустации</x:v>
      </x:c>
      <x:c r="I57" s="28" t="str">
        <x:v>Таблица сочетания(1).pdf</x:v>
      </x:c>
      <x:c r="J57" s="28" t="str">
        <x:v>Таблица сочетания(1).pdf: 14 | Таблица сочетания(1).pdf: 17</x:v>
      </x:c>
    </x:row>
    <x:row r="58" ht="44" customHeight="1">
      <x:c r="A58" s="28" t="str">
        <x:v>нектарин</x:v>
      </x:c>
      <x:c r="B58" s="28" t="n">
        <x:v>17</x:v>
      </x:c>
      <x:c r="C58" s="28" t="str">
        <x:v>сушеные белые грибы</x:v>
      </x:c>
      <x:c r="D58" s="28" t="n">
        <x:v>6</x:v>
      </x:c>
      <x:c r="E58" s="28" t="str">
        <x:v>Средняя</x:v>
      </x:c>
      <x:c r="F58" s="28" t="n">
        <x:v>1</x:v>
      </x:c>
      <x:c r="G58" s="28" t="str">
        <x:v>комплементарность ароматических семейств, вкусовой контраст и матричный эффект</x:v>
      </x:c>
      <x:c r="H58" s="28" t="str">
        <x:v>соус, глазировка, чатни, маринад, гарнир или основное блюдо</x:v>
      </x:c>
      <x:c r="I58" s="28" t="str">
        <x:v>The Art &amp; Science of Foodpairing.pdf</x:v>
      </x:c>
      <x:c r="J58" s="28" t="str">
        <x:v>The Art &amp; Science of Foodpairing.pdf: 260–261</x:v>
      </x:c>
    </x:row>
    <x:row r="59" ht="44" customHeight="1">
      <x:c r="A59" s="28" t="str">
        <x:v>нектарин</x:v>
      </x:c>
      <x:c r="B59" s="28" t="n">
        <x:v>18</x:v>
      </x:c>
      <x:c r="C59" s="28" t="str">
        <x:v>устрица</x:v>
      </x:c>
      <x:c r="D59" s="28" t="n">
        <x:v>6</x:v>
      </x:c>
      <x:c r="E59" s="28" t="str">
        <x:v>Средняя</x:v>
      </x:c>
      <x:c r="F59" s="28" t="n">
        <x:v>1</x:v>
      </x:c>
      <x:c r="G59" s="28" t="str">
        <x:v>комплементарность ароматических семейств, вкусовой контраст и матричный эффект</x:v>
      </x:c>
      <x:c r="H59" s="28" t="str">
        <x:v>соус, глазировка, чатни, маринад, гарнир или основное блюдо</x:v>
      </x:c>
      <x:c r="I59" s="28" t="str">
        <x:v>The Art &amp; Science of Foodpairing.pdf</x:v>
      </x:c>
      <x:c r="J59" s="28" t="str">
        <x:v>The Art &amp; Science of Foodpairing.pdf: 368 | The Art &amp; Science of Foodpairing.pdf: 371</x:v>
      </x:c>
    </x:row>
    <x:row r="60" ht="44" customHeight="1">
      <x:c r="A60" s="28" t="str">
        <x:v>нектарин</x:v>
      </x:c>
      <x:c r="B60" s="28" t="n">
        <x:v>19</x:v>
      </x:c>
      <x:c r="C60" s="28" t="str">
        <x:v>абрикос</x:v>
      </x:c>
      <x:c r="D60" s="28" t="n">
        <x:v>5</x:v>
      </x:c>
      <x:c r="E60" s="28" t="str">
        <x:v>Гипотеза / практическая</x:v>
      </x:c>
      <x:c r="F60" s="28" t="n">
        <x:v>1</x:v>
      </x:c>
      <x:c r="G60" s="28" t="str">
        <x:v>прямое или классовое перекрытие характерных одорантов + вкусовой баланс</x:v>
      </x:c>
      <x:c r="H60" s="28" t="str">
        <x:v>напиток, соус, десерт или горячее блюдо после пробной дегустации</x:v>
      </x:c>
      <x:c r="I60" s="28" t="str">
        <x:v>Таблица сочетания(1).pdf</x:v>
      </x:c>
      <x:c r="J60" s="28" t="str">
        <x:v>Таблица сочетания(1).pdf: 14</x:v>
      </x:c>
    </x:row>
    <x:row r="61" ht="44" customHeight="1">
      <x:c r="A61" s="28" t="str">
        <x:v>нектарин</x:v>
      </x:c>
      <x:c r="B61" s="28" t="n">
        <x:v>20</x:v>
      </x:c>
      <x:c r="C61" s="28" t="str">
        <x:v>абрикосовый бренди</x:v>
      </x:c>
      <x:c r="D61" s="28" t="n">
        <x:v>5</x:v>
      </x:c>
      <x:c r="E61" s="28" t="str">
        <x:v>Средняя</x:v>
      </x:c>
      <x:c r="F61" s="28" t="n">
        <x:v>1</x:v>
      </x:c>
      <x:c r="G61" s="28" t="str">
        <x:v>прямое или классовое перекрытие характерных одорантов + вкусовой баланс</x:v>
      </x:c>
      <x:c r="H61" s="28" t="str">
        <x:v>коктейль, кордиал, настой, спритц, чайный или кофейный напиток</x:v>
      </x:c>
      <x:c r="I61" s="28" t="str">
        <x:v>The Art &amp; Science of Foodpairing.pdf</x:v>
      </x:c>
      <x:c r="J61" s="28" t="str">
        <x:v>The Art &amp; Science of Foodpairing.pdf: 260–261</x:v>
      </x:c>
    </x:row>
    <x:row r="62" ht="44" customHeight="1">
      <x:c r="A62" s="28" t="str">
        <x:v>слива</x:v>
      </x:c>
      <x:c r="B62" s="28" t="n">
        <x:v>1</x:v>
      </x:c>
      <x:c r="C62" s="28" t="str">
        <x:v>персик</x:v>
      </x:c>
      <x:c r="D62" s="28" t="n">
        <x:v>10</x:v>
      </x:c>
      <x:c r="E62" s="28" t="str">
        <x:v>Высокая</x:v>
      </x:c>
      <x:c r="F62" s="28" t="n">
        <x:v>2</x:v>
      </x:c>
      <x:c r="G62" s="28" t="str">
        <x:v>прямое или классовое перекрытие характерных одорантов + вкусовой баланс</x:v>
      </x:c>
      <x:c r="H62" s="28" t="str">
        <x:v>напиток, соус, десерт или горячее блюдо после пробной дегустации</x:v>
      </x:c>
      <x:c r="I62" s="28" t="str">
        <x:v>The Art &amp; Science of Foodpairing.pdf | Таблица сочетания(1).pdf</x:v>
      </x:c>
      <x:c r="J62" s="28" t="str">
        <x:v>Таблица сочетания(1).pdf: 17 | The Art &amp; Science of Foodpairing.pdf: 260</x:v>
      </x:c>
    </x:row>
    <x:row r="63" ht="44" customHeight="1">
      <x:c r="A63" s="28" t="str">
        <x:v>слива</x:v>
      </x:c>
      <x:c r="B63" s="28" t="n">
        <x:v>2</x:v>
      </x:c>
      <x:c r="C63" s="28" t="str">
        <x:v>вишня</x:v>
      </x:c>
      <x:c r="D63" s="28" t="n">
        <x:v>6</x:v>
      </x:c>
      <x:c r="E63" s="28" t="str">
        <x:v>Гипотеза / практическая</x:v>
      </x:c>
      <x:c r="F63" s="28" t="n">
        <x:v>1</x:v>
      </x:c>
      <x:c r="G63" s="28" t="str">
        <x:v>прямое или классовое перекрытие характерных одорантов + вкусовой баланс</x:v>
      </x:c>
      <x:c r="H63" s="28" t="str">
        <x:v>напиток, соус, десерт или горячее блюдо после пробной дегустации</x:v>
      </x:c>
      <x:c r="I63" s="28" t="str">
        <x:v>Таблица сочетания(1).pdf</x:v>
      </x:c>
      <x:c r="J63" s="28" t="str">
        <x:v>Таблица сочетания(1).pdf: Таблица сочетаний: 4, 17 | Таблица сочетания(1).pdf: 4 | Таблица сочетания(1).pdf: 17</x:v>
      </x:c>
    </x:row>
    <x:row r="64" ht="44" customHeight="1">
      <x:c r="A64" s="28" t="str">
        <x:v>слива</x:v>
      </x:c>
      <x:c r="B64" s="28" t="n">
        <x:v>3</x:v>
      </x:c>
      <x:c r="C64" s="28" t="str">
        <x:v>кумкват</x:v>
      </x:c>
      <x:c r="D64" s="28" t="n">
        <x:v>6</x:v>
      </x:c>
      <x:c r="E64" s="28" t="str">
        <x:v>Гипотеза / практическая</x:v>
      </x:c>
      <x:c r="F64" s="28" t="n">
        <x:v>1</x:v>
      </x:c>
      <x:c r="G64" s="28" t="str">
        <x:v>прямое или классовое перекрытие характерных одорантов + вкусовой баланс</x:v>
      </x:c>
      <x:c r="H64" s="28" t="str">
        <x:v>сорбет, салат, джем, кордиал, лимонад, коктейль или фруктовый соус</x:v>
      </x:c>
      <x:c r="I64" s="28" t="str">
        <x:v>Таблица сочетания(1).pdf</x:v>
      </x:c>
      <x:c r="J64" s="28" t="str">
        <x:v>Таблица сочетания(1).pdf: Таблица сочетания(1).pdf: 10, 17 | Таблица сочетания(1).pdf: 10 | Таблица сочетания(1).pdf: 17</x:v>
      </x:c>
    </x:row>
    <x:row r="65" ht="44" customHeight="1">
      <x:c r="A65" s="28" t="str">
        <x:v>слива</x:v>
      </x:c>
      <x:c r="B65" s="28" t="n">
        <x:v>4</x:v>
      </x:c>
      <x:c r="C65" s="28" t="str">
        <x:v>листья кориандра</x:v>
      </x:c>
      <x:c r="D65" s="28" t="n">
        <x:v>6</x:v>
      </x:c>
      <x:c r="E65" s="28" t="str">
        <x:v>Средняя</x:v>
      </x:c>
      <x:c r="F65" s="28" t="n">
        <x:v>1</x:v>
      </x:c>
      <x:c r="G65" s="28" t="str">
        <x:v>комплементарность ароматических семейств, вкусовой контраст и матричный эффект</x:v>
      </x:c>
      <x:c r="H65" s="28" t="str">
        <x:v>напиток, соус, десерт или горячее блюдо после пробной дегустации</x:v>
      </x:c>
      <x:c r="I65" s="28" t="str">
        <x:v>The Art &amp; Science of Foodpairing.pdf</x:v>
      </x:c>
      <x:c r="J65" s="28" t="str">
        <x:v>The Art &amp; Science of Foodpairing.pdf: 98 | The Art &amp; Science of Foodpairing.pdf: 99</x:v>
      </x:c>
    </x:row>
    <x:row r="66" ht="44" customHeight="1">
      <x:c r="A66" s="28" t="str">
        <x:v>слива</x:v>
      </x:c>
      <x:c r="B66" s="28" t="n">
        <x:v>5</x:v>
      </x:c>
      <x:c r="C66" s="28" t="str">
        <x:v>малина</x:v>
      </x:c>
      <x:c r="D66" s="28" t="n">
        <x:v>6</x:v>
      </x:c>
      <x:c r="E66" s="28" t="str">
        <x:v>Гипотеза / практическая</x:v>
      </x:c>
      <x:c r="F66" s="28" t="n">
        <x:v>1</x:v>
      </x:c>
      <x:c r="G66" s="28" t="str">
        <x:v>прямое или классовое перекрытие характерных одорантов + вкусовой баланс</x:v>
      </x:c>
      <x:c r="H66" s="28" t="str">
        <x:v>сорбет, салат, джем, кордиал, лимонад, коктейль или фруктовый соус</x:v>
      </x:c>
      <x:c r="I66" s="28" t="str">
        <x:v>Таблица сочетания(1).pdf</x:v>
      </x:c>
      <x:c r="J66" s="28" t="str">
        <x:v>Таблица сочетания(1).pdf: Таблица сочетаний: 17, 19 | Таблица сочетания(1).pdf: 17 | Таблица сочетания(1).pdf: 19</x:v>
      </x:c>
    </x:row>
    <x:row r="67" ht="44" customHeight="1">
      <x:c r="A67" s="28" t="str">
        <x:v>слива</x:v>
      </x:c>
      <x:c r="B67" s="28" t="n">
        <x:v>6</x:v>
      </x:c>
      <x:c r="C67" s="28" t="str">
        <x:v>нектарин</x:v>
      </x:c>
      <x:c r="D67" s="28" t="n">
        <x:v>6</x:v>
      </x:c>
      <x:c r="E67" s="28" t="str">
        <x:v>Гипотеза / практическая</x:v>
      </x:c>
      <x:c r="F67" s="28" t="n">
        <x:v>1</x:v>
      </x:c>
      <x:c r="G67" s="28" t="str">
        <x:v>прямое или классовое перекрытие характерных одорантов + вкусовой баланс</x:v>
      </x:c>
      <x:c r="H67" s="28" t="str">
        <x:v>напиток, соус, десерт или горячее блюдо после пробной дегустации</x:v>
      </x:c>
      <x:c r="I67" s="28" t="str">
        <x:v>Таблица сочетания(1).pdf</x:v>
      </x:c>
      <x:c r="J67" s="28" t="str">
        <x:v>Таблица сочетания(1).pdf: 14 | Таблица сочетания(1).pdf: 17</x:v>
      </x:c>
    </x:row>
    <x:row r="68" ht="44" customHeight="1">
      <x:c r="A68" s="28" t="str">
        <x:v>слива</x:v>
      </x:c>
      <x:c r="B68" s="28" t="n">
        <x:v>7</x:v>
      </x:c>
      <x:c r="C68" s="28" t="str">
        <x:v>абрикос</x:v>
      </x:c>
      <x:c r="D68" s="28" t="n">
        <x:v>5</x:v>
      </x:c>
      <x:c r="E68" s="28" t="str">
        <x:v>Гипотеза / практическая</x:v>
      </x:c>
      <x:c r="F68" s="28" t="n">
        <x:v>1</x:v>
      </x:c>
      <x:c r="G68" s="28" t="str">
        <x:v>прямое или классовое перекрытие характерных одорантов + вкусовой баланс</x:v>
      </x:c>
      <x:c r="H68" s="28" t="str">
        <x:v>напиток, соус, десерт или горячее блюдо после пробной дегустации</x:v>
      </x:c>
      <x:c r="I68" s="28" t="str">
        <x:v>Таблица сочетания(1).pdf</x:v>
      </x:c>
      <x:c r="J68" s="28" t="str">
        <x:v>Таблица сочетания(1).pdf: 1</x:v>
      </x:c>
    </x:row>
    <x:row r="69" ht="44" customHeight="1">
      <x:c r="A69" s="28" t="str">
        <x:v>слива</x:v>
      </x:c>
      <x:c r="B69" s="28" t="n">
        <x:v>8</x:v>
      </x:c>
      <x:c r="C69" s="28" t="str">
        <x:v>авокадо</x:v>
      </x:c>
      <x:c r="D69" s="28" t="n">
        <x:v>5</x:v>
      </x:c>
      <x:c r="E69" s="28" t="str">
        <x:v>Гипотеза / практическая</x:v>
      </x:c>
      <x:c r="F69" s="28" t="n">
        <x:v>1</x:v>
      </x:c>
      <x:c r="G69" s="28" t="str">
        <x:v>комплементарность ароматических семейств, вкусовой контраст и матричный эффект</x:v>
      </x:c>
      <x:c r="H69" s="28" t="str">
        <x:v>напиток, соус, десерт или горячее блюдо после пробной дегустации</x:v>
      </x:c>
      <x:c r="I69" s="28" t="str">
        <x:v>Таблица сочетания(1).pdf</x:v>
      </x:c>
      <x:c r="J69" s="28" t="str">
        <x:v>Таблица сочетания(1).pdf: Таблица сочетаний: 2 | Таблица сочетания(1).pdf: 2</x:v>
      </x:c>
    </x:row>
    <x:row r="70" ht="44" customHeight="1">
      <x:c r="A70" s="28" t="str">
        <x:v>слива</x:v>
      </x:c>
      <x:c r="B70" s="28" t="n">
        <x:v>9</x:v>
      </x:c>
      <x:c r="C70" s="28" t="str">
        <x:v>апельсин</x:v>
      </x:c>
      <x:c r="D70" s="28" t="n">
        <x:v>5</x:v>
      </x:c>
      <x:c r="E70" s="28" t="str">
        <x:v>Средняя</x:v>
      </x:c>
      <x:c r="F70" s="28" t="n">
        <x:v>1</x:v>
      </x:c>
      <x:c r="G70" s="28" t="str">
        <x:v>прямое или классовое перекрытие характерных одорантов + вкусовой баланс</x:v>
      </x:c>
      <x:c r="H70" s="28" t="str">
        <x:v>сорбет, салат, джем, кордиал, лимонад, коктейль или фруктовый соус</x:v>
      </x:c>
      <x:c r="I70" s="28" t="str">
        <x:v>The Art &amp; Science of Foodpairing.pdf</x:v>
      </x:c>
      <x:c r="J70" s="28" t="str">
        <x:v>The Art &amp; Science of Foodpairing.pdf: 237</x:v>
      </x:c>
    </x:row>
    <x:row r="71" ht="44" customHeight="1">
      <x:c r="A71" s="28" t="str">
        <x:v>слива</x:v>
      </x:c>
      <x:c r="B71" s="28" t="n">
        <x:v>10</x:v>
      </x:c>
      <x:c r="C71" s="28" t="str">
        <x:v>грейпфрут</x:v>
      </x:c>
      <x:c r="D71" s="28" t="n">
        <x:v>5</x:v>
      </x:c>
      <x:c r="E71" s="28" t="str">
        <x:v>Средняя</x:v>
      </x:c>
      <x:c r="F71" s="28" t="n">
        <x:v>1</x:v>
      </x:c>
      <x:c r="G71" s="28" t="str">
        <x:v>прямое или классовое перекрытие характерных одорантов + вкусовой баланс</x:v>
      </x:c>
      <x:c r="H71" s="28" t="str">
        <x:v>сорбет, салат, джем, кордиал, лимонад, коктейль или фруктовый соус</x:v>
      </x:c>
      <x:c r="I71" s="28" t="str">
        <x:v>The Art &amp; Science of Foodpairing.pdf</x:v>
      </x:c>
      <x:c r="J71" s="28" t="str">
        <x:v>The Art &amp; Science of Foodpairing.pdf: 359</x:v>
      </x:c>
    </x:row>
    <x:row r="72" ht="44" customHeight="1">
      <x:c r="A72" s="28" t="str">
        <x:v>слива</x:v>
      </x:c>
      <x:c r="B72" s="28" t="n">
        <x:v>11</x:v>
      </x:c>
      <x:c r="C72" s="28" t="str">
        <x:v>имбирь</x:v>
      </x:c>
      <x:c r="D72" s="28" t="n">
        <x:v>5</x:v>
      </x:c>
      <x:c r="E72" s="28" t="str">
        <x:v>Гипотеза / практическая</x:v>
      </x:c>
      <x:c r="F72" s="28" t="n">
        <x:v>1</x:v>
      </x:c>
      <x:c r="G72" s="28" t="str">
        <x:v>комплементарность ароматических семейств, вкусовой контраст и матричный эффект</x:v>
      </x:c>
      <x:c r="H72" s="28" t="str">
        <x:v>напиток, соус, десерт или горячее блюдо после пробной дегустации</x:v>
      </x:c>
      <x:c r="I72" s="28" t="str">
        <x:v>Таблица сочетания(1).pdf</x:v>
      </x:c>
      <x:c r="J72" s="28" t="str">
        <x:v>Таблица сочетания(1).pdf: 8 | Таблица сочетания(1).pdf: 17</x:v>
      </x:c>
    </x:row>
    <x:row r="73" ht="44" customHeight="1">
      <x:c r="A73" s="28" t="str">
        <x:v>слива</x:v>
      </x:c>
      <x:c r="B73" s="28" t="n">
        <x:v>12</x:v>
      </x:c>
      <x:c r="C73" s="28" t="str">
        <x:v>инжир</x:v>
      </x:c>
      <x:c r="D73" s="28" t="n">
        <x:v>5</x:v>
      </x:c>
      <x:c r="E73" s="28" t="str">
        <x:v>Гипотеза / практическая</x:v>
      </x:c>
      <x:c r="F73" s="28" t="n">
        <x:v>1</x:v>
      </x:c>
      <x:c r="G73" s="28" t="str">
        <x:v>прямое или классовое перекрытие характерных одорантов + вкусовой баланс</x:v>
      </x:c>
      <x:c r="H73" s="28" t="str">
        <x:v>напиток, соус, десерт или горячее блюдо после пробной дегустации</x:v>
      </x:c>
      <x:c r="I73" s="28" t="str">
        <x:v>Таблица сочетания(1).pdf</x:v>
      </x:c>
      <x:c r="J73" s="28" t="str">
        <x:v>Таблица сочетания(1).pdf: Таблица сочетаний: 17 | Таблица сочетания(1).pdf: 17</x:v>
      </x:c>
    </x:row>
    <x:row r="74" ht="44" customHeight="1">
      <x:c r="A74" s="28" t="str">
        <x:v>слива</x:v>
      </x:c>
      <x:c r="B74" s="28" t="n">
        <x:v>13</x:v>
      </x:c>
      <x:c r="C74" s="28" t="str">
        <x:v>испанский чоризо</x:v>
      </x:c>
      <x:c r="D74" s="28" t="n">
        <x:v>5</x:v>
      </x:c>
      <x:c r="E74" s="28" t="str">
        <x:v>Средняя</x:v>
      </x:c>
      <x:c r="F74" s="28" t="n">
        <x:v>1</x:v>
      </x:c>
      <x:c r="G74" s="28" t="str">
        <x:v>комплементарность ароматических семейств, вкусовой контраст и матричный эффект</x:v>
      </x:c>
      <x:c r="H74" s="28" t="str">
        <x:v>соус, глазировка, чатни, маринад, гарнир или основное блюдо</x:v>
      </x:c>
      <x:c r="I74" s="28" t="str">
        <x:v>The Art &amp; Science of Foodpairing.pdf</x:v>
      </x:c>
      <x:c r="J74" s="28" t="str">
        <x:v>The Art &amp; Science of Foodpairing.pdf: 288</x:v>
      </x:c>
    </x:row>
    <x:row r="75" ht="44" customHeight="1">
      <x:c r="A75" s="28" t="str">
        <x:v>слива</x:v>
      </x:c>
      <x:c r="B75" s="28" t="n">
        <x:v>14</x:v>
      </x:c>
      <x:c r="C75" s="28" t="str">
        <x:v>клубника</x:v>
      </x:c>
      <x:c r="D75" s="28" t="n">
        <x:v>5</x:v>
      </x:c>
      <x:c r="E75" s="28" t="str">
        <x:v>Гипотеза / практическая</x:v>
      </x:c>
      <x:c r="F75" s="28" t="n">
        <x:v>1</x:v>
      </x:c>
      <x:c r="G75" s="28" t="str">
        <x:v>прямое или классовое перекрытие характерных одорантов + вкусовой баланс</x:v>
      </x:c>
      <x:c r="H75" s="28" t="str">
        <x:v>сорбет, салат, джем, кордиал, лимонад, коктейль или фруктовый соус</x:v>
      </x:c>
      <x:c r="I75" s="28" t="str">
        <x:v>Таблица сочетания(1).pdf</x:v>
      </x:c>
      <x:c r="J75" s="28" t="str">
        <x:v>Таблица сочетания(1).pdf: Таблица сочетаний: 17 | Таблица сочетания(1).pdf: 17</x:v>
      </x:c>
    </x:row>
    <x:row r="76" ht="44" customHeight="1">
      <x:c r="A76" s="28" t="str">
        <x:v>слива</x:v>
      </x:c>
      <x:c r="B76" s="28" t="n">
        <x:v>15</x:v>
      </x:c>
      <x:c r="C76" s="28" t="str">
        <x:v>клюква</x:v>
      </x:c>
      <x:c r="D76" s="28" t="n">
        <x:v>5</x:v>
      </x:c>
      <x:c r="E76" s="28" t="str">
        <x:v>Гипотеза / практическая</x:v>
      </x:c>
      <x:c r="F76" s="28" t="n">
        <x:v>1</x:v>
      </x:c>
      <x:c r="G76" s="28" t="str">
        <x:v>прямое или классовое перекрытие характерных одорантов + вкусовой баланс</x:v>
      </x:c>
      <x:c r="H76" s="28" t="str">
        <x:v>сорбет, салат, джем, кордиал, лимонад, коктейль или фруктовый соус</x:v>
      </x:c>
      <x:c r="I76" s="28" t="str">
        <x:v>Таблица сочетания(1).pdf</x:v>
      </x:c>
      <x:c r="J76" s="28" t="str">
        <x:v>Таблица сочетания(1).pdf: Таблица сочетаний: 17 | Таблица сочетания(1).pdf: 17</x:v>
      </x:c>
    </x:row>
    <x:row r="77" ht="44" customHeight="1">
      <x:c r="A77" s="28" t="str">
        <x:v>слива</x:v>
      </x:c>
      <x:c r="B77" s="28" t="n">
        <x:v>16</x:v>
      </x:c>
      <x:c r="C77" s="28" t="str">
        <x:v>козий сыр</x:v>
      </x:c>
      <x:c r="D77" s="28" t="n">
        <x:v>5</x:v>
      </x:c>
      <x:c r="E77" s="28" t="str">
        <x:v>Средняя</x:v>
      </x:c>
      <x:c r="F77" s="28" t="n">
        <x:v>1</x:v>
      </x:c>
      <x:c r="G77" s="28" t="str">
        <x:v>комплементарность ароматических семейств, вкусовой контраст и матричный эффект</x:v>
      </x:c>
      <x:c r="H77" s="28" t="str">
        <x:v>тарт, крем, мороженое, выпечка, сырная подача или начинка</x:v>
      </x:c>
      <x:c r="I77" s="28" t="str">
        <x:v>The Art &amp; Science of Foodpairing.pdf</x:v>
      </x:c>
      <x:c r="J77" s="28" t="str">
        <x:v>The Art &amp; Science of Foodpairing.pdf: 201</x:v>
      </x:c>
    </x:row>
    <x:row r="78" ht="44" customHeight="1">
      <x:c r="A78" s="28" t="str">
        <x:v>слива</x:v>
      </x:c>
      <x:c r="B78" s="28" t="n">
        <x:v>17</x:v>
      </x:c>
      <x:c r="C78" s="28" t="str">
        <x:v>лимон</x:v>
      </x:c>
      <x:c r="D78" s="28" t="n">
        <x:v>5</x:v>
      </x:c>
      <x:c r="E78" s="28" t="str">
        <x:v>Гипотеза / практическая</x:v>
      </x:c>
      <x:c r="F78" s="28" t="n">
        <x:v>1</x:v>
      </x:c>
      <x:c r="G78" s="28" t="str">
        <x:v>комплементарность ароматических семейств, вкусовой контраст и матричный эффект</x:v>
      </x:c>
      <x:c r="H78" s="28" t="str">
        <x:v>сорбет, салат, джем, кордиал, лимонад, коктейль или фруктовый соус</x:v>
      </x:c>
      <x:c r="I78" s="28" t="str">
        <x:v>Таблица сочетания(1).pdf</x:v>
      </x:c>
      <x:c r="J78" s="28" t="str">
        <x:v>Таблица сочетания(1).pdf: Таблица сочетания(1).pdf: 17 | Таблица сочетания(1).pdf: 17</x:v>
      </x:c>
    </x:row>
    <x:row r="79" ht="44" customHeight="1">
      <x:c r="A79" s="28" t="str">
        <x:v>слива</x:v>
      </x:c>
      <x:c r="B79" s="28" t="n">
        <x:v>18</x:v>
      </x:c>
      <x:c r="C79" s="28" t="str">
        <x:v>миндаль</x:v>
      </x:c>
      <x:c r="D79" s="28" t="n">
        <x:v>5</x:v>
      </x:c>
      <x:c r="E79" s="28" t="str">
        <x:v>Гипотеза / практическая</x:v>
      </x:c>
      <x:c r="F79" s="28" t="n">
        <x:v>1</x:v>
      </x:c>
      <x:c r="G79" s="28" t="str">
        <x:v>прямое или классовое перекрытие характерных одорантов + вкусовой баланс</x:v>
      </x:c>
      <x:c r="H79" s="28" t="str">
        <x:v>тарт, крем, мороженое, выпечка, сырная подача или начинка</x:v>
      </x:c>
      <x:c r="I79" s="28" t="str">
        <x:v>Таблица сочетания(1).pdf</x:v>
      </x:c>
      <x:c r="J79" s="28" t="str">
        <x:v>Таблица сочетания(1).pdf: 1 | Таблица сочетания(1).pdf: 17</x:v>
      </x:c>
    </x:row>
    <x:row r="80" ht="44" customHeight="1">
      <x:c r="A80" s="28" t="str">
        <x:v>слива</x:v>
      </x:c>
      <x:c r="B80" s="28" t="n">
        <x:v>19</x:v>
      </x:c>
      <x:c r="C80" s="28" t="str">
        <x:v>мята</x:v>
      </x:c>
      <x:c r="D80" s="28" t="n">
        <x:v>5</x:v>
      </x:c>
      <x:c r="E80" s="28" t="str">
        <x:v>Гипотеза / практическая</x:v>
      </x:c>
      <x:c r="F80" s="28" t="n">
        <x:v>1</x:v>
      </x:c>
      <x:c r="G80" s="28" t="str">
        <x:v>комплементарность ароматических семейств, вкусовой контраст и матричный эффект</x:v>
      </x:c>
      <x:c r="H80" s="28" t="str">
        <x:v>напиток, соус, десерт или горячее блюдо после пробной дегустации</x:v>
      </x:c>
      <x:c r="I80" s="28" t="str">
        <x:v>Таблица сочетания(1).pdf</x:v>
      </x:c>
      <x:c r="J80" s="28" t="str">
        <x:v>Таблица сочетания(1).pdf: 13 | Таблица сочетания(1).pdf: 17</x:v>
      </x:c>
    </x:row>
    <x:row r="81" ht="44" customHeight="1">
      <x:c r="A81" s="28" t="str">
        <x:v>слива</x:v>
      </x:c>
      <x:c r="B81" s="28" t="n">
        <x:v>20</x:v>
      </x:c>
      <x:c r="C81" s="28" t="str">
        <x:v>отварная или запеченная свекла</x:v>
      </x:c>
      <x:c r="D81" s="28" t="n">
        <x:v>5</x:v>
      </x:c>
      <x:c r="E81" s="28" t="str">
        <x:v>Средняя</x:v>
      </x:c>
      <x:c r="F81" s="28" t="n">
        <x:v>1</x:v>
      </x:c>
      <x:c r="G81" s="28" t="str">
        <x:v>прямое или классовое перекрытие характерных одорантов + вкусовой баланс</x:v>
      </x:c>
      <x:c r="H81" s="28" t="str">
        <x:v>соус, глазировка, чатни, маринад, гарнир или основное блюдо</x:v>
      </x:c>
      <x:c r="I81" s="28" t="str">
        <x:v>The Art &amp; Science of Foodpairing.pdf</x:v>
      </x:c>
      <x:c r="J81" s="28" t="str">
        <x:v>The Art &amp; Science of Foodpairing.pdf: 222</x:v>
      </x:c>
    </x:row>
    <x:row r="82" ht="44" customHeight="1">
      <x:c r="A82" s="28" t="str">
        <x:v>чернослив</x:v>
      </x:c>
      <x:c r="B82" s="28" t="n">
        <x:v>1</x:v>
      </x:c>
      <x:c r="C82" s="28" t="str">
        <x:v>абрикос</x:v>
      </x:c>
      <x:c r="D82" s="28" t="n">
        <x:v>10</x:v>
      </x:c>
      <x:c r="E82" s="28" t="str">
        <x:v>Высокая</x:v>
      </x:c>
      <x:c r="F82" s="28" t="n">
        <x:v>2</x:v>
      </x:c>
      <x:c r="G82" s="28" t="str">
        <x:v>прямое или классовое перекрытие характерных одорантов + вкусовой баланс</x:v>
      </x:c>
      <x:c r="H82" s="28" t="str">
        <x:v>напиток, соус, десерт или горячее блюдо после пробной дегустации</x:v>
      </x:c>
      <x:c r="I82" s="28" t="str">
        <x:v>The Art &amp; Science of Foodpairing.pdf | Таблица сочетания(1).pdf</x:v>
      </x:c>
      <x:c r="J82" s="28" t="str">
        <x:v>Таблица сочетания(1).pdf: 18 | The Art &amp; Science of Foodpairing.pdf: 206</x:v>
      </x:c>
    </x:row>
    <x:row r="83" ht="44" customHeight="1">
      <x:c r="A83" s="28" t="str">
        <x:v>чернослив</x:v>
      </x:c>
      <x:c r="B83" s="28" t="n">
        <x:v>2</x:v>
      </x:c>
      <x:c r="C83" s="28" t="str">
        <x:v>персик</x:v>
      </x:c>
      <x:c r="D83" s="28" t="n">
        <x:v>7</x:v>
      </x:c>
      <x:c r="E83" s="28" t="str">
        <x:v>Средняя</x:v>
      </x:c>
      <x:c r="F83" s="28" t="n">
        <x:v>1</x:v>
      </x:c>
      <x:c r="G83" s="28" t="str">
        <x:v>прямое или классовое перекрытие характерных одорантов + вкусовой баланс</x:v>
      </x:c>
      <x:c r="H83" s="28" t="str">
        <x:v>напиток, соус, десерт или горячее блюдо после пробной дегустации</x:v>
      </x:c>
      <x:c r="I83" s="28" t="str">
        <x:v>The Art &amp; Science of Foodpairing.pdf</x:v>
      </x:c>
      <x:c r="J83" s="28" t="str">
        <x:v>The Art &amp; Science of Foodpairing.pdf: 260 | The Art &amp; Science of Foodpairing.pdf: 260–261</x:v>
      </x:c>
    </x:row>
    <x:row r="84" ht="44" customHeight="1">
      <x:c r="A84" s="28" t="str">
        <x:v>чернослив</x:v>
      </x:c>
      <x:c r="B84" s="28" t="n">
        <x:v>3</x:v>
      </x:c>
      <x:c r="C84" s="28" t="str">
        <x:v>инжир</x:v>
      </x:c>
      <x:c r="D84" s="28" t="n">
        <x:v>6</x:v>
      </x:c>
      <x:c r="E84" s="28" t="str">
        <x:v>Гипотеза / практическая</x:v>
      </x:c>
      <x:c r="F84" s="28" t="n">
        <x:v>1</x:v>
      </x:c>
      <x:c r="G84" s="28" t="str">
        <x:v>прямое или классовое перекрытие характерных одорантов + вкусовой баланс</x:v>
      </x:c>
      <x:c r="H84" s="28" t="str">
        <x:v>напиток, соус, десерт или горячее блюдо после пробной дегустации</x:v>
      </x:c>
      <x:c r="I84" s="28" t="str">
        <x:v>Таблица сочетания(1).pdf</x:v>
      </x:c>
      <x:c r="J84" s="28" t="str">
        <x:v>Таблица сочетания(1).pdf: Таблица сочетаний: 18, 8 | Таблица сочетания(1).pdf: 8 | Таблица сочетания(1).pdf: 18</x:v>
      </x:c>
    </x:row>
    <x:row r="85" ht="44" customHeight="1">
      <x:c r="A85" s="28" t="str">
        <x:v>чернослив</x:v>
      </x:c>
      <x:c r="B85" s="28" t="n">
        <x:v>4</x:v>
      </x:c>
      <x:c r="C85" s="28" t="str">
        <x:v>финик</x:v>
      </x:c>
      <x:c r="D85" s="28" t="n">
        <x:v>6</x:v>
      </x:c>
      <x:c r="E85" s="28" t="str">
        <x:v>Гипотеза / практическая</x:v>
      </x:c>
      <x:c r="F85" s="28" t="n">
        <x:v>1</x:v>
      </x:c>
      <x:c r="G85" s="28" t="str">
        <x:v>комплементарность ароматических семейств, вкусовой контраст и матричный эффект</x:v>
      </x:c>
      <x:c r="H85" s="28" t="str">
        <x:v>напиток, соус, десерт или горячее блюдо после пробной дегустации</x:v>
      </x:c>
      <x:c r="I85" s="28" t="str">
        <x:v>Таблица сочетания(1).pdf</x:v>
      </x:c>
      <x:c r="J85" s="28" t="str">
        <x:v>Таблица сочетания(1).pdf: Таблица сочетаний: 18, 7 | Таблица сочетания(1).pdf: 7 | Таблица сочетания(1).pdf: 18</x:v>
      </x:c>
    </x:row>
    <x:row r="86" ht="44" customHeight="1">
      <x:c r="A86" s="28" t="str">
        <x:v>чернослив</x:v>
      </x:c>
      <x:c r="B86" s="28" t="n">
        <x:v>5</x:v>
      </x:c>
      <x:c r="C86" s="28" t="str">
        <x:v>авокадо</x:v>
      </x:c>
      <x:c r="D86" s="28" t="n">
        <x:v>5</x:v>
      </x:c>
      <x:c r="E86" s="28" t="str">
        <x:v>Средняя</x:v>
      </x:c>
      <x:c r="F86" s="28" t="n">
        <x:v>1</x:v>
      </x:c>
      <x:c r="G86" s="28" t="str">
        <x:v>комплементарность ароматических семейств, вкусовой контраст и матричный эффект</x:v>
      </x:c>
      <x:c r="H86" s="28" t="str">
        <x:v>напиток, соус, десерт или горячее блюдо после пробной дегустации</x:v>
      </x:c>
      <x:c r="I86" s="28" t="str">
        <x:v>The Art &amp; Science of Foodpairing.pdf</x:v>
      </x:c>
      <x:c r="J86" s="28" t="str">
        <x:v>The Art &amp; Science of Foodpairing.pdf: 354</x:v>
      </x:c>
    </x:row>
    <x:row r="87" ht="44" customHeight="1">
      <x:c r="A87" s="28" t="str">
        <x:v>чернослив</x:v>
      </x:c>
      <x:c r="B87" s="28" t="n">
        <x:v>6</x:v>
      </x:c>
      <x:c r="C87" s="28" t="str">
        <x:v>ананас</x:v>
      </x:c>
      <x:c r="D87" s="28" t="n">
        <x:v>5</x:v>
      </x:c>
      <x:c r="E87" s="28" t="str">
        <x:v>Средняя</x:v>
      </x:c>
      <x:c r="F87" s="28" t="n">
        <x:v>1</x:v>
      </x:c>
      <x:c r="G87" s="28" t="str">
        <x:v>комплементарность ароматических семейств, вкусовой контраст и матричный эффект</x:v>
      </x:c>
      <x:c r="H87" s="28" t="str">
        <x:v>напиток, соус, десерт или горячее блюдо после пробной дегустации</x:v>
      </x:c>
      <x:c r="I87" s="28" t="str">
        <x:v>The Art &amp; Science of Foodpairing.pdf</x:v>
      </x:c>
      <x:c r="J87" s="28" t="str">
        <x:v>The Art &amp; Science of Foodpairing.pdf: 242</x:v>
      </x:c>
    </x:row>
    <x:row r="88" ht="44" customHeight="1">
      <x:c r="A88" s="28" t="str">
        <x:v>чернослив</x:v>
      </x:c>
      <x:c r="B88" s="28" t="n">
        <x:v>7</x:v>
      </x:c>
      <x:c r="C88" s="28" t="str">
        <x:v>апельсин</x:v>
      </x:c>
      <x:c r="D88" s="28" t="n">
        <x:v>5</x:v>
      </x:c>
      <x:c r="E88" s="28" t="str">
        <x:v>Гипотеза / практическая</x:v>
      </x:c>
      <x:c r="F88" s="28" t="n">
        <x:v>1</x:v>
      </x:c>
      <x:c r="G88" s="28" t="str">
        <x:v>комплементарность ароматических семейств, вкусовой контраст и матричный эффект</x:v>
      </x:c>
      <x:c r="H88" s="28" t="str">
        <x:v>сорбет, салат, джем, кордиал, лимонад, коктейль или фруктовый соус</x:v>
      </x:c>
      <x:c r="I88" s="28" t="str">
        <x:v>Таблица сочетания(1).pdf</x:v>
      </x:c>
      <x:c r="J88" s="28" t="str">
        <x:v>Таблица сочетания(1).pdf: Таблица сочетания(1).pdf: 18 | Таблица сочетания(1).pdf: 18</x:v>
      </x:c>
    </x:row>
    <x:row r="89" ht="44" customHeight="1">
      <x:c r="A89" s="28" t="str">
        <x:v>чернослив</x:v>
      </x:c>
      <x:c r="B89" s="28" t="n">
        <x:v>8</x:v>
      </x:c>
      <x:c r="C89" s="28" t="str">
        <x:v>артишок</x:v>
      </x:c>
      <x:c r="D89" s="28" t="n">
        <x:v>5</x:v>
      </x:c>
      <x:c r="E89" s="28" t="str">
        <x:v>Средняя</x:v>
      </x:c>
      <x:c r="F89" s="28" t="n">
        <x:v>1</x:v>
      </x:c>
      <x:c r="G89" s="28" t="str">
        <x:v>комплементарность ароматических семейств, вкусовой контраст и матричный эффект</x:v>
      </x:c>
      <x:c r="H89" s="28" t="str">
        <x:v>напиток, соус, десерт или горячее блюдо после пробной дегустации</x:v>
      </x:c>
      <x:c r="I89" s="28" t="str">
        <x:v>The Art &amp; Science of Foodpairing.pdf</x:v>
      </x:c>
      <x:c r="J89" s="28" t="str">
        <x:v>The Art &amp; Science of Foodpairing.pdf: 328</x:v>
      </x:c>
    </x:row>
    <x:row r="90" ht="44" customHeight="1">
      <x:c r="A90" s="28" t="str">
        <x:v>чернослив</x:v>
      </x:c>
      <x:c r="B90" s="28" t="n">
        <x:v>9</x:v>
      </x:c>
      <x:c r="C90" s="28" t="str">
        <x:v>базилик</x:v>
      </x:c>
      <x:c r="D90" s="28" t="n">
        <x:v>5</x:v>
      </x:c>
      <x:c r="E90" s="28" t="str">
        <x:v>Средняя</x:v>
      </x:c>
      <x:c r="F90" s="28" t="n">
        <x:v>1</x:v>
      </x:c>
      <x:c r="G90" s="28" t="str">
        <x:v>комплементарность ароматических семейств, вкусовой контраст и матричный эффект</x:v>
      </x:c>
      <x:c r="H90" s="28" t="str">
        <x:v>напиток, соус, десерт или горячее блюдо после пробной дегустации</x:v>
      </x:c>
      <x:c r="I90" s="28" t="str">
        <x:v>The Art &amp; Science of Foodpairing.pdf</x:v>
      </x:c>
      <x:c r="J90" s="28" t="str">
        <x:v>The Art &amp; Science of Foodpairing.pdf: 75</x:v>
      </x:c>
    </x:row>
    <x:row r="91" ht="44" customHeight="1">
      <x:c r="A91" s="28" t="str">
        <x:v>чернослив</x:v>
      </x:c>
      <x:c r="B91" s="28" t="n">
        <x:v>10</x:v>
      </x:c>
      <x:c r="C91" s="28" t="str">
        <x:v>бри</x:v>
      </x:c>
      <x:c r="D91" s="28" t="n">
        <x:v>5</x:v>
      </x:c>
      <x:c r="E91" s="28" t="str">
        <x:v>Средняя</x:v>
      </x:c>
      <x:c r="F91" s="28" t="n">
        <x:v>1</x:v>
      </x:c>
      <x:c r="G91" s="28" t="str">
        <x:v>комплементарность ароматических семейств, вкусовой контраст и матричный эффект</x:v>
      </x:c>
      <x:c r="H91" s="28" t="str">
        <x:v>напиток, соус, десерт или горячее блюдо после пробной дегустации</x:v>
      </x:c>
      <x:c r="I91" s="28" t="str">
        <x:v>The Art &amp; Science of Foodpairing.pdf</x:v>
      </x:c>
      <x:c r="J91" s="28" t="str">
        <x:v>The Art &amp; Science of Foodpairing.pdf: 336</x:v>
      </x:c>
    </x:row>
    <x:row r="92" ht="44" customHeight="1">
      <x:c r="A92" s="28" t="str">
        <x:v>чернослив</x:v>
      </x:c>
      <x:c r="B92" s="28" t="n">
        <x:v>11</x:v>
      </x:c>
      <x:c r="C92" s="28" t="str">
        <x:v>гвоздика</x:v>
      </x:c>
      <x:c r="D92" s="28" t="n">
        <x:v>5</x:v>
      </x:c>
      <x:c r="E92" s="28" t="str">
        <x:v>Гипотеза / практическая</x:v>
      </x:c>
      <x:c r="F92" s="28" t="n">
        <x:v>1</x:v>
      </x:c>
      <x:c r="G92" s="28" t="str">
        <x:v>комплементарность ароматических семейств, вкусовой контраст и матричный эффект</x:v>
      </x:c>
      <x:c r="H92" s="28" t="str">
        <x:v>напиток, соус, десерт или горячее блюдо после пробной дегустации</x:v>
      </x:c>
      <x:c r="I92" s="28" t="str">
        <x:v>Таблица сочетания(1).pdf</x:v>
      </x:c>
      <x:c r="J92" s="28" t="str">
        <x:v>Таблица сочетания(1).pdf: 5 | Таблица сочетания(1).pdf: 18</x:v>
      </x:c>
    </x:row>
    <x:row r="93" ht="44" customHeight="1">
      <x:c r="A93" s="28" t="str">
        <x:v>чернослив</x:v>
      </x:c>
      <x:c r="B93" s="28" t="n">
        <x:v>12</x:v>
      </x:c>
      <x:c r="C93" s="28" t="str">
        <x:v>груша</x:v>
      </x:c>
      <x:c r="D93" s="28" t="n">
        <x:v>5</x:v>
      </x:c>
      <x:c r="E93" s="28" t="str">
        <x:v>Гипотеза / практическая</x:v>
      </x:c>
      <x:c r="F93" s="28" t="n">
        <x:v>1</x:v>
      </x:c>
      <x:c r="G93" s="28" t="str">
        <x:v>комплементарность ароматических семейств, вкусовой контраст и матричный эффект</x:v>
      </x:c>
      <x:c r="H93" s="28" t="str">
        <x:v>напиток, соус, десерт или горячее блюдо после пробной дегустации</x:v>
      </x:c>
      <x:c r="I93" s="28" t="str">
        <x:v>Таблица сочетания(1).pdf</x:v>
      </x:c>
      <x:c r="J93" s="28" t="str">
        <x:v>Таблица сочетания(1).pdf: Таблица сочетаний: 18 | Таблица сочетания(1).pdf: 18</x:v>
      </x:c>
    </x:row>
    <x:row r="94" ht="44" customHeight="1">
      <x:c r="A94" s="28" t="str">
        <x:v>чернослив</x:v>
      </x:c>
      <x:c r="B94" s="28" t="n">
        <x:v>13</x:v>
      </x:c>
      <x:c r="C94" s="28" t="str">
        <x:v>доенджан</x:v>
      </x:c>
      <x:c r="D94" s="28" t="n">
        <x:v>5</x:v>
      </x:c>
      <x:c r="E94" s="28" t="str">
        <x:v>Средняя</x:v>
      </x:c>
      <x:c r="F94" s="28" t="n">
        <x:v>1</x:v>
      </x:c>
      <x:c r="G94" s="28" t="str">
        <x:v>комплементарность ароматических семейств, вкусовой контраст и матричный эффект</x:v>
      </x:c>
      <x:c r="H94" s="28" t="str">
        <x:v>соус, глазировка, чатни, маринад, гарнир или основное блюдо</x:v>
      </x:c>
      <x:c r="I94" s="28" t="str">
        <x:v>The Art &amp; Science of Foodpairing.pdf</x:v>
      </x:c>
      <x:c r="J94" s="28" t="str">
        <x:v>The Art &amp; Science of Foodpairing.pdf: 247</x:v>
      </x:c>
    </x:row>
    <x:row r="95" ht="44" customHeight="1">
      <x:c r="A95" s="28" t="str">
        <x:v>чернослив</x:v>
      </x:c>
      <x:c r="B95" s="28" t="n">
        <x:v>14</x:v>
      </x:c>
      <x:c r="C95" s="28" t="str">
        <x:v>картофель фри</x:v>
      </x:c>
      <x:c r="D95" s="28" t="n">
        <x:v>5</x:v>
      </x:c>
      <x:c r="E95" s="28" t="str">
        <x:v>Средняя</x:v>
      </x:c>
      <x:c r="F95" s="28" t="n">
        <x:v>1</x:v>
      </x:c>
      <x:c r="G95" s="28" t="str">
        <x:v>прямое или классовое перекрытие характерных одорантов + вкусовой баланс</x:v>
      </x:c>
      <x:c r="H95" s="28" t="str">
        <x:v>тарт, крем, мороженое, выпечка, сырная подача или начинка</x:v>
      </x:c>
      <x:c r="I95" s="28" t="str">
        <x:v>The Art &amp; Science of Foodpairing.pdf</x:v>
      </x:c>
      <x:c r="J95" s="28" t="str">
        <x:v>The Art &amp; Science of Foodpairing.pdf: 196</x:v>
      </x:c>
    </x:row>
    <x:row r="96" ht="44" customHeight="1">
      <x:c r="A96" s="28" t="str">
        <x:v>чернослив</x:v>
      </x:c>
      <x:c r="B96" s="28" t="n">
        <x:v>15</x:v>
      </x:c>
      <x:c r="C96" s="28" t="str">
        <x:v>каштан</x:v>
      </x:c>
      <x:c r="D96" s="28" t="n">
        <x:v>5</x:v>
      </x:c>
      <x:c r="E96" s="28" t="str">
        <x:v>Гипотеза / практическая</x:v>
      </x:c>
      <x:c r="F96" s="28" t="n">
        <x:v>1</x:v>
      </x:c>
      <x:c r="G96" s="28" t="str">
        <x:v>комплементарность ароматических семейств, вкусовой контраст и матричный эффект</x:v>
      </x:c>
      <x:c r="H96" s="28" t="str">
        <x:v>напиток, соус, десерт или горячее блюдо после пробной дегустации</x:v>
      </x:c>
      <x:c r="I96" s="28" t="str">
        <x:v>Таблица сочетания(1).pdf</x:v>
      </x:c>
      <x:c r="J96" s="28" t="str">
        <x:v>Таблица сочетания(1).pdf: 4 | Таблица сочетания(1).pdf: 18</x:v>
      </x:c>
    </x:row>
    <x:row r="97" ht="44" customHeight="1">
      <x:c r="A97" s="28" t="str">
        <x:v>чернослив</x:v>
      </x:c>
      <x:c r="B97" s="28" t="n">
        <x:v>16</x:v>
      </x:c>
      <x:c r="C97" s="28" t="str">
        <x:v>кокос</x:v>
      </x:c>
      <x:c r="D97" s="28" t="n">
        <x:v>5</x:v>
      </x:c>
      <x:c r="E97" s="28" t="str">
        <x:v>Средняя</x:v>
      </x:c>
      <x:c r="F97" s="28" t="n">
        <x:v>1</x:v>
      </x:c>
      <x:c r="G97" s="28" t="str">
        <x:v>комплементарность ароматических семейств, вкусовой контраст и матричный эффект</x:v>
      </x:c>
      <x:c r="H97" s="28" t="str">
        <x:v>напиток, соус, десерт или горячее блюдо после пробной дегустации</x:v>
      </x:c>
      <x:c r="I97" s="28" t="str">
        <x:v>The Art &amp; Science of Foodpairing.pdf</x:v>
      </x:c>
      <x:c r="J97" s="28" t="str">
        <x:v>The Art &amp; Science of Foodpairing.pdf: 135</x:v>
      </x:c>
    </x:row>
    <x:row r="98" ht="44" customHeight="1">
      <x:c r="A98" s="28" t="str">
        <x:v>чернослив</x:v>
      </x:c>
      <x:c r="B98" s="28" t="n">
        <x:v>17</x:v>
      </x:c>
      <x:c r="C98" s="28" t="str">
        <x:v>лимон</x:v>
      </x:c>
      <x:c r="D98" s="28" t="n">
        <x:v>5</x:v>
      </x:c>
      <x:c r="E98" s="28" t="str">
        <x:v>Гипотеза / практическая</x:v>
      </x:c>
      <x:c r="F98" s="28" t="n">
        <x:v>1</x:v>
      </x:c>
      <x:c r="G98" s="28" t="str">
        <x:v>комплементарность ароматических семейств, вкусовой контраст и матричный эффект</x:v>
      </x:c>
      <x:c r="H98" s="28" t="str">
        <x:v>сорбет, салат, джем, кордиал, лимонад, коктейль или фруктовый соус</x:v>
      </x:c>
      <x:c r="I98" s="28" t="str">
        <x:v>Таблица сочетания(1).pdf</x:v>
      </x:c>
      <x:c r="J98" s="28" t="str">
        <x:v>Таблица сочетания(1).pdf: Таблица сочетания(1).pdf: 18 | Таблица сочетания(1).pdf: 18</x:v>
      </x:c>
    </x:row>
    <x:row r="99" ht="44" customHeight="1">
      <x:c r="A99" s="28" t="str">
        <x:v>чернослив</x:v>
      </x:c>
      <x:c r="B99" s="28" t="n">
        <x:v>18</x:v>
      </x:c>
      <x:c r="C99" s="28" t="str">
        <x:v>нектарин</x:v>
      </x:c>
      <x:c r="D99" s="28" t="n">
        <x:v>5</x:v>
      </x:c>
      <x:c r="E99" s="28" t="str">
        <x:v>Средняя</x:v>
      </x:c>
      <x:c r="F99" s="28" t="n">
        <x:v>1</x:v>
      </x:c>
      <x:c r="G99" s="28" t="str">
        <x:v>прямое или классовое перекрытие характерных одорантов + вкусовой баланс</x:v>
      </x:c>
      <x:c r="H99" s="28" t="str">
        <x:v>напиток, соус, десерт или горячее блюдо после пробной дегустации</x:v>
      </x:c>
      <x:c r="I99" s="28" t="str">
        <x:v>The Art &amp; Science of Foodpairing.pdf</x:v>
      </x:c>
      <x:c r="J99" s="28" t="str">
        <x:v>The Art &amp; Science of Foodpairing.pdf: 260–261</x:v>
      </x:c>
    </x:row>
    <x:row r="100" ht="44" customHeight="1">
      <x:c r="A100" s="28" t="str">
        <x:v>чернослив</x:v>
      </x:c>
      <x:c r="B100" s="28" t="n">
        <x:v>19</x:v>
      </x:c>
      <x:c r="C100" s="28" t="str">
        <x:v>свиная корейка</x:v>
      </x:c>
      <x:c r="D100" s="28" t="n">
        <x:v>5</x:v>
      </x:c>
      <x:c r="E100" s="28" t="str">
        <x:v>Средняя</x:v>
      </x:c>
      <x:c r="F100" s="28" t="n">
        <x:v>1</x:v>
      </x:c>
      <x:c r="G100" s="28" t="str">
        <x:v>комплементарность ароматических семейств, вкусовой контраст и матричный эффект</x:v>
      </x:c>
      <x:c r="H100" s="28" t="str">
        <x:v>напиток, соус, десерт или горячее блюдо после пробной дегустации</x:v>
      </x:c>
      <x:c r="I100" s="28" t="str">
        <x:v>The Art &amp; Science of Foodpairing.pdf</x:v>
      </x:c>
      <x:c r="J100" s="28" t="str">
        <x:v>The Art &amp; Science of Foodpairing.pdf: 186</x:v>
      </x:c>
    </x:row>
    <x:row r="101" ht="44" customHeight="1">
      <x:c r="A101" s="28" t="str">
        <x:v>чернослив</x:v>
      </x:c>
      <x:c r="B101" s="28" t="n">
        <x:v>20</x:v>
      </x:c>
      <x:c r="C101" s="28" t="str">
        <x:v>смородина</x:v>
      </x:c>
      <x:c r="D101" s="28" t="n">
        <x:v>5</x:v>
      </x:c>
      <x:c r="E101" s="28" t="str">
        <x:v>Гипотеза / практическая</x:v>
      </x:c>
      <x:c r="F101" s="28" t="n">
        <x:v>1</x:v>
      </x:c>
      <x:c r="G101" s="28" t="str">
        <x:v>комплементарность ароматических семейств, вкусовой контраст и матричный эффект</x:v>
      </x:c>
      <x:c r="H101" s="28" t="str">
        <x:v>сорбет, салат, джем, кордиал, лимонад, коктейль или фруктовый соус</x:v>
      </x:c>
      <x:c r="I101" s="28" t="str">
        <x:v>Таблица сочетания(1).pdf</x:v>
      </x:c>
      <x:c r="J101" s="28" t="str">
        <x:v>Таблица сочетания(1).pdf: Таблица сочетаний: 18 | Таблица сочетания(1).pdf: 18</x:v>
      </x:c>
    </x:row>
    <x:row r="102" ht="44" customHeight="1">
      <x:c r="A102" s="28" t="str">
        <x:v>мирабель</x:v>
      </x:c>
      <x:c r="B102" s="28" t="n">
        <x:v>1</x:v>
      </x:c>
      <x:c r="C102" s="28" t="str">
        <x:v>абрикос</x:v>
      </x:c>
      <x:c r="D102" s="28" t="n">
        <x:v>5</x:v>
      </x:c>
      <x:c r="E102" s="28" t="str">
        <x:v>Средняя</x:v>
      </x:c>
      <x:c r="F102" s="28" t="n">
        <x:v>1</x:v>
      </x:c>
      <x:c r="G102" s="28" t="str">
        <x:v>прямое или классовое перекрытие характерных одорантов + вкусовой баланс</x:v>
      </x:c>
      <x:c r="H102" s="28" t="str">
        <x:v>напиток, соус, десерт или горячее блюдо после пробной дегустации</x:v>
      </x:c>
      <x:c r="I102" s="28" t="str">
        <x:v>The Art &amp; Science of Foodpairing.pdf</x:v>
      </x:c>
      <x:c r="J102" s="28" t="str">
        <x:v>The Art &amp; Science of Foodpairing.pdf: 206</x:v>
      </x:c>
    </x:row>
    <x:row r="103" ht="44" customHeight="1">
      <x:c r="A103" s="28" t="str">
        <x:v>уме</x:v>
      </x:c>
      <x:c r="B103" s="28" t="n">
        <x:v>1</x:v>
      </x:c>
      <x:c r="C103" s="28" t="str">
        <x:v>голубика</x:v>
      </x:c>
      <x:c r="D103" s="28" t="n">
        <x:v>6</x:v>
      </x:c>
      <x:c r="E103" s="28" t="str">
        <x:v>Средняя</x:v>
      </x:c>
      <x:c r="F103" s="28" t="n">
        <x:v>1</x:v>
      </x:c>
      <x:c r="G103" s="28" t="str">
        <x:v>прямое или классовое перекрытие характерных одорантов + вкусовой баланс</x:v>
      </x:c>
      <x:c r="H103" s="28" t="str">
        <x:v>сорбет, салат, джем, кордиал, лимонад, коктейль или фруктовый соус</x:v>
      </x:c>
      <x:c r="I103" s="28" t="str">
        <x:v>The Art &amp; Science of Foodpairing.pdf</x:v>
      </x:c>
      <x:c r="J103" s="28" t="str">
        <x:v>The Art &amp; Science of Foodpairing.pdf: The Art &amp; Science of Foodpairing: 205 | The Art &amp; Science of Foodpairing.pdf: 205</x:v>
      </x:c>
    </x:row>
    <x:row r="104" ht="44" customHeight="1">
      <x:c r="A104" s="28" t="str">
        <x:v>уме</x:v>
      </x:c>
      <x:c r="B104" s="28" t="n">
        <x:v>2</x:v>
      </x:c>
      <x:c r="C104" s="28" t="str">
        <x:v>клубника</x:v>
      </x:c>
      <x:c r="D104" s="28" t="n">
        <x:v>6</x:v>
      </x:c>
      <x:c r="E104" s="28" t="str">
        <x:v>Средняя</x:v>
      </x:c>
      <x:c r="F104" s="28" t="n">
        <x:v>1</x:v>
      </x:c>
      <x:c r="G104" s="28" t="str">
        <x:v>прямое или классовое перекрытие характерных одорантов + вкусовой баланс</x:v>
      </x:c>
      <x:c r="H104" s="28" t="str">
        <x:v>сорбет, салат, джем, кордиал, лимонад, коктейль или фруктовый соус</x:v>
      </x:c>
      <x:c r="I104" s="28" t="str">
        <x:v>The Art &amp; Science of Foodpairing.pdf</x:v>
      </x:c>
      <x:c r="J104" s="28" t="str">
        <x:v>The Art &amp; Science of Foodpairing.pdf: The Art &amp; Science of Foodpairing: 71 | The Art &amp; Science of Foodpairing.pdf: 71</x:v>
      </x:c>
    </x:row>
    <x:row r="105" ht="44" customHeight="1">
      <x:c r="A105" s="28" t="str">
        <x:v>уме</x:v>
      </x:c>
      <x:c r="B105" s="28" t="n">
        <x:v>3</x:v>
      </x:c>
      <x:c r="C105" s="28" t="str">
        <x:v>кокос</x:v>
      </x:c>
      <x:c r="D105" s="28" t="n">
        <x:v>6</x:v>
      </x:c>
      <x:c r="E105" s="28" t="str">
        <x:v>Средняя</x:v>
      </x:c>
      <x:c r="F105" s="28" t="n">
        <x:v>1</x:v>
      </x:c>
      <x:c r="G105" s="28" t="str">
        <x:v>комплементарность ароматических семейств, вкусовой контраст и матричный эффект</x:v>
      </x:c>
      <x:c r="H105" s="28" t="str">
        <x:v>напиток, соус, десерт или горячее блюдо после пробной дегустации</x:v>
      </x:c>
      <x:c r="I105" s="28" t="str">
        <x:v>The Art &amp; Science of Foodpairing.pdf</x:v>
      </x:c>
      <x:c r="J105" s="28" t="str">
        <x:v>The Art &amp; Science of Foodpairing.pdf: 134 | The Art &amp; Science of Foodpairing.pdf: 135</x:v>
      </x:c>
    </x:row>
    <x:row r="106" ht="44" customHeight="1">
      <x:c r="A106" s="28" t="str">
        <x:v>уме</x:v>
      </x:c>
      <x:c r="B106" s="28" t="n">
        <x:v>4</x:v>
      </x:c>
      <x:c r="C106" s="28" t="str">
        <x:v>авокадо</x:v>
      </x:c>
      <x:c r="D106" s="28" t="n">
        <x:v>5</x:v>
      </x:c>
      <x:c r="E106" s="28" t="str">
        <x:v>Средняя</x:v>
      </x:c>
      <x:c r="F106" s="28" t="n">
        <x:v>1</x:v>
      </x:c>
      <x:c r="G106" s="28" t="str">
        <x:v>комплементарность ароматических семейств, вкусовой контраст и матричный эффект</x:v>
      </x:c>
      <x:c r="H106" s="28" t="str">
        <x:v>напиток, соус, десерт или горячее блюдо после пробной дегустации</x:v>
      </x:c>
      <x:c r="I106" s="28" t="str">
        <x:v>The Art &amp; Science of Foodpairing.pdf</x:v>
      </x:c>
      <x:c r="J106" s="28" t="str">
        <x:v>The Art &amp; Science of Foodpairing.pdf: 354</x:v>
      </x:c>
    </x:row>
    <x:row r="107" ht="44" customHeight="1">
      <x:c r="A107" s="28" t="str">
        <x:v>уме</x:v>
      </x:c>
      <x:c r="B107" s="28" t="n">
        <x:v>5</x:v>
      </x:c>
      <x:c r="C107" s="28" t="str">
        <x:v>грейпфрут</x:v>
      </x:c>
      <x:c r="D107" s="28" t="n">
        <x:v>5</x:v>
      </x:c>
      <x:c r="E107" s="28" t="str">
        <x:v>Средняя</x:v>
      </x:c>
      <x:c r="F107" s="28" t="n">
        <x:v>1</x:v>
      </x:c>
      <x:c r="G107" s="28" t="str">
        <x:v>прямое или классовое перекрытие характерных одорантов + вкусовой баланс</x:v>
      </x:c>
      <x:c r="H107" s="28" t="str">
        <x:v>сорбет, салат, джем, кордиал, лимонад, коктейль или фруктовый соус</x:v>
      </x:c>
      <x:c r="I107" s="28" t="str">
        <x:v>The Art &amp; Science of Foodpairing.pdf</x:v>
      </x:c>
      <x:c r="J107" s="28" t="str">
        <x:v>The Art &amp; Science of Foodpairing.pdf: 359</x:v>
      </x:c>
    </x:row>
    <x:row r="108" ht="44" customHeight="1">
      <x:c r="A108" s="28" t="str">
        <x:v>уме</x:v>
      </x:c>
      <x:c r="B108" s="28" t="n">
        <x:v>6</x:v>
      </x:c>
      <x:c r="C108" s="28" t="str">
        <x:v>запеченный морской язык</x:v>
      </x:c>
      <x:c r="D108" s="28" t="n">
        <x:v>5</x:v>
      </x:c>
      <x:c r="E108" s="28" t="str">
        <x:v>Средняя</x:v>
      </x:c>
      <x:c r="F108" s="28" t="n">
        <x:v>1</x:v>
      </x:c>
      <x:c r="G108" s="28" t="str">
        <x:v>комплементарность ароматических семейств, вкусовой контраст и матричный эффект</x:v>
      </x:c>
      <x:c r="H108" s="28" t="str">
        <x:v>соус, глазировка, чатни, маринад, гарнир или основное блюдо</x:v>
      </x:c>
      <x:c r="I108" s="28" t="str">
        <x:v>The Art &amp; Science of Foodpairing.pdf</x:v>
      </x:c>
      <x:c r="J108" s="28" t="str">
        <x:v>The Art &amp; Science of Foodpairing.pdf: 104</x:v>
      </x:c>
    </x:row>
    <x:row r="109" ht="44" customHeight="1">
      <x:c r="A109" s="28" t="str">
        <x:v>уме</x:v>
      </x:c>
      <x:c r="B109" s="28" t="n">
        <x:v>7</x:v>
      </x:c>
      <x:c r="C109" s="28" t="str">
        <x:v>лимон</x:v>
      </x:c>
      <x:c r="D109" s="28" t="n">
        <x:v>5</x:v>
      </x:c>
      <x:c r="E109" s="28" t="str">
        <x:v>Средняя</x:v>
      </x:c>
      <x:c r="F109" s="28" t="n">
        <x:v>1</x:v>
      </x:c>
      <x:c r="G109" s="28" t="str">
        <x:v>комплементарность ароматических семейств, вкусовой контраст и матричный эффект</x:v>
      </x:c>
      <x:c r="H109" s="28" t="str">
        <x:v>сорбет, салат, джем, кордиал, лимонад, коктейль или фруктовый соус</x:v>
      </x:c>
      <x:c r="I109" s="28" t="str">
        <x:v>The Art &amp; Science of Foodpairing.pdf</x:v>
      </x:c>
      <x:c r="J109" s="28" t="str">
        <x:v>The Art &amp; Science of Foodpairing.pdf: 88</x:v>
      </x:c>
    </x:row>
    <x:row r="110" ht="44" customHeight="1">
      <x:c r="A110" s="28" t="str">
        <x:v>уме</x:v>
      </x:c>
      <x:c r="B110" s="28" t="n">
        <x:v>8</x:v>
      </x:c>
      <x:c r="C110" s="28" t="str">
        <x:v>оливковое масло</x:v>
      </x:c>
      <x:c r="D110" s="28" t="n">
        <x:v>5</x:v>
      </x:c>
      <x:c r="E110" s="28" t="str">
        <x:v>Средняя</x:v>
      </x:c>
      <x:c r="F110" s="28" t="n">
        <x:v>1</x:v>
      </x:c>
      <x:c r="G110" s="28" t="str">
        <x:v>комплементарность ароматических семейств, вкусовой контраст и матричный эффект</x:v>
      </x:c>
      <x:c r="H110" s="28" t="str">
        <x:v>напиток, соус, десерт или горячее блюдо после пробной дегустации</x:v>
      </x:c>
      <x:c r="I110" s="28" t="str">
        <x:v>The Art &amp; Science of Foodpairing.pdf</x:v>
      </x:c>
      <x:c r="J110" s="28" t="str">
        <x:v>The Art &amp; Science of Foodpairing.pdf: 173</x:v>
      </x:c>
    </x:row>
    <x:row r="111" ht="44" customHeight="1">
      <x:c r="A111" s="28" t="str">
        <x:v>уме</x:v>
      </x:c>
      <x:c r="B111" s="28" t="n">
        <x:v>9</x:v>
      </x:c>
      <x:c r="C111" s="28" t="str">
        <x:v>отварная морковь</x:v>
      </x:c>
      <x:c r="D111" s="28" t="n">
        <x:v>5</x:v>
      </x:c>
      <x:c r="E111" s="28" t="str">
        <x:v>Средняя</x:v>
      </x:c>
      <x:c r="F111" s="28" t="n">
        <x:v>1</x:v>
      </x:c>
      <x:c r="G111" s="28" t="str">
        <x:v>прямое или классовое перекрытие характерных одорантов + вкусовой баланс</x:v>
      </x:c>
      <x:c r="H111" s="28" t="str">
        <x:v>напиток, соус, десерт или горячее блюдо после пробной дегустации</x:v>
      </x:c>
      <x:c r="I111" s="28" t="str">
        <x:v>The Art &amp; Science of Foodpairing.pdf</x:v>
      </x:c>
      <x:c r="J111" s="28" t="str">
        <x:v>The Art &amp; Science of Foodpairing.pdf: 232</x:v>
      </x:c>
    </x:row>
    <x:row r="112" ht="44" customHeight="1">
      <x:c r="A112" s="28" t="str">
        <x:v>уме</x:v>
      </x:c>
      <x:c r="B112" s="28" t="n">
        <x:v>10</x:v>
      </x:c>
      <x:c r="C112" s="28" t="str">
        <x:v>текила бланко</x:v>
      </x:c>
      <x:c r="D112" s="28" t="n">
        <x:v>5</x:v>
      </x:c>
      <x:c r="E112" s="28" t="str">
        <x:v>Средняя</x:v>
      </x:c>
      <x:c r="F112" s="28" t="n">
        <x:v>1</x:v>
      </x:c>
      <x:c r="G112" s="28" t="str">
        <x:v>прямое или классовое перекрытие характерных одорантов + вкусовой баланс</x:v>
      </x:c>
      <x:c r="H112" s="28" t="str">
        <x:v>коктейль, кордиал, настой, спритц, чайный или кофейный напиток</x:v>
      </x:c>
      <x:c r="I112" s="28" t="str">
        <x:v>The Art &amp; Science of Foodpairing.pdf</x:v>
      </x:c>
      <x:c r="J112" s="28" t="str">
        <x:v>The Art &amp; Science of Foodpairing.pdf: 83</x:v>
      </x:c>
    </x:row>
    <x:row r="113" ht="44" customHeight="1">
      <x:c r="A113" s="28" t="str">
        <x:v>уме</x:v>
      </x:c>
      <x:c r="B113" s="28" t="n">
        <x:v>11</x:v>
      </x:c>
      <x:c r="C113" s="28" t="str">
        <x:v>традиционный бальзамический уксус</x:v>
      </x:c>
      <x:c r="D113" s="28" t="n">
        <x:v>5</x:v>
      </x:c>
      <x:c r="E113" s="28" t="str">
        <x:v>Средняя</x:v>
      </x:c>
      <x:c r="F113" s="28" t="n">
        <x:v>1</x:v>
      </x:c>
      <x:c r="G113" s="28" t="str">
        <x:v>прямое или классовое перекрытие характерных одорантов + вкусовой баланс</x:v>
      </x:c>
      <x:c r="H113" s="28" t="str">
        <x:v>соус, глазировка, чатни, маринад, гарнир или основное блюдо</x:v>
      </x:c>
      <x:c r="I113" s="28" t="str">
        <x:v>The Art &amp; Science of Foodpairing.pdf</x:v>
      </x:c>
      <x:c r="J113" s="28" t="str">
        <x:v>The Art &amp; Science of Foodpairing.pdf: 316</x:v>
      </x:c>
    </x:row>
    <x:row r="114" ht="44" customHeight="1">
      <x:c r="A114" s="28" t="str">
        <x:v>уме</x:v>
      </x:c>
      <x:c r="B114" s="28" t="n">
        <x:v>12</x:v>
      </x:c>
      <x:c r="C114" s="28" t="str">
        <x:v>фундук</x:v>
      </x:c>
      <x:c r="D114" s="28" t="n">
        <x:v>5</x:v>
      </x:c>
      <x:c r="E114" s="28" t="str">
        <x:v>Средняя</x:v>
      </x:c>
      <x:c r="F114" s="28" t="n">
        <x:v>1</x:v>
      </x:c>
      <x:c r="G114" s="28" t="str">
        <x:v>комплементарность ароматических семейств, вкусовой контраст и матричный эффект</x:v>
      </x:c>
      <x:c r="H114" s="28" t="str">
        <x:v>тарт, крем, мороженое, выпечка, сырная подача или начинка</x:v>
      </x:c>
      <x:c r="I114" s="28" t="str">
        <x:v>The Art &amp; Science of Foodpairing.pdf</x:v>
      </x:c>
      <x:c r="J114" s="28" t="str">
        <x:v>The Art &amp; Science of Foodpairing.pdf: 333</x:v>
      </x:c>
    </x:row>
    <x:row r="115" ht="44" customHeight="1">
      <x:c r="A115" s="28" t="str">
        <x:v>уме</x:v>
      </x:c>
      <x:c r="B115" s="28" t="n">
        <x:v>13</x:v>
      </x:c>
      <x:c r="C115" s="28" t="str">
        <x:v>цветы жасмина</x:v>
      </x:c>
      <x:c r="D115" s="28" t="n">
        <x:v>5</x:v>
      </x:c>
      <x:c r="E115" s="28" t="str">
        <x:v>Средняя</x:v>
      </x:c>
      <x:c r="F115" s="28" t="n">
        <x:v>1</x:v>
      </x:c>
      <x:c r="G115" s="28" t="str">
        <x:v>прямое или классовое перекрытие характерных одорантов + вкусовой баланс</x:v>
      </x:c>
      <x:c r="H115" s="28" t="str">
        <x:v>напиток, соус, десерт или горячее блюдо после пробной дегустации</x:v>
      </x:c>
      <x:c r="I115" s="28" t="str">
        <x:v>The Art &amp; Science of Foodpairing.pdf</x:v>
      </x:c>
      <x:c r="J115" s="28" t="str">
        <x:v>The Art &amp; Science of Foodpairing.pdf: 211</x:v>
      </x:c>
    </x:row>
    <x:row r="116" ht="44" customHeight="1">
      <x:c r="A116" s="28" t="str">
        <x:v>уме</x:v>
      </x:c>
      <x:c r="B116" s="28" t="n">
        <x:v>14</x:v>
      </x:c>
      <x:c r="C116" s="28" t="str">
        <x:v>японский соевый соус</x:v>
      </x:c>
      <x:c r="D116" s="28" t="n">
        <x:v>5</x:v>
      </x:c>
      <x:c r="E116" s="28" t="str">
        <x:v>Средняя</x:v>
      </x:c>
      <x:c r="F116" s="28" t="n">
        <x:v>1</x:v>
      </x:c>
      <x:c r="G116" s="28" t="str">
        <x:v>прямое или классовое перекрытие характерных одорантов + вкусовой баланс</x:v>
      </x:c>
      <x:c r="H116" s="28" t="str">
        <x:v>соус, глазировка, чатни, маринад, гарнир или основное блюдо</x:v>
      </x:c>
      <x:c r="I116" s="28" t="str">
        <x:v>The Art &amp; Science of Foodpairing.pdf</x:v>
      </x:c>
      <x:c r="J116" s="28" t="str">
        <x:v>The Art &amp; Science of Foodpairing.pdf: 301</x:v>
      </x:c>
    </x:row>
    <x:row r="117" ht="44" customHeight="1">
      <x:c r="A117" s="28" t="str">
        <x:v>плюмкот</x:v>
      </x:c>
      <x:c r="B117" s="28" t="n">
        <x:v>1</x:v>
      </x:c>
      <x:c r="C117" s="28" t="str">
        <x:v>абрикос</x:v>
      </x:c>
      <x:c r="D117" s="28" t="n">
        <x:v>6</x:v>
      </x:c>
      <x:c r="E117" s="28" t="str">
        <x:v>Средняя</x:v>
      </x:c>
      <x:c r="F117" s="28" t="n">
        <x:v>1</x:v>
      </x:c>
      <x:c r="G117" s="28" t="str">
        <x:v>прямое или классовое перекрытие характерных одорантов + вкусовой баланс</x:v>
      </x:c>
      <x:c r="H117" s="28" t="str">
        <x:v>напиток, соус, десерт или горячее блюдо после пробной дегустации</x:v>
      </x:c>
      <x:c r="I117" s="28" t="str">
        <x:v>The Art &amp; Science of Foodpairing.pdf</x:v>
      </x:c>
      <x:c r="J117" s="28" t="str">
        <x:v>The Art &amp; Science of Foodpairing.pdf: 206</x:v>
      </x:c>
    </x:row>
    <x:row r="118" ht="44" customHeight="1">
      <x:c r="A118" s="28" t="str">
        <x:v>плюмкот</x:v>
      </x:c>
      <x:c r="B118" s="28" t="n">
        <x:v>2</x:v>
      </x:c>
      <x:c r="C118" s="28" t="str">
        <x:v>белый перец</x:v>
      </x:c>
      <x:c r="D118" s="28" t="n">
        <x:v>5</x:v>
      </x:c>
      <x:c r="E118" s="28" t="str">
        <x:v>Средняя</x:v>
      </x:c>
      <x:c r="F118" s="28" t="n">
        <x:v>1</x:v>
      </x:c>
      <x:c r="G118" s="28" t="str">
        <x:v>комплементарность ароматических семейств, вкусовой контраст и матричный эффект</x:v>
      </x:c>
      <x:c r="H118" s="28" t="str">
        <x:v>напиток, соус, десерт или горячее блюдо после пробной дегустации</x:v>
      </x:c>
      <x:c r="I118" s="28" t="str">
        <x:v>The Art &amp; Science of Foodpairing.pdf</x:v>
      </x:c>
      <x:c r="J118" s="28" t="str">
        <x:v>The Art &amp; Science of Foodpairing.pdf: 274</x:v>
      </x:c>
    </x:row>
    <x:row r="119" ht="44" customHeight="1">
      <x:c r="A119" s="28" t="str">
        <x:v>плюмкот</x:v>
      </x:c>
      <x:c r="B119" s="28" t="n">
        <x:v>3</x:v>
      </x:c>
      <x:c r="C119" s="28" t="str">
        <x:v>киви</x:v>
      </x:c>
      <x:c r="D119" s="28" t="n">
        <x:v>5</x:v>
      </x:c>
      <x:c r="E119" s="28" t="str">
        <x:v>Средняя</x:v>
      </x:c>
      <x:c r="F119" s="28" t="n">
        <x:v>1</x:v>
      </x:c>
      <x:c r="G119" s="28" t="str">
        <x:v>прямое или классовое перекрытие характерных одорантов + вкусовой баланс</x:v>
      </x:c>
      <x:c r="H119" s="28" t="str">
        <x:v>напиток, соус, десерт или горячее блюдо после пробной дегустации</x:v>
      </x:c>
      <x:c r="I119" s="28" t="str">
        <x:v>The Art &amp; Science of Foodpairing.pdf</x:v>
      </x:c>
      <x:c r="J119" s="28" t="str">
        <x:v>The Art &amp; Science of Foodpairing.pdf: 42</x:v>
      </x:c>
    </x:row>
    <x:row r="120" ht="44" customHeight="1">
      <x:c r="A120" s="28" t="str">
        <x:v>плюмкот</x:v>
      </x:c>
      <x:c r="B120" s="28" t="n">
        <x:v>4</x:v>
      </x:c>
      <x:c r="C120" s="28" t="str">
        <x:v>красный сладкий перец</x:v>
      </x:c>
      <x:c r="D120" s="28" t="n">
        <x:v>5</x:v>
      </x:c>
      <x:c r="E120" s="28" t="str">
        <x:v>Средняя</x:v>
      </x:c>
      <x:c r="F120" s="28" t="n">
        <x:v>1</x:v>
      </x:c>
      <x:c r="G120" s="28" t="str">
        <x:v>комплементарность ароматических семейств, вкусовой контраст и матричный эффект</x:v>
      </x:c>
      <x:c r="H120" s="28" t="str">
        <x:v>напиток, соус, десерт или горячее блюдо после пробной дегустации</x:v>
      </x:c>
      <x:c r="I120" s="28" t="str">
        <x:v>The Art &amp; Science of Foodpairing.pdf</x:v>
      </x:c>
      <x:c r="J120" s="28" t="str">
        <x:v>The Art &amp; Science of Foodpairing.pdf: 109</x:v>
      </x:c>
    </x:row>
    <x:row r="121" ht="44" customHeight="1">
      <x:c r="A121" s="28" t="str">
        <x:v>плюмкот</x:v>
      </x:c>
      <x:c r="B121" s="28" t="n">
        <x:v>5</x:v>
      </x:c>
      <x:c r="C121" s="28" t="str">
        <x:v>пармиджано-реджано</x:v>
      </x:c>
      <x:c r="D121" s="28" t="n">
        <x:v>5</x:v>
      </x:c>
      <x:c r="E121" s="28" t="str">
        <x:v>Средняя</x:v>
      </x:c>
      <x:c r="F121" s="28" t="n">
        <x:v>1</x:v>
      </x:c>
      <x:c r="G121" s="28" t="str">
        <x:v>комплементарность ароматических семейств, вкусовой контраст и матричный эффект</x:v>
      </x:c>
      <x:c r="H121" s="28" t="str">
        <x:v>соус, глазировка, чатни, маринад, гарнир или основное блюдо</x:v>
      </x:c>
      <x:c r="I121" s="28" t="str">
        <x:v>The Art &amp; Science of Foodpairing.pdf</x:v>
      </x:c>
      <x:c r="J121" s="28" t="str">
        <x:v>The Art &amp; Science of Foodpairing.pdf: 283</x:v>
      </x:c>
    </x:row>
    <x:row r="122" ht="44" customHeight="1">
      <x:c r="A122" s="28" t="str">
        <x:v>плюмкот</x:v>
      </x:c>
      <x:c r="B122" s="28" t="n">
        <x:v>6</x:v>
      </x:c>
      <x:c r="C122" s="28" t="str">
        <x:v>паста из твердых сортов пшеницы</x:v>
      </x:c>
      <x:c r="D122" s="28" t="n">
        <x:v>5</x:v>
      </x:c>
      <x:c r="E122" s="28" t="str">
        <x:v>Средняя</x:v>
      </x:c>
      <x:c r="F122" s="28" t="n">
        <x:v>1</x:v>
      </x:c>
      <x:c r="G122" s="28" t="str">
        <x:v>комплементарность ароматических семейств, вкусовой контраст и матричный эффект</x:v>
      </x:c>
      <x:c r="H122" s="28" t="str">
        <x:v>тарт, крем, мороженое, выпечка, сырная подача или начинка</x:v>
      </x:c>
      <x:c r="I122" s="28" t="str">
        <x:v>The Art &amp; Science of Foodpairing.pdf</x:v>
      </x:c>
      <x:c r="J122" s="28" t="str">
        <x:v>The Art &amp; Science of Foodpairing.pdf: 324</x:v>
      </x:c>
    </x:row>
    <x:row r="123" ht="44" customHeight="1">
      <x:c r="A123" s="28" t="str">
        <x:v>плюмкот</x:v>
      </x:c>
      <x:c r="B123" s="28" t="n">
        <x:v>7</x:v>
      </x:c>
      <x:c r="C123" s="28" t="str">
        <x:v>свиная корейка</x:v>
      </x:c>
      <x:c r="D123" s="28" t="n">
        <x:v>5</x:v>
      </x:c>
      <x:c r="E123" s="28" t="str">
        <x:v>Средняя</x:v>
      </x:c>
      <x:c r="F123" s="28" t="n">
        <x:v>1</x:v>
      </x:c>
      <x:c r="G123" s="28" t="str">
        <x:v>комплементарность ароматических семейств, вкусовой контраст и матричный эффект</x:v>
      </x:c>
      <x:c r="H123" s="28" t="str">
        <x:v>напиток, соус, десерт или горячее блюдо после пробной дегустации</x:v>
      </x:c>
      <x:c r="I123" s="28" t="str">
        <x:v>The Art &amp; Science of Foodpairing.pdf</x:v>
      </x:c>
      <x:c r="J123" s="28" t="str">
        <x:v>The Art &amp; Science of Foodpairing.pdf: 187</x:v>
      </x:c>
    </x:row>
    <x:row r="124" ht="44" customHeight="1">
      <x:c r="A124" s="28" t="str">
        <x:v>плюмкот</x:v>
      </x:c>
      <x:c r="B124" s="28" t="n">
        <x:v>8</x:v>
      </x:c>
      <x:c r="C124" s="28" t="str">
        <x:v>цветы жасмина</x:v>
      </x:c>
      <x:c r="D124" s="28" t="n">
        <x:v>5</x:v>
      </x:c>
      <x:c r="E124" s="28" t="str">
        <x:v>Средняя</x:v>
      </x:c>
      <x:c r="F124" s="28" t="n">
        <x:v>1</x:v>
      </x:c>
      <x:c r="G124" s="28" t="str">
        <x:v>прямое или классовое перекрытие характерных одорантов + вкусовой баланс</x:v>
      </x:c>
      <x:c r="H124" s="28" t="str">
        <x:v>напиток, соус, десерт или горячее блюдо после пробной дегустации</x:v>
      </x:c>
      <x:c r="I124" s="28" t="str">
        <x:v>The Art &amp; Science of Foodpairing.pdf</x:v>
      </x:c>
      <x:c r="J124" s="28" t="str">
        <x:v>The Art &amp; Science of Foodpairing.pdf: 211</x:v>
      </x:c>
    </x:row>
    <x:row r="125" ht="44" customHeight="1">
      <x:c r="A125" s="28" t="str">
        <x:v>плюмкот</x:v>
      </x:c>
      <x:c r="B125" s="28" t="n">
        <x:v>9</x:v>
      </x:c>
      <x:c r="C125" s="28" t="str">
        <x:v>черный трюфель</x:v>
      </x:c>
      <x:c r="D125" s="28" t="n">
        <x:v>5</x:v>
      </x:c>
      <x:c r="E125" s="28" t="str">
        <x:v>Средняя</x:v>
      </x:c>
      <x:c r="F125" s="28" t="n">
        <x:v>1</x:v>
      </x:c>
      <x:c r="G125" s="28" t="str">
        <x:v>комплементарность ароматических семейств, вкусовой контраст и матричный эффект</x:v>
      </x:c>
      <x:c r="H125" s="28" t="str">
        <x:v>соус, глазировка, чатни, маринад, гарнир или основное блюдо</x:v>
      </x:c>
      <x:c r="I125" s="28" t="str">
        <x:v>The Art &amp; Science of Foodpairing.pdf</x:v>
      </x:c>
      <x:c r="J125" s="28" t="str">
        <x:v>The Art &amp; Science of Foodpairing.pdf: 193</x:v>
      </x:c>
    </x:row>
    <x:row r="126" ht="44" customHeight="1">
      <x:c r="A126" s="28" t="str">
        <x:v>плюмкот</x:v>
      </x:c>
      <x:c r="B126" s="28" t="n">
        <x:v>10</x:v>
      </x:c>
      <x:c r="C126" s="28" t="str">
        <x:v>шиитаке</x:v>
      </x:c>
      <x:c r="D126" s="28" t="n">
        <x:v>5</x:v>
      </x:c>
      <x:c r="E126" s="28" t="str">
        <x:v>Средняя</x:v>
      </x:c>
      <x:c r="F126" s="28" t="n">
        <x:v>1</x:v>
      </x:c>
      <x:c r="G126" s="28" t="str">
        <x:v>комплементарность ароматических семейств, вкусовой контраст и матричный эффект</x:v>
      </x:c>
      <x:c r="H126" s="28" t="str">
        <x:v>напиток, соус, десерт или горячее блюдо после пробной дегустации</x:v>
      </x:c>
      <x:c r="I126" s="28" t="str">
        <x:v>The Art &amp; Science of Foodpairing.pdf</x:v>
      </x:c>
      <x:c r="J126" s="28" t="str">
        <x:v>The Art &amp; Science of Foodpairing.pdf: 127</x:v>
      </x:c>
    </x:row>
  </x:sheetData>
  <x:conditionalFormatting sqref="D2:D126">
    <x:cfRule type="dataBar" priority="1">
      <x:dataBar>
        <x:cfvo type="min"/>
        <x:cfvo type="max"/>
        <x:color rgb="FFD08B5B"/>
      </x:dataBar>
      <x:extLst>
        <x:ext xmlns:x14="http://schemas.microsoft.com/office/spreadsheetml/2009/9/main" uri="{B025F937-C7B1-47D3-B67F-A62EFF666E3E}">
          <x14:id>{0499DC2D-F20A-CAD6-A6CD-B0A714ABEFF8}</x14:id>
        </x:ext>
      </x:extLst>
    </x:cfRule>
  </x:conditionalFormatting>
  <x:conditionalFormatting sqref="E2:E126">
    <x:cfRule type="expression" dxfId="15" priority="2">
      <x:formula>E2="Высокая"</x:formula>
    </x:cfRule>
    <x:cfRule type="expression" dxfId="16" priority="3">
      <x:formula>E2="Средняя"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8b26dae7b64d7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499DC2D-F20A-CAD6-A6CD-B0A714ABEFF8}">
            <x14:dataBar gradient="1">
              <x14:cfvo type="min"/>
              <x14:cfvo type="max"/>
              <x14:fillColor rgb="FFD08B5B"/>
            </x14:dataBar>
          </x14:cfRule>
          <xm:sqref>D2:D126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1" hidden="0" customWidth="1"/>
    <x:col min="3" max="3" width="36" hidden="0" customWidth="1"/>
    <x:col min="4" max="4" width="48" hidden="0" customWidth="1"/>
    <x:col min="5" max="5" width="50" hidden="0" customWidth="1"/>
    <x:col min="6" max="6" width="50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БЕЗОПАСНОСТЬ КОСТОЧЕК И ЯДЕР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36" t="str">
        <x:v>ПРАКТИЧЕСКОЕ ПРАВИЛО</x:v>
      </x:c>
      <x:c r="B4" s="36"/>
      <x:c r="C4" s="36"/>
      <x:c r="D4" s="36"/>
      <x:c r="E4" s="36"/>
      <x:c r="F4" s="36"/>
      <x:c r="G4" s="36"/>
      <x:c r="H4" s="36"/>
    </x:row>
    <x:row r="5" ht="86" customHeight="1">
      <x:c r="A5" s="43" t="str">
        <x:v>Не использовать сырые или самостоятельно обработанные ядра абрикоса, персика, сливы и родственных косточковых для настоек, сиропов, ликёров, масел, марципана или гарнишей. Повреждение ядра и контакт с водой могут запустить ферментативный распад амигдалина и пруназина с образованием бензальдегида и цианида. Миндальный аромат не является признаком безопасности.</x:v>
      </x:c>
      <x:c r="B5" s="43"/>
      <x:c r="C5" s="43"/>
      <x:c r="D5" s="43"/>
      <x:c r="E5" s="43"/>
      <x:c r="F5" s="43"/>
      <x:c r="G5" s="43"/>
      <x:c r="H5" s="43"/>
    </x:row>
    <x:row r="6" ht="86" customHeight="1">
      <x:c r="A6" s="43"/>
      <x:c r="B6" s="43"/>
      <x:c r="C6" s="43"/>
      <x:c r="D6" s="43"/>
      <x:c r="E6" s="43"/>
      <x:c r="F6" s="43"/>
      <x:c r="G6" s="43"/>
      <x:c r="H6" s="43"/>
    </x:row>
    <x:row r="7" ht="86" customHeight="1">
      <x:c r="A7" s="43"/>
      <x:c r="B7" s="43"/>
      <x:c r="C7" s="43"/>
      <x:c r="D7" s="43"/>
      <x:c r="E7" s="43"/>
      <x:c r="F7" s="43"/>
      <x:c r="G7" s="43"/>
      <x:c r="H7" s="43"/>
    </x:row>
    <x:row r="8" ht="86" customHeight="1">
      <x:c r="A8" s="43"/>
      <x:c r="B8" s="43"/>
      <x:c r="C8" s="43"/>
      <x:c r="D8" s="43"/>
      <x:c r="E8" s="43"/>
      <x:c r="F8" s="43"/>
      <x:c r="G8" s="43"/>
      <x:c r="H8" s="43"/>
    </x:row>
    <x:row r="9" ht="86" customHeight="1">
      <x:c r="A9" s="43"/>
      <x:c r="B9" s="43"/>
      <x:c r="C9" s="43"/>
      <x:c r="D9" s="43"/>
      <x:c r="E9" s="43"/>
      <x:c r="F9" s="43"/>
      <x:c r="G9" s="43"/>
      <x:c r="H9" s="43"/>
    </x:row>
    <x:row r="11">
      <x:c r="A11" s="20" t="str">
        <x:v>Риск</x:v>
      </x:c>
      <x:c r="B11" s="20" t="str">
        <x:v>Механизм</x:v>
      </x:c>
      <x:c r="C11" s="20" t="str">
        <x:v>Где встречается</x:v>
      </x:c>
      <x:c r="D11" s="20" t="str">
        <x:v>Почему это важно</x:v>
      </x:c>
      <x:c r="E11" s="20" t="str">
        <x:v>Допустимый подход</x:v>
      </x:c>
      <x:c r="F11" s="20" t="str">
        <x:v>Недопустимый подход</x:v>
      </x:c>
    </x:row>
    <x:row r="12" ht="70" customHeight="1">
      <x:c r="A12" s="28" t="str">
        <x:v>Цианогенные гликозиды</x:v>
      </x:c>
      <x:c r="B12" s="28" t="str">
        <x:v>Амигдалин и пруназин могут распадаться с образованием бензальдегида и цианида</x:v>
      </x:c>
      <x:c r="C12" s="28" t="str">
        <x:v>Ядра абрикоса, персика, сливы и близких видов</x:v>
      </x:c>
      <x:c r="D12" s="28" t="str">
        <x:v>Цианид токсичен; количество зависит от вида, сорта и обработки</x:v>
      </x:c>
      <x:c r="E12" s="28" t="str">
        <x:v>Использовать только коммерческие ингредиенты, прошедшие промышленную детоксикацию и контроль</x:v>
      </x:c>
      <x:c r="F12" s="28" t="str">
        <x:v>Дробить косточки и настаивать их дома в спирте, воде или сиропе</x:v>
      </x:c>
    </x:row>
    <x:row r="13" ht="70" customHeight="1">
      <x:c r="A13" s="28" t="str">
        <x:v>Бензальдегид</x:v>
      </x:c>
      <x:c r="B13" s="28" t="str">
        <x:v>Создаёт приятный запах горького миндаля и марципана</x:v>
      </x:c>
      <x:c r="C13" s="28" t="str">
        <x:v>Косточки, горький миндаль, некоторые экстракты</x:v>
      </x:c>
      <x:c r="D13" s="28" t="str">
        <x:v>Приятный аромат может сопровождать опасный процесс распада цианогенных веществ</x:v>
      </x:c>
      <x:c r="E13" s="28" t="str">
        <x:v>Применять пищевые ароматизаторы и сертифицированные экстракты</x:v>
      </x:c>
      <x:c r="F13" s="28" t="str">
        <x:v>Считать миндальный запах доказательством безопасности</x:v>
      </x:c>
    </x:row>
    <x:row r="14" ht="70" customHeight="1">
      <x:c r="A14" s="28" t="str">
        <x:v>Механическое повреждение</x:v>
      </x:c>
      <x:c r="B14" s="28" t="str">
        <x:v>Разрушает ткани и соединяет субстрат с ферментами</x:v>
      </x:c>
      <x:c r="C14" s="28" t="str">
        <x:v>Дробление, измельчение, длительная мацерация</x:v>
      </x:c>
      <x:c r="D14" s="28" t="str">
        <x:v>Повышает скорость образования продуктов распада</x:v>
      </x:c>
      <x:c r="E14" s="28" t="str">
        <x:v>Удалять косточки до измельчения мякоти</x:v>
      </x:c>
      <x:c r="F14" s="28" t="str">
        <x:v>Использовать треснувшие косточки в кордиалах или настойках</x:v>
      </x:c>
    </x:row>
    <x:row r="15" ht="70" customHeight="1">
      <x:c r="A15" s="28" t="str">
        <x:v>Неопределённость дозы</x:v>
      </x:c>
      <x:c r="B15" s="28" t="str">
        <x:v>Содержание гликозидов сильно варьирует</x:v>
      </x:c>
      <x:c r="C15" s="28" t="str">
        <x:v>Разные сорта, партии, страны и степень зрелости</x:v>
      </x:c>
      <x:c r="D15" s="28" t="str">
        <x:v>Домашняя рецептура не обеспечивает аналитического контроля</x:v>
      </x:c>
      <x:c r="E15" s="28" t="str">
        <x:v>Работать с готовым коммерческим сырьём и спецификациями</x:v>
      </x:c>
      <x:c r="F15" s="28" t="str">
        <x:v>Ориентироваться на вкус, запах или традиционный рецепт</x:v>
      </x:c>
    </x:row>
  </x:sheetData>
  <x:mergeCells>
    <x:mergeCell ref="A1:H2"/>
    <x:mergeCell ref="A4:H4"/>
    <x:mergeCell ref="A5:H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9" hidden="0" customWidth="1"/>
    <x:col min="3" max="3" width="36" hidden="0" customWidth="1"/>
    <x:col min="4" max="4" width="45" hidden="0" customWidth="1"/>
    <x:col min="5" max="5" width="35" hidden="0" customWidth="1"/>
    <x:col min="6" max="6" width="43" hidden="0" customWidth="1"/>
    <x:col min="7" max="7" width="49" hidden="0" customWidth="1"/>
    <x:col min="8" max="8" width="54" hidden="0" customWidth="1"/>
    <x:col min="9" max="9" width="15" hidden="0" customWidth="1"/>
  </x:cols>
  <x:sheetData>
    <x:row r="1">
      <x:c r="A1" s="20" t="str">
        <x:v>Ингредиент</x:v>
      </x:c>
      <x:c r="B1" s="20" t="str">
        <x:v>Группа</x:v>
      </x:c>
      <x:c r="C1" s="20" t="str">
        <x:v>Аромапрофиль</x:v>
      </x:c>
      <x:c r="D1" s="20" t="str">
        <x:v>Характерные соединения</x:v>
      </x:c>
      <x:c r="E1" s="20" t="str">
        <x:v>Вкус</x:v>
      </x:c>
      <x:c r="F1" s="20" t="str">
        <x:v>Тройничный эффект</x:v>
      </x:c>
      <x:c r="G1" s="20" t="str">
        <x:v>Матрица</x:v>
      </x:c>
      <x:c r="H1" s="20" t="str">
        <x:v>Комментарий по обработке</x:v>
      </x:c>
      <x:c r="I1" s="20" t="str">
        <x:v>Количество пар</x:v>
      </x:c>
    </x:row>
    <x:row r="2" ht="50" customHeight="1">
      <x:c r="A2" s="28" t="str">
        <x:v>абрикос</x:v>
      </x:c>
      <x:c r="B2" s="28" t="str">
        <x:v>Косточковые фрукты</x:v>
      </x:c>
      <x:c r="C2" s="28" t="str">
        <x:v>цветочный, фруктовый, медовый, сливочно-лактонный, миндальный</x:v>
      </x:c>
      <x:c r="D2" s="28" t="str">
        <x:v>γ- и δ-лактоны, линалоол, гераниол, бензальдегид, β-ионон, дамасценон, фруктовые эфиры</x:v>
      </x:c>
      <x:c r="E2" s="28" t="str">
        <x:v>сладость и заметная фруктовая кислотность; сушёный плод становится слаще, плотнее и слегка карамельным</x:v>
      </x:c>
      <x:c r="F2" s="28" t="str">
        <x:v>обычно слабый; кислотность повышает слюноотделение</x:v>
      </x:c>
      <x:c r="G2" s="28" t="str">
        <x:v>водно-пектиновая мякоть; низкий жир; кожица и косточка могут добавлять терпкость и миндальный оттенок</x:v>
      </x:c>
      <x:c r="H2" s="28" t="str">
        <x:v>нагрев переводит свежий цветочно-фруктовый профиль в компотный, медовый и карамельный; сушка концентрирует сахар и снижает часть свежих нот</x:v>
      </x:c>
      <x:c r="I2" s="28" t="n">
        <x:v>79</x:v>
      </x:c>
    </x:row>
    <x:row r="3" ht="50" customHeight="1">
      <x:c r="A3" s="28" t="str">
        <x:v>абрикосовый бренди</x:v>
      </x:c>
      <x:c r="B3" s="28" t="str">
        <x:v>Алкогольные напитки</x:v>
      </x:c>
      <x:c r="C3" s="28" t="str">
        <x:v>эфирный, фруктовый, цветочный, древесный или ферментативный</x:v>
      </x:c>
      <x:c r="D3" s="28" t="str">
        <x:v>этиловые эфиры, высшие спирты, альдегиды, дубовые лактоны</x:v>
      </x:c>
      <x:c r="E3" s="28" t="str">
        <x:v>этанол усиливает сладость и горечь и создаёт согревающий эффект</x:v>
      </x:c>
      <x:c r="F3" s="28" t="str">
        <x:v>согревание и жжение этанола</x:v>
      </x:c>
      <x:c r="G3" s="28" t="str">
        <x:v>этанол растворяет гидрофобные ароматические молекулы и увеличивает их ретроназальную доставку</x:v>
      </x:c>
      <x:c r="H3" s="28" t="str">
        <x:v>разбавление, температура и выдержка определяют высвобождение аромата</x:v>
      </x:c>
      <x:c r="I3" s="28" t="n">
        <x:v>2</x:v>
      </x:c>
    </x:row>
    <x:row r="4" ht="50" customHeight="1">
      <x:c r="A4" s="28" t="str">
        <x:v>абсент</x:v>
      </x:c>
      <x:c r="B4" s="28" t="str">
        <x:v>Алкогольные напитки</x:v>
      </x:c>
      <x:c r="C4" s="28" t="str">
        <x:v>эфирный, фруктовый, цветочный, древесный или ферментативный</x:v>
      </x:c>
      <x:c r="D4" s="28" t="str">
        <x:v>этиловые эфиры, высшие спирты, альдегиды, дубовые лактоны</x:v>
      </x:c>
      <x:c r="E4" s="28" t="str">
        <x:v>этанол усиливает сладость и горечь и создаёт согревающий эффект</x:v>
      </x:c>
      <x:c r="F4" s="28" t="str">
        <x:v>согревание и жжение этанола</x:v>
      </x:c>
      <x:c r="G4" s="28" t="str">
        <x:v>этанол растворяет гидрофобные ароматические молекулы и увеличивает их ретроназальную доставку</x:v>
      </x:c>
      <x:c r="H4" s="28" t="str">
        <x:v>разбавление, температура и выдержка определяют высвобождение аромата</x:v>
      </x:c>
      <x:c r="I4" s="28" t="n">
        <x:v>2</x:v>
      </x:c>
    </x:row>
    <x:row r="5" ht="50" customHeight="1">
      <x:c r="A5" s="28" t="str">
        <x:v>авокадо</x:v>
      </x:c>
      <x:c r="B5" s="28" t="str">
        <x:v>Тропические фрукты и жирные матрицы</x:v>
      </x:c>
      <x:c r="C5" s="28" t="str">
        <x:v>зелёный, травянистый, ореховый, маслянистый и слегка грибной</x:v>
      </x:c>
      <x:c r="D5" s="28" t="str">
        <x:v>гексаналь, (E)-2-гексеналь, 1-гексен-3-он, спирты и продукты окисления липидов</x:v>
      </x:c>
      <x:c r="E5" s="28" t="str">
        <x:v>мягкий, жирный, почти несладкий; лёгкая растительная горечь</x:v>
      </x:c>
      <x:c r="F5" s="28" t="str">
        <x:v>кислотное покалывание зависит от плода; специальные эффекты указаны в паспорте</x:v>
      </x:c>
      <x:c r="G5" s="28" t="str">
        <x:v>высокожировая эмульсия; хорошо растворяет гидрофобные ароматические молекулы</x:v>
      </x:c>
      <x:c r="H5" s="28" t="str">
        <x:v>быстро окисляется и темнеет; перегрев может дать горечь и разрушить кремовую текстуру</x:v>
      </x:c>
      <x:c r="I5" s="28" t="n">
        <x:v>5</x:v>
      </x:c>
    </x:row>
    <x:row r="6" ht="50" customHeight="1">
      <x:c r="A6" s="28" t="str">
        <x:v>айва</x:v>
      </x:c>
      <x:c r="B6" s="28" t="str">
        <x:v>Семечковые фрукты</x:v>
      </x:c>
      <x:c r="C6" s="28" t="str">
        <x:v>цветочный, яблочно-грушевый, цитрусовый, медовый и слегка древесный</x:v>
      </x:c>
      <x:c r="D6" s="28" t="str">
        <x:v>эфиры жирных кислот, лактоны, линалоол, α-терпинеол, C6-альдегиды</x:v>
      </x:c>
      <x:c r="E6" s="28" t="str">
        <x:v>высокая кислотность и выраженная терпкость в сыром виде; после нагрева — сладко-фруктовый профиль</x:v>
      </x:c>
      <x:c r="F6" s="28" t="str">
        <x:v>кислотное покалывание зависит от плода; специальные эффекты указаны в паспорте</x:v>
      </x:c>
      <x:c r="G6" s="28" t="str">
        <x:v>плотная, пектиновая и малосочная; хорошо удерживает аромат в желе и сиропах</x:v>
      </x:c>
      <x:c r="H6" s="28" t="str">
        <x:v>сырая айва жёсткая и вяжущая; избыток дубильных веществ требует сахара, жира или длительного нагрева</x:v>
      </x:c>
      <x:c r="I6" s="28" t="n">
        <x:v>1</x:v>
      </x:c>
    </x:row>
    <x:row r="7" ht="50" customHeight="1">
      <x:c r="A7" s="28" t="str">
        <x:v>амаретто</x:v>
      </x:c>
      <x:c r="B7" s="28" t="str">
        <x:v>Алкогольные напитки</x:v>
      </x:c>
      <x:c r="C7" s="28" t="str">
        <x:v>эфирный, фруктовый, цветочный, древесный или ферментативный</x:v>
      </x:c>
      <x:c r="D7" s="28" t="str">
        <x:v>этиловые эфиры, высшие спирты, альдегиды, дубовые лактоны</x:v>
      </x:c>
      <x:c r="E7" s="28" t="str">
        <x:v>этанол усиливает сладость и горечь и создаёт согревающий эффект</x:v>
      </x:c>
      <x:c r="F7" s="28" t="str">
        <x:v>согревание и жжение этанола</x:v>
      </x:c>
      <x:c r="G7" s="28" t="str">
        <x:v>этанол растворяет гидрофобные ароматические молекулы и увеличивает их ретроназальную доставку</x:v>
      </x:c>
      <x:c r="H7" s="28" t="str">
        <x:v>разбавление, температура и выдержка определяют высвобождение аромата</x:v>
      </x:c>
      <x:c r="I7" s="28" t="n">
        <x:v>2</x:v>
      </x:c>
    </x:row>
    <x:row r="8" ht="50" customHeight="1">
      <x:c r="A8" s="28" t="str">
        <x:v>ананас</x:v>
      </x:c>
      <x:c r="B8" s="28" t="str">
        <x:v>Тропические фрукты</x:v>
      </x:c>
      <x:c r="C8" s="28" t="str">
        <x:v>яркий фруктовый, конфетный, цитрусовый, зелёный и слегка сернистый</x:v>
      </x:c>
      <x:c r="D8" s="28" t="str">
        <x:v>метилгексаноат, этилгексаноат, этилбутират, метил-3-(метилтио)пропионат и другие сернистые следы</x:v>
      </x:c>
      <x:c r="E8" s="28" t="str">
        <x:v>выраженная сладость и кислотность; лёгкая терпкость сердцевины</x:v>
      </x:c>
      <x:c r="F8" s="28" t="str">
        <x:v>кислотное покалывание зависит от плода; специальные эффекты указаны в паспорте</x:v>
      </x:c>
      <x:c r="G8" s="28" t="str">
        <x:v>водная и кислая; содержит протеазу бромелайн, разрушающую белки</x:v>
      </x:c>
      <x:c r="H8" s="28" t="str">
        <x:v>длительный контакт с белком даёт рыхлую текстуру; перегрев снижает свежие эфиры</x:v>
      </x:c>
      <x:c r="I8" s="28" t="n">
        <x:v>3</x:v>
      </x:c>
    </x:row>
    <x:row r="9" ht="50" customHeight="1">
      <x:c r="A9" s="28" t="str">
        <x:v>анис</x:v>
      </x:c>
      <x:c r="B9" s="28" t="str">
        <x:v>Специи и острые компоненты</x:v>
      </x:c>
      <x:c r="C9" s="28" t="str">
        <x:v>сладкий лакричный и пряный</x:v>
      </x:c>
      <x:c r="D9" s="28" t="str">
        <x:v>анетол</x:v>
      </x:c>
      <x:c r="E9" s="28" t="str">
        <x:v>горечь и пряная интенсивность; специи балансируют сладость</x:v>
      </x:c>
      <x:c r="F9" s="28" t="str">
        <x:v>капсаицин, пиперин, гингеролы и камфорные терпены создают жжение, тепло или охлаждение</x:v>
      </x:c>
      <x:c r="G9" s="28" t="str">
        <x:v>ароматические масла хорошо переходят в жир и этанол</x:v>
      </x:c>
      <x:c r="H9" s="28" t="str">
        <x:v>обжарка усиливает тёплые ноты, но пережаривание даёт горечь</x:v>
      </x:c>
      <x:c r="I9" s="28" t="n">
        <x:v>3</x:v>
      </x:c>
    </x:row>
    <x:row r="10" ht="50" customHeight="1">
      <x:c r="A10" s="28" t="str">
        <x:v>апельсин</x:v>
      </x:c>
      <x:c r="B10" s="28" t="str">
        <x:v>Цитрусовые</x:v>
      </x:c>
      <x:c r="C10" s="28" t="str">
        <x:v>сладкий цитрусовый и цветочный</x:v>
      </x:c>
      <x:c r="D10" s="28" t="str">
        <x:v>лимонен, линалоол, деканаль</x:v>
      </x:c>
      <x:c r="E10" s="28" t="str">
        <x:v>кислотность и эфирные масла создают свежесть и усиливают слюноотделение</x:v>
      </x:c>
      <x:c r="F10" s="28" t="str">
        <x:v>кислота даёт покалывание и ощущение свежести</x:v>
      </x:c>
      <x:c r="G10" s="28" t="str">
        <x:v>сок водный и кислый, цедра содержит гидрофобные эфирные масла</x:v>
      </x:c>
      <x:c r="H10" s="28" t="str">
        <x:v>сок лучше использовать свежим; цедра хорошо экстрагируется жиром и этанолом; белая часть даёт горечь</x:v>
      </x:c>
      <x:c r="I10" s="28" t="n">
        <x:v>5</x:v>
      </x:c>
    </x:row>
    <x:row r="11" ht="50" customHeight="1">
      <x:c r="A11" s="28" t="str">
        <x:v>арбуз</x:v>
      </x:c>
      <x:c r="B11" s="28" t="str">
        <x:v>Бахчевые</x:v>
      </x:c>
      <x:c r="C11" s="28" t="str">
        <x:v>водянистый, зелёный, огуречный, свежий и слегка фруктовый</x:v>
      </x:c>
      <x:c r="D11" s="28" t="str">
        <x:v>(Z)-3-ноненаль, (E,Z)-2,6-нонадиеналь, гексаналь и другие C6/C9-альдегиды</x:v>
      </x:c>
      <x:c r="E11" s="28" t="str">
        <x:v>умеренная сладость и очень низкая кислотность</x:v>
      </x:c>
      <x:c r="F11" s="28" t="str">
        <x:v>кислотное покалывание зависит от плода; специальные эффекты указаны в паспорте</x:v>
      </x:c>
      <x:c r="G11" s="28" t="str">
        <x:v>более чем на 90% водная; аромат легко разбавляется и плохо переносит долгий нагрев</x:v>
      </x:c>
      <x:c r="H11" s="28" t="str">
        <x:v>избыток водянистых партнёров делает сочетание пустым; сильные ароматы быстро подавляют арбуз</x:v>
      </x:c>
      <x:c r="I11" s="28" t="n">
        <x:v>1</x:v>
      </x:c>
    </x:row>
    <x:row r="12" ht="50" customHeight="1">
      <x:c r="A12" s="28" t="str">
        <x:v>артишок</x:v>
      </x:c>
      <x:c r="B12" s="28" t="str">
        <x:v>Овощи и грибы</x:v>
      </x:c>
      <x:c r="C12" s="28" t="str">
        <x:v>зелёный, землистый, сернистый</x:v>
      </x:c>
      <x:c r="D12" s="28" t="str">
        <x:v>C6-альдегиды, пиразины, сернистые соединения</x:v>
      </x:c>
      <x:c r="E12" s="28" t="str">
        <x:v>растительный, иногда умами</x:v>
      </x:c>
      <x:c r="F12" s="28" t="str">
        <x:v>обычно отсутствует; зависит от конкретного продукта</x:v>
      </x:c>
      <x:c r="G12" s="28" t="str">
        <x:v>высокая доля воды; нагрев меняет зелёный профиль</x:v>
      </x:c>
      <x:c r="H12" s="28" t="str">
        <x:v>Справочный групповой профиль; для точного состава конкретного сорта или бренда нужен инструментальный анализ.</x:v>
      </x:c>
      <x:c r="I12" s="28" t="n">
        <x:v>3</x:v>
      </x:c>
    </x:row>
    <x:row r="13" ht="50" customHeight="1">
      <x:c r="A13" s="28" t="str">
        <x:v>бадьян</x:v>
      </x:c>
      <x:c r="B13" s="28" t="str">
        <x:v>Специи и острые компоненты</x:v>
      </x:c>
      <x:c r="C13" s="28" t="str">
        <x:v>пряный, древесный, тёплый, цитрусовый или анисовый</x:v>
      </x:c>
      <x:c r="D13" s="28" t="str">
        <x:v>эвгенол, коричный альдегид, анетол, терпинилацетат</x:v>
      </x:c>
      <x:c r="E13" s="28" t="str">
        <x:v>горечь и пряная интенсивность; специи балансируют сладость</x:v>
      </x:c>
      <x:c r="F13" s="28" t="str">
        <x:v>капсаицин, пиперин, гингеролы и камфорные терпены создают жжение, тепло или охлаждение</x:v>
      </x:c>
      <x:c r="G13" s="28" t="str">
        <x:v>ароматические масла хорошо переходят в жир и этанол</x:v>
      </x:c>
      <x:c r="H13" s="28" t="str">
        <x:v>обжарка усиливает тёплые ноты, но пережаривание даёт горечь</x:v>
      </x:c>
      <x:c r="I13" s="28" t="n">
        <x:v>3</x:v>
      </x:c>
    </x:row>
    <x:row r="14" ht="50" customHeight="1">
      <x:c r="A14" s="28" t="str">
        <x:v>базилик</x:v>
      </x:c>
      <x:c r="B14" s="28" t="str">
        <x:v>Травы и цветы</x:v>
      </x:c>
      <x:c r="C14" s="28" t="str">
        <x:v>зелёный, цветочный и пряный</x:v>
      </x:c>
      <x:c r="D14" s="28" t="str">
        <x:v>линалоол, эвгенол, метилхавикол</x:v>
      </x:c>
      <x:c r="E14" s="28" t="str">
        <x:v>обычно низкая сладость; возможны горечь и зелёная терпкость</x:v>
      </x:c>
      <x:c r="F14" s="28" t="str">
        <x:v>у мяты возможен холодящий эффект ментола; у некоторых трав — камфорность</x:v>
      </x:c>
      <x:c r="G14" s="28" t="str">
        <x:v>эфирные масла гидрофобны и лучше раскрываются в жире или этаноле</x:v>
      </x:c>
      <x:c r="H14" s="28" t="str">
        <x:v>короткая холодная экстракция сохраняет верхние ноты; длительный нагрев даёт горечь</x:v>
      </x:c>
      <x:c r="I14" s="28" t="n">
        <x:v>4</x:v>
      </x:c>
    </x:row>
    <x:row r="15" ht="50" customHeight="1">
      <x:c r="A15" s="28" t="str">
        <x:v>байонская ветчина</x:v>
      </x:c>
      <x:c r="B15" s="28" t="str">
        <x:v>Мясо и птица</x:v>
      </x:c>
      <x:c r="C15" s="28" t="str">
        <x:v>жареный, мясной, жирный, иногда копчёный и пряный</x:v>
      </x:c>
      <x:c r="D15" s="28" t="str">
        <x:v>пиразины, фураны, сернистые соединения, продукты Майяра, жирные альдегиды</x:v>
      </x:c>
      <x:c r="E15" s="28" t="str">
        <x:v>умами, соль и жир</x:v>
      </x:c>
      <x:c r="F15" s="28" t="str">
        <x:v>тепловой/пряный зависит от обработки</x:v>
      </x:c>
      <x:c r="G15" s="28" t="str">
        <x:v>жир удерживает фруктовые лактоны; белок смягчает кислотность</x:v>
      </x:c>
      <x:c r="H15" s="28" t="str"/>
      <x:c r="I15" s="28" t="n">
        <x:v>2</x:v>
      </x:c>
    </x:row>
    <x:row r="16" ht="50" customHeight="1">
      <x:c r="A16" s="28" t="str">
        <x:v>банан</x:v>
      </x:c>
      <x:c r="B16" s="28" t="str">
        <x:v>Тропические фрукты</x:v>
      </x:c>
      <x:c r="C16" s="28" t="str">
        <x:v>сладкий фруктовый, сливочный, цветочный; у зрелого плода — конфетный и пряный</x:v>
      </x:c>
      <x:c r="D16" s="28" t="str">
        <x:v>изоамилацетат, изобутилацетат, бутилацетат, этилбутират, эвгенол и другие фенольные следы</x:v>
      </x:c>
      <x:c r="E16" s="28" t="str">
        <x:v>высокая сладость, низкая кислотность, крахмалистость у незрелого плода</x:v>
      </x:c>
      <x:c r="F16" s="28" t="str">
        <x:v>кислотное покалывание зависит от плода; специальные эффекты указаны в паспорте</x:v>
      </x:c>
      <x:c r="G16" s="28" t="str">
        <x:v>мягкая крахмально-пектиновая; низкая кислотность и высокая вязкость приглушают летучесть</x:v>
      </x:c>
      <x:c r="H16" s="28" t="str">
        <x:v>перезрелый банан доминирует и быстро окисляется; без кислоты или горечи сочетание может быть плоским</x:v>
      </x:c>
      <x:c r="I16" s="28" t="n">
        <x:v>1</x:v>
      </x:c>
    </x:row>
    <x:row r="17" ht="50" customHeight="1">
      <x:c r="A17" s="28" t="str">
        <x:v>баранина</x:v>
      </x:c>
      <x:c r="B17" s="28" t="str">
        <x:v>Мясо и птица</x:v>
      </x:c>
      <x:c r="C17" s="28" t="str">
        <x:v>жареный, жирный, сернистый, умами</x:v>
      </x:c>
      <x:c r="D17" s="28" t="str">
        <x:v>альдегиды, пиразины, сернистые соединения</x:v>
      </x:c>
      <x:c r="E17" s="28" t="str">
        <x:v>умами, солёный, жирный</x:v>
      </x:c>
      <x:c r="F17" s="28" t="str">
        <x:v>обычно отсутствует; зависит от конкретного продукта</x:v>
      </x:c>
      <x:c r="G17" s="28" t="str">
        <x:v>жир переносит аромат; реакция Майяра создаёт новые одоранты</x:v>
      </x:c>
      <x:c r="H17" s="28" t="str">
        <x:v>Справочный групповой профиль; для точного состава конкретного сорта или бренда нужен инструментальный анализ.</x:v>
      </x:c>
      <x:c r="I17" s="28" t="n">
        <x:v>1</x:v>
      </x:c>
    </x:row>
    <x:row r="18" ht="50" customHeight="1">
      <x:c r="A18" s="28" t="str">
        <x:v>баранина на гриле</x:v>
      </x:c>
      <x:c r="B18" s="28" t="str">
        <x:v>Мясо и птица</x:v>
      </x:c>
      <x:c r="C18" s="28" t="str">
        <x:v>жареный, жирный, сернистый, умами</x:v>
      </x:c>
      <x:c r="D18" s="28" t="str">
        <x:v>альдегиды, пиразины, сернистые соединения</x:v>
      </x:c>
      <x:c r="E18" s="28" t="str">
        <x:v>умами, солёный, жирный</x:v>
      </x:c>
      <x:c r="F18" s="28" t="str">
        <x:v>обычно отсутствует; зависит от конкретного продукта</x:v>
      </x:c>
      <x:c r="G18" s="28" t="str">
        <x:v>жир переносит аромат; реакция Майяра создаёт новые одоранты</x:v>
      </x:c>
      <x:c r="H18" s="28" t="str">
        <x:v>Справочный групповой профиль; для точного состава конкретного сорта или бренда нужен инструментальный анализ.</x:v>
      </x:c>
      <x:c r="I18" s="28" t="n">
        <x:v>2</x:v>
      </x:c>
    </x:row>
    <x:row r="19" ht="50" customHeight="1">
      <x:c r="A19" s="28" t="str">
        <x:v>бейгл</x:v>
      </x:c>
      <x:c r="B19" s="28" t="str">
        <x:v>Злаки и выпечка</x:v>
      </x:c>
      <x:c r="C19" s="28" t="str">
        <x:v>хлебный, зерновой, жареный, сливочный</x:v>
      </x:c>
      <x:c r="D19" s="28" t="str">
        <x:v>пиразины, фураны, мальтол, продукты Майяра</x:v>
      </x:c>
      <x:c r="E19" s="28" t="str">
        <x:v>крахмал, сладость и соль</x:v>
      </x:c>
      <x:c r="F19" s="28" t="str">
        <x:v>нет выраженного</x:v>
      </x:c>
      <x:c r="G19" s="28" t="str">
        <x:v>крахмальная матрица приглушает кислоту и распределяет аромат</x:v>
      </x:c>
      <x:c r="H19" s="28" t="str"/>
      <x:c r="I19" s="28" t="n">
        <x:v>2</x:v>
      </x:c>
    </x:row>
    <x:row r="20" ht="50" customHeight="1">
      <x:c r="A20" s="28" t="str">
        <x:v>белый перец</x:v>
      </x:c>
      <x:c r="B20" s="28" t="str">
        <x:v>Специи и острые компоненты</x:v>
      </x:c>
      <x:c r="C20" s="28" t="str">
        <x:v>пряный, древесный, цветочный или жгучий</x:v>
      </x:c>
      <x:c r="D20" s="28" t="str">
        <x:v>эвгенол, циннамальдегид, анетол, терпены, капсаициноиды, пиперин</x:v>
      </x:c>
      <x:c r="E20" s="28" t="str">
        <x:v>горечь, сладковатость и острота</x:v>
      </x:c>
      <x:c r="F20" s="28" t="str">
        <x:v>выраженный: жжение, тепло или покалывание</x:v>
      </x:c>
      <x:c r="G20" s="28" t="str">
        <x:v>гидрофобные молекулы хорошо переходят в жир и этанол</x:v>
      </x:c>
      <x:c r="H20" s="28" t="str"/>
      <x:c r="I20" s="28" t="n">
        <x:v>2</x:v>
      </x:c>
    </x:row>
    <x:row r="21" ht="50" customHeight="1">
      <x:c r="A21" s="28" t="str">
        <x:v>белый тостовый хлеб</x:v>
      </x:c>
      <x:c r="B21" s="28" t="str">
        <x:v>Злаки и выпечка</x:v>
      </x:c>
      <x:c r="C21" s="28" t="str">
        <x:v>хлебный, зерновой, жареный, сливочный</x:v>
      </x:c>
      <x:c r="D21" s="28" t="str">
        <x:v>пиразины, фураны, мальтол, продукты Майяра</x:v>
      </x:c>
      <x:c r="E21" s="28" t="str">
        <x:v>крахмал, сладость и соль</x:v>
      </x:c>
      <x:c r="F21" s="28" t="str">
        <x:v>нет выраженного</x:v>
      </x:c>
      <x:c r="G21" s="28" t="str">
        <x:v>крахмальная матрица приглушает кислоту и распределяет аромат</x:v>
      </x:c>
      <x:c r="H21" s="28" t="str"/>
      <x:c r="I21" s="28" t="n">
        <x:v>2</x:v>
      </x:c>
    </x:row>
    <x:row r="22" ht="50" customHeight="1">
      <x:c r="A22" s="28" t="str">
        <x:v>бергамот</x:v>
      </x:c>
      <x:c r="B22" s="28" t="str">
        <x:v>Цитрусовые</x:v>
      </x:c>
      <x:c r="C22" s="28" t="str">
        <x:v>зелёный, цветочный, цитрусовый</x:v>
      </x:c>
      <x:c r="D22" s="28" t="str">
        <x:v>лимонен, линалоол, цитраль</x:v>
      </x:c>
      <x:c r="E22" s="28" t="str">
        <x:v>кислый, свежий</x:v>
      </x:c>
      <x:c r="F22" s="28" t="str">
        <x:v>обычно отсутствует; зависит от конкретного продукта</x:v>
      </x:c>
      <x:c r="G22" s="28" t="str">
        <x:v>вода и эфирные масла; цедра гидрофобна</x:v>
      </x:c>
      <x:c r="H22" s="28" t="str">
        <x:v>Справочный групповой профиль; для точного состава конкретного сорта или бренда нужен инструментальный анализ.</x:v>
      </x:c>
      <x:c r="I22" s="28" t="n">
        <x:v>2</x:v>
      </x:c>
    </x:row>
    <x:row r="23" ht="50" customHeight="1">
      <x:c r="A23" s="28" t="str">
        <x:v>блю д’овернь</x:v>
      </x:c>
      <x:c r="B23" s="28" t="str">
        <x:v>Сыры и молочные продукты</x:v>
      </x:c>
      <x:c r="C23" s="28" t="str">
        <x:v>сливочный, молочный, ферментированный, иногда ореховый или пикантный</x:v>
      </x:c>
      <x:c r="D23" s="28" t="str">
        <x:v>лактоны, диацетил, жирные кислоты, сернистые и аминокислотные продукты ферментации</x:v>
      </x:c>
      <x:c r="E23" s="28" t="str">
        <x:v>жирность, соль, кислотность и умами</x:v>
      </x:c>
      <x:c r="F23" s="28" t="str">
        <x:v>нет выраженного</x:v>
      </x:c>
      <x:c r="G23" s="28" t="str">
        <x:v>жировая и белковая матрица удерживает гидрофобные ароматы</x:v>
      </x:c>
      <x:c r="H23" s="28" t="str"/>
      <x:c r="I23" s="28" t="n">
        <x:v>1</x:v>
      </x:c>
    </x:row>
    <x:row r="24" ht="50" customHeight="1">
      <x:c r="A24" s="28" t="str">
        <x:v>бри</x:v>
      </x:c>
      <x:c r="B24" s="28" t="str">
        <x:v>Прочее</x:v>
      </x:c>
      <x:c r="C24" s="28" t="str">
        <x:v>ароматический профиль зависит от конкретного ингредиента</x:v>
      </x:c>
      <x:c r="D24" s="28" t="str">
        <x:v>летучие соединения конкретного продукта</x:v>
      </x:c>
      <x:c r="E24" s="28" t="str">
        <x:v>сочетание оценивается по балансу сладости, кислоты, соли, горечи и умами</x:v>
      </x:c>
      <x:c r="F24" s="28" t="str">
        <x:v>возможен в зависимости от состава</x:v>
      </x:c>
      <x:c r="G24" s="28" t="str">
        <x:v>важны вода, жир, белок, сахар и температура</x:v>
      </x:c>
      <x:c r="H24" s="28" t="str">
        <x:v>требуется пробная сборка с учётом технологии</x:v>
      </x:c>
      <x:c r="I24" s="28" t="n">
        <x:v>1</x:v>
      </x:c>
    </x:row>
    <x:row r="25" ht="50" customHeight="1">
      <x:c r="A25" s="28" t="str">
        <x:v>бриошь</x:v>
      </x:c>
      <x:c r="B25" s="28" t="str">
        <x:v>Злаки, хлеб и выпечка</x:v>
      </x:c>
      <x:c r="C25" s="28" t="str">
        <x:v>хлебный, зерновой, ореховый, жареный и карамельный</x:v>
      </x:c>
      <x:c r="D25" s="28" t="str">
        <x:v>2-ацетил-1-пирролин, пиразины, фураны, мальтол</x:v>
      </x:c>
      <x:c r="E25" s="28" t="str">
        <x:v>крахмалистость, лёгкая сладость и жареная горечь</x:v>
      </x:c>
      <x:c r="F25" s="28" t="str">
        <x:v>отсутствует</x:v>
      </x:c>
      <x:c r="G25" s="28" t="str">
        <x:v>крахмал и клетчатка смягчают кислоту и поглощают ароматические соусы</x:v>
      </x:c>
      <x:c r="H25" s="28" t="str">
        <x:v>выпечка и обжарка создают основные ароматические мосты через Майяр</x:v>
      </x:c>
      <x:c r="I25" s="28" t="n">
        <x:v>2</x:v>
      </x:c>
    </x:row>
    <x:row r="26" ht="50" customHeight="1">
      <x:c r="A26" s="28" t="str">
        <x:v>бузина</x:v>
      </x:c>
      <x:c r="B26" s="28" t="str">
        <x:v>Ягоды и производные</x:v>
      </x:c>
      <x:c r="C26" s="28" t="str">
        <x:v>зелёный, тёмно-фруктовый, цветочный</x:v>
      </x:c>
      <x:c r="D26" s="28" t="str">
        <x:v>альдегиды, терпены, эфиры</x:v>
      </x:c>
      <x:c r="E26" s="28" t="str">
        <x:v>кисло-сладкий, терпкий</x:v>
      </x:c>
      <x:c r="F26" s="28" t="str">
        <x:v>обычно отсутствует; зависит от конкретного продукта</x:v>
      </x:c>
      <x:c r="G26" s="28" t="str">
        <x:v>ягоды обычно требуют термообработки; цветы и ягоды имеют разные профили</x:v>
      </x:c>
      <x:c r="H26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26" s="28" t="n">
        <x:v>1</x:v>
      </x:c>
    </x:row>
    <x:row r="27" ht="50" customHeight="1">
      <x:c r="A27" s="28" t="str">
        <x:v>вакаме</x:v>
      </x:c>
      <x:c r="B27" s="28" t="str">
        <x:v>Рыба и морепродукты</x:v>
      </x:c>
      <x:c r="C27" s="28" t="str">
        <x:v>морской, солёный, умами, иногда йодистый и жареный</x:v>
      </x:c>
      <x:c r="D27" s="28" t="str">
        <x:v>амины, бромфенолы, альдегиды жирных кислот, сернистые соединения</x:v>
      </x:c>
      <x:c r="E27" s="28" t="str">
        <x:v>соль и умами</x:v>
      </x:c>
      <x:c r="F27" s="28" t="str">
        <x:v>нет выраженного</x:v>
      </x:c>
      <x:c r="G27" s="28" t="str">
        <x:v>водно-белковая матрица; жирная рыба лучше удерживает лактоны</x:v>
      </x:c>
      <x:c r="H27" s="28" t="str"/>
      <x:c r="I27" s="28" t="n">
        <x:v>2</x:v>
      </x:c>
    </x:row>
    <x:row r="28" ht="50" customHeight="1">
      <x:c r="A28" s="28" t="str">
        <x:v>ваниль</x:v>
      </x:c>
      <x:c r="B28" s="28" t="str">
        <x:v>Специи и острые компоненты</x:v>
      </x:c>
      <x:c r="C28" s="28" t="str">
        <x:v>сладкий, сливочный и древесный</x:v>
      </x:c>
      <x:c r="D28" s="28" t="str">
        <x:v>ванилин, п-гидроксибензальдегид</x:v>
      </x:c>
      <x:c r="E28" s="28" t="str">
        <x:v>горечь и пряная интенсивность; специи балансируют сладость</x:v>
      </x:c>
      <x:c r="F28" s="28" t="str">
        <x:v>капсаицин, пиперин, гингеролы и камфорные терпены создают жжение, тепло или охлаждение</x:v>
      </x:c>
      <x:c r="G28" s="28" t="str">
        <x:v>ароматические масла хорошо переходят в жир и этанол</x:v>
      </x:c>
      <x:c r="H28" s="28" t="str">
        <x:v>обжарка усиливает тёплые ноты, но пережаривание даёт горечь</x:v>
      </x:c>
      <x:c r="I28" s="28" t="n">
        <x:v>3</x:v>
      </x:c>
    </x:row>
    <x:row r="29" ht="50" customHeight="1">
      <x:c r="A29" s="28" t="str">
        <x:v>вареная ветчина</x:v>
      </x:c>
      <x:c r="B29" s="28" t="str">
        <x:v>Мясо и птица</x:v>
      </x:c>
      <x:c r="C29" s="28" t="str">
        <x:v>жареный, мясной, сернистый, жирный</x:v>
      </x:c>
      <x:c r="D29" s="28" t="str">
        <x:v>пиразины, тиазолы, альдегиды жиров, сернистые соединения</x:v>
      </x:c>
      <x:c r="E29" s="28" t="str">
        <x:v>умами, солёный, жирный</x:v>
      </x:c>
      <x:c r="F29" s="28" t="str">
        <x:v>нет выраженного</x:v>
      </x:c>
      <x:c r="G29" s="28" t="str">
        <x:v>жир удерживает терпеновые масла; кислота снижает ощущение жирности</x:v>
      </x:c>
      <x:c r="H29" s="28" t="str">
        <x:v>Цитрус создаёт контраст с реакциями Майяра и освежает мясную матрицу.</x:v>
      </x:c>
      <x:c r="I29" s="28" t="n">
        <x:v>1</x:v>
      </x:c>
    </x:row>
    <x:row r="30" ht="50" customHeight="1">
      <x:c r="A30" s="28" t="str">
        <x:v>виноград</x:v>
      </x:c>
      <x:c r="B30" s="28" t="str">
        <x:v>Алкогольные напитки</x:v>
      </x:c>
      <x:c r="C30" s="28" t="str">
        <x:v>эфирный, фруктовый, цветочный, древесный или ферментативный</x:v>
      </x:c>
      <x:c r="D30" s="28" t="str">
        <x:v>этиловые эфиры, высшие спирты, альдегиды, дубовые лактоны</x:v>
      </x:c>
      <x:c r="E30" s="28" t="str">
        <x:v>этанол усиливает сладость и горечь и создаёт согревающий эффект</x:v>
      </x:c>
      <x:c r="F30" s="28" t="str">
        <x:v>согревание и жжение этанола</x:v>
      </x:c>
      <x:c r="G30" s="28" t="str">
        <x:v>этанол растворяет гидрофобные ароматические молекулы и увеличивает их ретроназальную доставку</x:v>
      </x:c>
      <x:c r="H30" s="28" t="str">
        <x:v>разбавление, температура и выдержка определяют высвобождение аромата</x:v>
      </x:c>
      <x:c r="I30" s="28" t="n">
        <x:v>1</x:v>
      </x:c>
    </x:row>
    <x:row r="31" ht="50" customHeight="1">
      <x:c r="A31" s="28" t="str">
        <x:v>вишня</x:v>
      </x:c>
      <x:c r="B31" s="28" t="str">
        <x:v>Косточковые фрукты</x:v>
      </x:c>
      <x:c r="C31" s="28" t="str">
        <x:v>цветочный, фруктовый, миндальный и сливочно-лактонный</x:v>
      </x:c>
      <x:c r="D31" s="28" t="str">
        <x:v>лактоны, бензальдегид, эфиры, линалоол</x:v>
      </x:c>
      <x:c r="E31" s="28" t="str">
        <x:v>сладость и умеренная кислотность</x:v>
      </x:c>
      <x:c r="F31" s="28" t="str">
        <x:v>слабый</x:v>
      </x:c>
      <x:c r="G31" s="28" t="str">
        <x:v>пектиновая; кожица и косточка могут давать терпкость и миндальные ноты</x:v>
      </x:c>
      <x:c r="H31" s="28" t="str">
        <x:v>нагрев усиливает компотные и миндальные оттенки; косточки требуют осторожности</x:v>
      </x:c>
      <x:c r="I31" s="28" t="n">
        <x:v>4</x:v>
      </x:c>
    </x:row>
    <x:row r="32" ht="50" customHeight="1">
      <x:c r="A32" s="28" t="str">
        <x:v>восковая тыква</x:v>
      </x:c>
      <x:c r="B32" s="28" t="str">
        <x:v>Овощи и корнеплоды</x:v>
      </x:c>
      <x:c r="C32" s="28" t="str">
        <x:v>зелёный, землистый, сладковатый или сернистый</x:v>
      </x:c>
      <x:c r="D32" s="28" t="str">
        <x:v>C6-альдегиды, метоксипиразины, терпены, сернистые соединения</x:v>
      </x:c>
      <x:c r="E32" s="28" t="str">
        <x:v>сладость, горечь, умами и вода</x:v>
      </x:c>
      <x:c r="F32" s="28" t="str">
        <x:v>зависит от продукта</x:v>
      </x:c>
      <x:c r="G32" s="28" t="str">
        <x:v>водная и клетчаточная матрица; обжарка усиливает сладость и Майяр</x:v>
      </x:c>
      <x:c r="H32" s="28" t="str"/>
      <x:c r="I32" s="28" t="n">
        <x:v>2</x:v>
      </x:c>
    </x:row>
    <x:row r="33" ht="50" customHeight="1">
      <x:c r="A33" s="28" t="str">
        <x:v>выдержанный хересный уксус</x:v>
      </x:c>
      <x:c r="B33" s="28" t="str">
        <x:v>Алкогольные напитки</x:v>
      </x:c>
      <x:c r="C33" s="28" t="str">
        <x:v>спиртовой, эфирный, фруктовый или древесный в зависимости от напитка</x:v>
      </x:c>
      <x:c r="D33" s="28" t="str">
        <x:v>этиловые эфиры, высшие спирты, ацетали; для выдержанных напитков — ванилин и дубовые лактоны</x:v>
      </x:c>
      <x:c r="E33" s="28" t="str">
        <x:v>этанол, возможная сладость, горечь и кислотность</x:v>
      </x:c>
      <x:c r="F33" s="28" t="str">
        <x:v>этанол даёт согревание</x:v>
      </x:c>
      <x:c r="G33" s="28" t="str">
        <x:v>этанол растворяет гидрофобные лактоны и терпены</x:v>
      </x:c>
      <x:c r="H33" s="28" t="str"/>
      <x:c r="I33" s="28" t="n">
        <x:v>2</x:v>
      </x:c>
    </x:row>
    <x:row r="34" ht="50" customHeight="1">
      <x:c r="A34" s="28" t="str">
        <x:v>гвоздика</x:v>
      </x:c>
      <x:c r="B34" s="28" t="str">
        <x:v>Специи и острые компоненты</x:v>
      </x:c>
      <x:c r="C34" s="28" t="str">
        <x:v>тёплый, фенольный и пряный</x:v>
      </x:c>
      <x:c r="D34" s="28" t="str">
        <x:v>эвгенол, эвгенилацетат</x:v>
      </x:c>
      <x:c r="E34" s="28" t="str">
        <x:v>горечь и пряная интенсивность; специи балансируют сладость</x:v>
      </x:c>
      <x:c r="F34" s="28" t="str">
        <x:v>капсаицин, пиперин, гингеролы и камфорные терпены создают жжение, тепло или охлаждение</x:v>
      </x:c>
      <x:c r="G34" s="28" t="str">
        <x:v>ароматические масла хорошо переходят в жир и этанол</x:v>
      </x:c>
      <x:c r="H34" s="28" t="str">
        <x:v>обжарка усиливает тёплые ноты, но пережаривание даёт горечь</x:v>
      </x:c>
      <x:c r="I34" s="28" t="n">
        <x:v>2</x:v>
      </x:c>
    </x:row>
    <x:row r="35" ht="50" customHeight="1">
      <x:c r="A35" s="28" t="str">
        <x:v>гибискус</x:v>
      </x:c>
      <x:c r="B35" s="28" t="str">
        <x:v>Прочее</x:v>
      </x:c>
      <x:c r="C35" s="28" t="str">
        <x:v>ароматический профиль зависит от конкретного ингредиента</x:v>
      </x:c>
      <x:c r="D35" s="28" t="str">
        <x:v>летучие соединения конкретного продукта</x:v>
      </x:c>
      <x:c r="E35" s="28" t="str">
        <x:v>сочетание оценивается по балансу сладости, кислоты, соли, горечи и умами</x:v>
      </x:c>
      <x:c r="F35" s="28" t="str">
        <x:v>возможен в зависимости от состава</x:v>
      </x:c>
      <x:c r="G35" s="28" t="str">
        <x:v>важны вода, жир, белок, сахар и температура</x:v>
      </x:c>
      <x:c r="H35" s="28" t="str">
        <x:v>требуется пробная сборка с учётом технологии</x:v>
      </x:c>
      <x:c r="I35" s="28" t="n">
        <x:v>1</x:v>
      </x:c>
    </x:row>
    <x:row r="36" ht="50" customHeight="1">
      <x:c r="A36" s="28" t="str">
        <x:v>говяжий бульон</x:v>
      </x:c>
      <x:c r="B36" s="28" t="str">
        <x:v>Мясо и птица</x:v>
      </x:c>
      <x:c r="C36" s="28" t="str">
        <x:v>жареный, мясной, жирный, иногда копчёный и пряный</x:v>
      </x:c>
      <x:c r="D36" s="28" t="str">
        <x:v>пиразины, фураны, сернистые соединения, продукты Майяра, жирные альдегиды</x:v>
      </x:c>
      <x:c r="E36" s="28" t="str">
        <x:v>умами, соль и жир</x:v>
      </x:c>
      <x:c r="F36" s="28" t="str">
        <x:v>тепловой/пряный зависит от обработки</x:v>
      </x:c>
      <x:c r="G36" s="28" t="str">
        <x:v>жир удерживает фруктовые лактоны; белок смягчает кислотность</x:v>
      </x:c>
      <x:c r="H36" s="28" t="str"/>
      <x:c r="I36" s="28" t="n">
        <x:v>2</x:v>
      </x:c>
    </x:row>
    <x:row r="37" ht="50" customHeight="1">
      <x:c r="A37" s="28" t="str">
        <x:v>голубика</x:v>
      </x:c>
      <x:c r="B37" s="28" t="str">
        <x:v>Ягоды</x:v>
      </x:c>
      <x:c r="C37" s="28" t="str">
        <x:v>красно-фруктовый, цветочный, зелёный и иногда сернистый</x:v>
      </x:c>
      <x:c r="D37" s="28" t="str">
        <x:v>фуранеол, эфиры, иононы, зелёные альдегиды</x:v>
      </x:c>
      <x:c r="E37" s="28" t="str">
        <x:v>сочетание сладости, кислотности и иногда терпкости</x:v>
      </x:c>
      <x:c r="F37" s="28" t="str">
        <x:v>обычно слабый; кислота усиливает свежесть</x:v>
      </x:c>
      <x:c r="G37" s="28" t="str">
        <x:v>водная пектиновая; антоцианы влияют на цвет, но не являются главными одорантами</x:v>
      </x:c>
      <x:c r="H37" s="28" t="str">
        <x:v>заморозка разрушает клетки и облегчает экстракцию; нагрев переводит профиль в джемовый</x:v>
      </x:c>
      <x:c r="I37" s="28" t="n">
        <x:v>4</x:v>
      </x:c>
    </x:row>
    <x:row r="38" ht="50" customHeight="1">
      <x:c r="A38" s="28" t="str">
        <x:v>голубой сыр</x:v>
      </x:c>
      <x:c r="B38" s="28" t="str">
        <x:v>Сыры и молочные продукты</x:v>
      </x:c>
      <x:c r="C38" s="28" t="str">
        <x:v>пикантный, грибной и сливочный</x:v>
      </x:c>
      <x:c r="D38" s="28" t="str">
        <x:v>2-гептанон, 2-нонанон, короткоцепочечные жирные кислоты</x:v>
      </x:c>
      <x:c r="E38" s="28" t="str">
        <x:v>жирность, соль, умами и молочная кислотность</x:v>
      </x:c>
      <x:c r="F38" s="28" t="str">
        <x:v>у выдержанных сыров возможна острота аммиака и кислот</x:v>
      </x:c>
      <x:c r="G38" s="28" t="str">
        <x:v>жир и белок смягчают кислоту и удерживают летучие соединения</x:v>
      </x:c>
      <x:c r="H38" s="28" t="str">
        <x:v>температура подачи критична: холод приглушает аромат, умеренное нагревание его высвобождает</x:v>
      </x:c>
      <x:c r="I38" s="28" t="n">
        <x:v>1</x:v>
      </x:c>
    </x:row>
    <x:row r="39" ht="50" customHeight="1">
      <x:c r="A39" s="28" t="str">
        <x:v>горгонзола</x:v>
      </x:c>
      <x:c r="B39" s="28" t="str">
        <x:v>Прочее</x:v>
      </x:c>
      <x:c r="C39" s="28" t="str">
        <x:v>ароматический профиль зависит от конкретного ингредиента</x:v>
      </x:c>
      <x:c r="D39" s="28" t="str">
        <x:v>летучие соединения конкретного продукта</x:v>
      </x:c>
      <x:c r="E39" s="28" t="str">
        <x:v>сочетание оценивается по балансу сладости, кислоты, соли, горечи и умами</x:v>
      </x:c>
      <x:c r="F39" s="28" t="str">
        <x:v>возможен в зависимости от состава</x:v>
      </x:c>
      <x:c r="G39" s="28" t="str">
        <x:v>важны вода, жир, белок, сахар и температура</x:v>
      </x:c>
      <x:c r="H39" s="28" t="str">
        <x:v>требуется пробная сборка с учётом технологии</x:v>
      </x:c>
      <x:c r="I39" s="28" t="n">
        <x:v>2</x:v>
      </x:c>
    </x:row>
    <x:row r="40" ht="50" customHeight="1">
      <x:c r="A40" s="28" t="str">
        <x:v>гранат</x:v>
      </x:c>
      <x:c r="B40" s="28" t="str">
        <x:v>Субтропические фрукты</x:v>
      </x:c>
      <x:c r="C40" s="28" t="str">
        <x:v>красно-фруктовый, цветочный, зелёный и винный</x:v>
      </x:c>
      <x:c r="D40" s="28" t="str">
        <x:v>гексаналь, (E)-2-гексеналь, эфиры, терпены; нелетучие пуникалагины и антоцианы</x:v>
      </x:c>
      <x:c r="E40" s="28" t="str">
        <x:v>яркая кислотность, сладость и выраженная терпкость</x:v>
      </x:c>
      <x:c r="F40" s="28" t="str">
        <x:v>кислотное покалывание зависит от плода; специальные эффекты указаны в паспорте</x:v>
      </x:c>
      <x:c r="G40" s="28" t="str">
        <x:v>водный сок с полифенолами; семена дают хруст и лёгкую горечь</x:v>
      </x:c>
      <x:c r="H40" s="28" t="str">
        <x:v>гранатовая меласса быстро становится слишком кислой и терпкой; антоцианы отвечают за цвет, а не за аромат</x:v>
      </x:c>
      <x:c r="I40" s="28" t="n">
        <x:v>2</x:v>
      </x:c>
    </x:row>
    <x:row r="41" ht="50" customHeight="1">
      <x:c r="A41" s="28" t="str">
        <x:v>грейпфрут</x:v>
      </x:c>
      <x:c r="B41" s="28" t="str">
        <x:v>Цитрусовые</x:v>
      </x:c>
      <x:c r="C41" s="28" t="str">
        <x:v>цитрусовый, свежий, зелёный и цветочный</x:v>
      </x:c>
      <x:c r="D41" s="28" t="str">
        <x:v>лимонен, цитраль, линалоол, γ-терпинен</x:v>
      </x:c>
      <x:c r="E41" s="28" t="str">
        <x:v>кислотность и эфирные масла создают свежесть и усиливают слюноотделение</x:v>
      </x:c>
      <x:c r="F41" s="28" t="str">
        <x:v>кислота даёт покалывание и ощущение свежести</x:v>
      </x:c>
      <x:c r="G41" s="28" t="str">
        <x:v>сок водный и кислый, цедра содержит гидрофобные эфирные масла</x:v>
      </x:c>
      <x:c r="H41" s="28" t="str">
        <x:v>сок лучше использовать свежим; цедра хорошо экстрагируется жиром и этанолом; белая часть даёт горечь</x:v>
      </x:c>
      <x:c r="I41" s="28" t="n">
        <x:v>3</x:v>
      </x:c>
    </x:row>
    <x:row r="42" ht="50" customHeight="1">
      <x:c r="A42" s="28" t="str">
        <x:v>грецкий орех</x:v>
      </x:c>
      <x:c r="B42" s="28" t="str">
        <x:v>Орехи и семена</x:v>
      </x:c>
      <x:c r="C42" s="28" t="str">
        <x:v>ореховый, жареный, маслянистый и иногда миндальный</x:v>
      </x:c>
      <x:c r="D42" s="28" t="str">
        <x:v>пиразины, бензальдегид, филбертон, жирные альдегиды</x:v>
      </x:c>
      <x:c r="E42" s="28" t="str">
        <x:v>жирность, лёгкая сладость и горечь кожицы</x:v>
      </x:c>
      <x:c r="F42" s="28" t="str">
        <x:v>обычно отсутствует</x:v>
      </x:c>
      <x:c r="G42" s="28" t="str">
        <x:v>высокое содержание жира удерживает гидрофобные ароматические молекулы</x:v>
      </x:c>
      <x:c r="H42" s="28" t="str">
        <x:v>обжарка формирует пиразины и продукты Майяра; прогоркание создаёт картонные и мыльные ноты</x:v>
      </x:c>
      <x:c r="I42" s="28" t="n">
        <x:v>4</x:v>
      </x:c>
    </x:row>
    <x:row r="43" ht="50" customHeight="1">
      <x:c r="A43" s="28" t="str">
        <x:v>грибы</x:v>
      </x:c>
      <x:c r="B43" s="28" t="str">
        <x:v>Овощи и грибы</x:v>
      </x:c>
      <x:c r="C43" s="28" t="str">
        <x:v>зелёный, землистый, сернистый</x:v>
      </x:c>
      <x:c r="D43" s="28" t="str">
        <x:v>C6-альдегиды, пиразины, сернистые соединения</x:v>
      </x:c>
      <x:c r="E43" s="28" t="str">
        <x:v>растительный, иногда умами</x:v>
      </x:c>
      <x:c r="F43" s="28" t="str">
        <x:v>обычно отсутствует; зависит от конкретного продукта</x:v>
      </x:c>
      <x:c r="G43" s="28" t="str">
        <x:v>высокая доля воды; нагрев меняет зелёный профиль</x:v>
      </x:c>
      <x:c r="H43" s="28" t="str">
        <x:v>Справочный групповой профиль; для точного состава конкретного сорта или бренда нужен инструментальный анализ.</x:v>
      </x:c>
      <x:c r="I43" s="28" t="n">
        <x:v>1</x:v>
      </x:c>
    </x:row>
    <x:row r="44" ht="50" customHeight="1">
      <x:c r="A44" s="28" t="str">
        <x:v>груша</x:v>
      </x:c>
      <x:c r="B44" s="28" t="str">
        <x:v>Семечковые фрукты</x:v>
      </x:c>
      <x:c r="C44" s="28" t="str">
        <x:v>сочный фруктовый, цветочный, медовый, зелёный; у зрелых сортов — винный и пряный</x:v>
      </x:c>
      <x:c r="D44" s="28" t="str">
        <x:v>этил (E,Z)-2,4-декадиеноат («грушевый эфир»), гексилацетат, бутилацетат, гексаналь, линалоол</x:v>
      </x:c>
      <x:c r="E44" s="28" t="str">
        <x:v>мягкая сладость, умеренная кислотность, иногда лёгкая зернистость и терпкость</x:v>
      </x:c>
      <x:c r="F44" s="28" t="str">
        <x:v>кислотное покалывание зависит от плода; специальные эффекты указаны в паспорте</x:v>
      </x:c>
      <x:c r="G44" s="28" t="str">
        <x:v>водная, богатая пектином и каменистыми клетками; летучие эфиры чувствительны к перегреву</x:v>
      </x:c>
      <x:c r="H44" s="28" t="str">
        <x:v>незрелая груша ароматически бедна, перезрелая быстро становится мучнистой; сильная кислота может сделать профиль тонким</x:v>
      </x:c>
      <x:c r="I44" s="28" t="n">
        <x:v>2</x:v>
      </x:c>
    </x:row>
    <x:row r="45" ht="50" customHeight="1">
      <x:c r="A45" s="28" t="str">
        <x:v>груша conference</x:v>
      </x:c>
      <x:c r="B45" s="28" t="str">
        <x:v>Фрукты</x:v>
      </x:c>
      <x:c r="C45" s="28" t="str">
        <x:v>зелёный, фруктовый, цветочный</x:v>
      </x:c>
      <x:c r="D45" s="28" t="str">
        <x:v>лактоны, терпены, эфиры</x:v>
      </x:c>
      <x:c r="E45" s="28" t="str">
        <x:v>сладко-кислый</x:v>
      </x:c>
      <x:c r="F45" s="28" t="str">
        <x:v>обычно отсутствует; зависит от конкретного продукта</x:v>
      </x:c>
      <x:c r="G45" s="28" t="str">
        <x:v>водная фруктовая матрица</x:v>
      </x:c>
      <x:c r="H45" s="28" t="str">
        <x:v>Справочный групповой профиль; для точного состава конкретного сорта или бренда нужен инструментальный анализ.</x:v>
      </x:c>
      <x:c r="I45" s="28" t="n">
        <x:v>1</x:v>
      </x:c>
    </x:row>
    <x:row r="46" ht="50" customHeight="1">
      <x:c r="A46" s="28" t="str">
        <x:v>грюйер</x:v>
      </x:c>
      <x:c r="B46" s="28" t="str">
        <x:v>Молочные продукты и сыры</x:v>
      </x:c>
      <x:c r="C46" s="28" t="str">
        <x:v>масляный, молочный, сливочный, сырный</x:v>
      </x:c>
      <x:c r="D46" s="28" t="str">
        <x:v>диацетил, жирные кислоты, лактоны</x:v>
      </x:c>
      <x:c r="E46" s="28" t="str">
        <x:v>жирный, кислый/солёный</x:v>
      </x:c>
      <x:c r="F46" s="28" t="str">
        <x:v>обычно отсутствует; зависит от конкретного продукта</x:v>
      </x:c>
      <x:c r="G46" s="28" t="str">
        <x:v>жировая и белковая матрица смягчает кислотность</x:v>
      </x:c>
      <x:c r="H46" s="28" t="str">
        <x:v>Справочный групповой профиль; для точного состава конкретного сорта или бренда нужен инструментальный анализ.</x:v>
      </x:c>
      <x:c r="I46" s="28" t="n">
        <x:v>2</x:v>
      </x:c>
    </x:row>
    <x:row r="47" ht="50" customHeight="1">
      <x:c r="A47" s="28" t="str">
        <x:v>джем из купуасу</x:v>
      </x:c>
      <x:c r="B47" s="28" t="str">
        <x:v>Фрукты</x:v>
      </x:c>
      <x:c r="C47" s="28" t="str">
        <x:v>фруктовый, цветочный, зелёный или тропический</x:v>
      </x:c>
      <x:c r="D47" s="28" t="str">
        <x:v>фруктовые эфиры, терпены, альдегиды и лактоны</x:v>
      </x:c>
      <x:c r="E47" s="28" t="str">
        <x:v>сладость и фруктовая кислотность</x:v>
      </x:c>
      <x:c r="F47" s="28" t="str">
        <x:v>обычно слабый</x:v>
      </x:c>
      <x:c r="G47" s="28" t="str">
        <x:v>преимущественно водно-пектиновая матрица</x:v>
      </x:c>
      <x:c r="H47" s="28" t="str"/>
      <x:c r="I47" s="28" t="n">
        <x:v>1</x:v>
      </x:c>
    </x:row>
    <x:row r="48" ht="50" customHeight="1">
      <x:c r="A48" s="28" t="str">
        <x:v>доджанг</x:v>
      </x:c>
      <x:c r="B48" s="28" t="str">
        <x:v>Ферментированные продукты, соусы и уксусы</x:v>
      </x:c>
      <x:c r="C48" s="28" t="str">
        <x:v>кислый, умами, ферментированный</x:v>
      </x:c>
      <x:c r="D48" s="28" t="str">
        <x:v>аминокислоты, органические кислоты, эфиры</x:v>
      </x:c>
      <x:c r="E48" s="28" t="str">
        <x:v>кислый/солёный/умами</x:v>
      </x:c>
      <x:c r="F48" s="28" t="str">
        <x:v>обычно отсутствует; зависит от конкретного продукта</x:v>
      </x:c>
      <x:c r="G48" s="28" t="str">
        <x:v>вода, соль и продукты ферментации</x:v>
      </x:c>
      <x:c r="H48" s="28" t="str">
        <x:v>Справочный групповой профиль; для точного состава конкретного сорта или бренда нужен инструментальный анализ.</x:v>
      </x:c>
      <x:c r="I48" s="28" t="n">
        <x:v>2</x:v>
      </x:c>
    </x:row>
    <x:row r="49" ht="50" customHeight="1">
      <x:c r="A49" s="28" t="str">
        <x:v>доенджан</x:v>
      </x:c>
      <x:c r="B49" s="28" t="str">
        <x:v>Ферментированные продукты, соусы и уксусы</x:v>
      </x:c>
      <x:c r="C49" s="28" t="str">
        <x:v>умами, ферментированный, солёный, кислый и иногда жареный</x:v>
      </x:c>
      <x:c r="D49" s="28" t="str">
        <x:v>органические кислоты, эфиры, пиразины, сернистые соединения</x:v>
      </x:c>
      <x:c r="E49" s="28" t="str">
        <x:v>соль, умами и кислотность усиливают фруктовую яркость и контраст</x:v>
      </x:c>
      <x:c r="F49" s="28" t="str">
        <x:v>уксусная кислота даёт резкое покалывание</x:v>
      </x:c>
      <x:c r="G49" s="28" t="str">
        <x:v>часто водная и солёная; концентраты требуют малых доз</x:v>
      </x:c>
      <x:c r="H49" s="28" t="str">
        <x:v>редукция концентрирует соль, кислоту и умами; ферментация создаёт дополнительные эфиры</x:v>
      </x:c>
      <x:c r="I49" s="28" t="n">
        <x:v>3</x:v>
      </x:c>
    </x:row>
    <x:row r="50" ht="50" customHeight="1">
      <x:c r="A50" s="28" t="str">
        <x:v>дыня ханидью</x:v>
      </x:c>
      <x:c r="B50" s="28" t="str">
        <x:v>Фрукты</x:v>
      </x:c>
      <x:c r="C50" s="28" t="str">
        <x:v>фруктовый, цветочный, зелёный или тропический</x:v>
      </x:c>
      <x:c r="D50" s="28" t="str">
        <x:v>фруктовые эфиры, терпены, альдегиды и лактоны</x:v>
      </x:c>
      <x:c r="E50" s="28" t="str">
        <x:v>сладость и фруктовая кислотность</x:v>
      </x:c>
      <x:c r="F50" s="28" t="str">
        <x:v>обычно слабый</x:v>
      </x:c>
      <x:c r="G50" s="28" t="str">
        <x:v>преимущественно водно-пектиновая матрица</x:v>
      </x:c>
      <x:c r="H50" s="28" t="str"/>
      <x:c r="I50" s="28" t="n">
        <x:v>2</x:v>
      </x:c>
    </x:row>
    <x:row r="51" ht="50" customHeight="1">
      <x:c r="A51" s="28" t="str">
        <x:v>ежевика</x:v>
      </x:c>
      <x:c r="B51" s="28" t="str">
        <x:v>Ягоды</x:v>
      </x:c>
      <x:c r="C51" s="28" t="str">
        <x:v>красно-фруктовый, цветочный, зелёный и иногда сернистый</x:v>
      </x:c>
      <x:c r="D51" s="28" t="str">
        <x:v>фуранеол, эфиры, иононы, зелёные альдегиды</x:v>
      </x:c>
      <x:c r="E51" s="28" t="str">
        <x:v>сочетание сладости, кислотности и иногда терпкости</x:v>
      </x:c>
      <x:c r="F51" s="28" t="str">
        <x:v>обычно слабый; кислота усиливает свежесть</x:v>
      </x:c>
      <x:c r="G51" s="28" t="str">
        <x:v>водная пектиновая; антоцианы влияют на цвет, но не являются главными одорантами</x:v>
      </x:c>
      <x:c r="H51" s="28" t="str">
        <x:v>заморозка разрушает клетки и облегчает экстракцию; нагрев переводит профиль в джемовый</x:v>
      </x:c>
      <x:c r="I51" s="28" t="n">
        <x:v>2</x:v>
      </x:c>
    </x:row>
    <x:row r="52" ht="50" customHeight="1">
      <x:c r="A52" s="28" t="str">
        <x:v>жареное филе куриной грудки</x:v>
      </x:c>
      <x:c r="B52" s="28" t="str">
        <x:v>Прочее</x:v>
      </x:c>
      <x:c r="C52" s="28" t="str">
        <x:v>ароматический профиль зависит от конкретного ингредиента</x:v>
      </x:c>
      <x:c r="D52" s="28" t="str">
        <x:v>летучие соединения конкретного продукта</x:v>
      </x:c>
      <x:c r="E52" s="28" t="str">
        <x:v>сочетание оценивается по балансу сладости, кислоты, соли, горечи и умами</x:v>
      </x:c>
      <x:c r="F52" s="28" t="str">
        <x:v>возможен в зависимости от состава</x:v>
      </x:c>
      <x:c r="G52" s="28" t="str">
        <x:v>важны вода, жир, белок, сахар и температура</x:v>
      </x:c>
      <x:c r="H52" s="28" t="str">
        <x:v>требуется пробная сборка с учётом технологии</x:v>
      </x:c>
      <x:c r="I52" s="28" t="n">
        <x:v>2</x:v>
      </x:c>
    </x:row>
    <x:row r="53" ht="50" customHeight="1">
      <x:c r="A53" s="28" t="str">
        <x:v>жареный каштан</x:v>
      </x:c>
      <x:c r="B53" s="28" t="str">
        <x:v>Орехи и семена</x:v>
      </x:c>
      <x:c r="C53" s="28" t="str">
        <x:v>ореховый, жареный, древесный, иногда миндальный</x:v>
      </x:c>
      <x:c r="D53" s="28" t="str">
        <x:v>бензальдегид, пиразины, фураны, лактоны и липидные альдегиды</x:v>
      </x:c>
      <x:c r="E53" s="28" t="str">
        <x:v>жирность, сладость, лёгкая горечь</x:v>
      </x:c>
      <x:c r="F53" s="28" t="str">
        <x:v>нет выраженного</x:v>
      </x:c>
      <x:c r="G53" s="28" t="str">
        <x:v>жировая матрица удерживает лактоны и округляет кислотность</x:v>
      </x:c>
      <x:c r="H53" s="28" t="str"/>
      <x:c r="I53" s="28" t="n">
        <x:v>1</x:v>
      </x:c>
    </x:row>
    <x:row r="54" ht="50" customHeight="1">
      <x:c r="A54" s="28" t="str">
        <x:v>жареный фундук</x:v>
      </x:c>
      <x:c r="B54" s="28" t="str">
        <x:v>Орехи и семена</x:v>
      </x:c>
      <x:c r="C54" s="28" t="str">
        <x:v>жареный, миндальный, ореховый</x:v>
      </x:c>
      <x:c r="D54" s="28" t="str">
        <x:v>бензальдегид, пиразины, фураны</x:v>
      </x:c>
      <x:c r="E54" s="28" t="str">
        <x:v>сладковатый, жирный</x:v>
      </x:c>
      <x:c r="F54" s="28" t="str">
        <x:v>обычно отсутствует; зависит от конкретного продукта</x:v>
      </x:c>
      <x:c r="G54" s="28" t="str">
        <x:v>жир хорошо удерживает гидрофобные одоранты</x:v>
      </x:c>
      <x:c r="H54" s="28" t="str">
        <x:v>Справочный групповой профиль; для точного состава конкретного сорта или бренда нужен инструментальный анализ.</x:v>
      </x:c>
      <x:c r="I54" s="28" t="n">
        <x:v>1</x:v>
      </x:c>
    </x:row>
    <x:row r="55" ht="50" customHeight="1">
      <x:c r="A55" s="28" t="str">
        <x:v>жасмин</x:v>
      </x:c>
      <x:c r="B55" s="28" t="str">
        <x:v>Травы и цветы</x:v>
      </x:c>
      <x:c r="C55" s="28" t="str">
        <x:v>зелёный, цветочный, травянистый и эфирно-масличный</x:v>
      </x:c>
      <x:c r="D55" s="28" t="str">
        <x:v>линалоол, гераниол, эвгенол, 1,8-цинеол</x:v>
      </x:c>
      <x:c r="E55" s="28" t="str">
        <x:v>обычно низкая сладость; возможны горечь и зелёная терпкость</x:v>
      </x:c>
      <x:c r="F55" s="28" t="str">
        <x:v>у мяты возможен холодящий эффект ментола; у некоторых трав — камфорность</x:v>
      </x:c>
      <x:c r="G55" s="28" t="str">
        <x:v>эфирные масла гидрофобны и лучше раскрываются в жире или этаноле</x:v>
      </x:c>
      <x:c r="H55" s="28" t="str">
        <x:v>короткая холодная экстракция сохраняет верхние ноты; длительный нагрев даёт горечь</x:v>
      </x:c>
      <x:c r="I55" s="28" t="n">
        <x:v>1</x:v>
      </x:c>
    </x:row>
    <x:row r="56" ht="50" customHeight="1">
      <x:c r="A56" s="28" t="str">
        <x:v>запеченная индейка</x:v>
      </x:c>
      <x:c r="B56" s="28" t="str">
        <x:v>Мясо и птица</x:v>
      </x:c>
      <x:c r="C56" s="28" t="str">
        <x:v>жареный, мясной, жирный, иногда копчёный и пряный</x:v>
      </x:c>
      <x:c r="D56" s="28" t="str">
        <x:v>пиразины, фураны, сернистые соединения, продукты Майяра, жирные альдегиды</x:v>
      </x:c>
      <x:c r="E56" s="28" t="str">
        <x:v>умами, соль и жир</x:v>
      </x:c>
      <x:c r="F56" s="28" t="str">
        <x:v>тепловой/пряный зависит от обработки</x:v>
      </x:c>
      <x:c r="G56" s="28" t="str">
        <x:v>жир удерживает фруктовые лактоны; белок смягчает кислотность</x:v>
      </x:c>
      <x:c r="H56" s="28" t="str"/>
      <x:c r="I56" s="28" t="n">
        <x:v>2</x:v>
      </x:c>
    </x:row>
    <x:row r="57" ht="50" customHeight="1">
      <x:c r="A57" s="28" t="str">
        <x:v>запеченная кольраби</x:v>
      </x:c>
      <x:c r="B57" s="28" t="str">
        <x:v>Овощи и корнеплоды</x:v>
      </x:c>
      <x:c r="C57" s="28" t="str">
        <x:v>зелёный, землистый, сладковатый или сернистый</x:v>
      </x:c>
      <x:c r="D57" s="28" t="str">
        <x:v>C6-альдегиды, метоксипиразины, терпены, сернистые соединения</x:v>
      </x:c>
      <x:c r="E57" s="28" t="str">
        <x:v>сладость, горечь, умами и вода</x:v>
      </x:c>
      <x:c r="F57" s="28" t="str">
        <x:v>зависит от продукта</x:v>
      </x:c>
      <x:c r="G57" s="28" t="str">
        <x:v>водная и клетчаточная матрица; обжарка усиливает сладость и Майяр</x:v>
      </x:c>
      <x:c r="H57" s="28" t="str"/>
      <x:c r="I57" s="28" t="n">
        <x:v>2</x:v>
      </x:c>
    </x:row>
    <x:row r="58" ht="50" customHeight="1">
      <x:c r="A58" s="28" t="str">
        <x:v>запеченный бекон</x:v>
      </x:c>
      <x:c r="B58" s="28" t="str">
        <x:v>Мясо и птица</x:v>
      </x:c>
      <x:c r="C58" s="28" t="str">
        <x:v>жареный, мясной, жирный, иногда копчёный и пряный</x:v>
      </x:c>
      <x:c r="D58" s="28" t="str">
        <x:v>пиразины, фураны, сернистые соединения, продукты Майяра, жирные альдегиды</x:v>
      </x:c>
      <x:c r="E58" s="28" t="str">
        <x:v>умами, соль и жир</x:v>
      </x:c>
      <x:c r="F58" s="28" t="str">
        <x:v>тепловой/пряный зависит от обработки</x:v>
      </x:c>
      <x:c r="G58" s="28" t="str">
        <x:v>жир удерживает фруктовые лактоны; белок смягчает кислотность</x:v>
      </x:c>
      <x:c r="H58" s="28" t="str"/>
      <x:c r="I58" s="28" t="n">
        <x:v>2</x:v>
      </x:c>
    </x:row>
    <x:row r="59" ht="50" customHeight="1">
      <x:c r="A59" s="28" t="str">
        <x:v>запеченный морской петух</x:v>
      </x:c>
      <x:c r="B59" s="28" t="str">
        <x:v>Рыба и морепродукты</x:v>
      </x:c>
      <x:c r="C59" s="28" t="str">
        <x:v>морской, солёный, умами, иногда йодистый и жареный</x:v>
      </x:c>
      <x:c r="D59" s="28" t="str">
        <x:v>амины, бромфенолы, альдегиды жирных кислот, сернистые соединения</x:v>
      </x:c>
      <x:c r="E59" s="28" t="str">
        <x:v>соль и умами</x:v>
      </x:c>
      <x:c r="F59" s="28" t="str">
        <x:v>нет выраженного</x:v>
      </x:c>
      <x:c r="G59" s="28" t="str">
        <x:v>водно-белковая матрица; жирная рыба лучше удерживает лактоны</x:v>
      </x:c>
      <x:c r="H59" s="28" t="str"/>
      <x:c r="I59" s="28" t="n">
        <x:v>2</x:v>
      </x:c>
    </x:row>
    <x:row r="60" ht="50" customHeight="1">
      <x:c r="A60" s="28" t="str">
        <x:v>запеченный морской язык</x:v>
      </x:c>
      <x:c r="B60" s="28" t="str">
        <x:v>Рыба и морепродукты</x:v>
      </x:c>
      <x:c r="C60" s="28" t="str">
        <x:v>морской, солёный, умами, иногда йодистый и жареный</x:v>
      </x:c>
      <x:c r="D60" s="28" t="str">
        <x:v>амины, бромфенолы, альдегиды жирных кислот, сернистые соединения</x:v>
      </x:c>
      <x:c r="E60" s="28" t="str">
        <x:v>соль и умами</x:v>
      </x:c>
      <x:c r="F60" s="28" t="str">
        <x:v>нет выраженного</x:v>
      </x:c>
      <x:c r="G60" s="28" t="str">
        <x:v>водно-белковая матрица; жирная рыба лучше удерживает лактоны</x:v>
      </x:c>
      <x:c r="H60" s="28" t="str"/>
      <x:c r="I60" s="28" t="n">
        <x:v>3</x:v>
      </x:c>
    </x:row>
    <x:row r="61" ht="50" customHeight="1">
      <x:c r="A61" s="28" t="str">
        <x:v>зеленые водоросли</x:v>
      </x:c>
      <x:c r="B61" s="28" t="str">
        <x:v>Рыба и морепродукты</x:v>
      </x:c>
      <x:c r="C61" s="28" t="str">
        <x:v>морской, солёный, умами, иногда йодистый и жареный</x:v>
      </x:c>
      <x:c r="D61" s="28" t="str">
        <x:v>амины, бромфенолы, альдегиды жирных кислот, сернистые соединения</x:v>
      </x:c>
      <x:c r="E61" s="28" t="str">
        <x:v>соль и умами</x:v>
      </x:c>
      <x:c r="F61" s="28" t="str">
        <x:v>нет выраженного</x:v>
      </x:c>
      <x:c r="G61" s="28" t="str">
        <x:v>водно-белковая матрица; жирная рыба лучше удерживает лактоны</x:v>
      </x:c>
      <x:c r="H61" s="28" t="str"/>
      <x:c r="I61" s="28" t="n">
        <x:v>2</x:v>
      </x:c>
    </x:row>
    <x:row r="62" ht="50" customHeight="1">
      <x:c r="A62" s="28" t="str">
        <x:v>зеленые оливки</x:v>
      </x:c>
      <x:c r="B62" s="28" t="str">
        <x:v>Овощи и корнеплоды</x:v>
      </x:c>
      <x:c r="C62" s="28" t="str">
        <x:v>зелёный, землистый, сладковатый или сернистый</x:v>
      </x:c>
      <x:c r="D62" s="28" t="str">
        <x:v>C6-альдегиды, метоксипиразины, терпены, сернистые соединения</x:v>
      </x:c>
      <x:c r="E62" s="28" t="str">
        <x:v>сладость, горечь, умами и вода</x:v>
      </x:c>
      <x:c r="F62" s="28" t="str">
        <x:v>зависит от продукта</x:v>
      </x:c>
      <x:c r="G62" s="28" t="str">
        <x:v>водная и клетчаточная матрица; обжарка усиливает сладость и Майяр</x:v>
      </x:c>
      <x:c r="H62" s="28" t="str"/>
      <x:c r="I62" s="28" t="n">
        <x:v>2</x:v>
      </x:c>
    </x:row>
    <x:row r="63" ht="50" customHeight="1">
      <x:c r="A63" s="28" t="str">
        <x:v>зира</x:v>
      </x:c>
      <x:c r="B63" s="28" t="str">
        <x:v>Специи и острые компоненты</x:v>
      </x:c>
      <x:c r="C63" s="28" t="str">
        <x:v>пряный, древесный, тёплый, цитрусовый или анисовый</x:v>
      </x:c>
      <x:c r="D63" s="28" t="str">
        <x:v>эвгенол, коричный альдегид, анетол, терпинилацетат</x:v>
      </x:c>
      <x:c r="E63" s="28" t="str">
        <x:v>горечь и пряная интенсивность; специи балансируют сладость</x:v>
      </x:c>
      <x:c r="F63" s="28" t="str">
        <x:v>капсаицин, пиперин, гингеролы и камфорные терпены создают жжение, тепло или охлаждение</x:v>
      </x:c>
      <x:c r="G63" s="28" t="str">
        <x:v>ароматические масла хорошо переходят в жир и этанол</x:v>
      </x:c>
      <x:c r="H63" s="28" t="str">
        <x:v>обжарка усиливает тёплые ноты, но пережаривание даёт горечь</x:v>
      </x:c>
      <x:c r="I63" s="28" t="n">
        <x:v>1</x:v>
      </x:c>
    </x:row>
    <x:row r="64" ht="50" customHeight="1">
      <x:c r="A64" s="28" t="str">
        <x:v>изюм</x:v>
      </x:c>
      <x:c r="B64" s="28" t="str">
        <x:v>Фрукты</x:v>
      </x:c>
      <x:c r="C64" s="28" t="str">
        <x:v>зелёный, фруктовый, цветочный</x:v>
      </x:c>
      <x:c r="D64" s="28" t="str">
        <x:v>лактоны, терпены, эфиры</x:v>
      </x:c>
      <x:c r="E64" s="28" t="str">
        <x:v>сладко-кислый</x:v>
      </x:c>
      <x:c r="F64" s="28" t="str">
        <x:v>обычно отсутствует; зависит от конкретного продукта</x:v>
      </x:c>
      <x:c r="G64" s="28" t="str">
        <x:v>водная фруктовая матрица</x:v>
      </x:c>
      <x:c r="H64" s="28" t="str">
        <x:v>Справочный групповой профиль; для точного состава конкретного сорта или бренда нужен инструментальный анализ.</x:v>
      </x:c>
      <x:c r="I64" s="28" t="n">
        <x:v>3</x:v>
      </x:c>
    </x:row>
    <x:row r="65" ht="50" customHeight="1">
      <x:c r="A65" s="28" t="str">
        <x:v>икра</x:v>
      </x:c>
      <x:c r="B65" s="28" t="str">
        <x:v>Рыба и морепродукты</x:v>
      </x:c>
      <x:c r="C65" s="28" t="str">
        <x:v>морской, йодистый, зелёный, жирный</x:v>
      </x:c>
      <x:c r="D65" s="28" t="str">
        <x:v>альдегиды окисления липидов, бромфенолы, диметилсульфид, умами-соединения</x:v>
      </x:c>
      <x:c r="E65" s="28" t="str">
        <x:v>солёный, умами, жирный</x:v>
      </x:c>
      <x:c r="F65" s="28" t="str">
        <x:v>нет выраженного</x:v>
      </x:c>
      <x:c r="G65" s="28" t="str">
        <x:v>кислота может денатурировать поверхностные белки; жир рыбы удерживает терпены</x:v>
      </x:c>
      <x:c r="H65" s="28" t="str">
        <x:v>Цитрус уменьшает восприятие жирности и рыбных нот, усиливая свежесть и слюноотделение.</x:v>
      </x:c>
      <x:c r="I65" s="28" t="n">
        <x:v>1</x:v>
      </x:c>
    </x:row>
    <x:row r="66" ht="50" customHeight="1">
      <x:c r="A66" s="28" t="str">
        <x:v>имбирь</x:v>
      </x:c>
      <x:c r="B66" s="28" t="str">
        <x:v>Специи и острые компоненты</x:v>
      </x:c>
      <x:c r="C66" s="28" t="str">
        <x:v>цитрусово-пряный, древесный и свежий</x:v>
      </x:c>
      <x:c r="D66" s="28" t="str">
        <x:v>зингиберен, цитраль, гингеролы, шогаолы</x:v>
      </x:c>
      <x:c r="E66" s="28" t="str">
        <x:v>горечь и пряная интенсивность; специи балансируют сладость</x:v>
      </x:c>
      <x:c r="F66" s="28" t="str">
        <x:v>гингеролы и шогаолы создают тепло и жжение</x:v>
      </x:c>
      <x:c r="G66" s="28" t="str">
        <x:v>ароматические масла хорошо переходят в жир и этанол</x:v>
      </x:c>
      <x:c r="H66" s="28" t="str">
        <x:v>обжарка усиливает тёплые ноты, но пережаривание даёт горечь</x:v>
      </x:c>
      <x:c r="I66" s="28" t="n">
        <x:v>4</x:v>
      </x:c>
    </x:row>
    <x:row r="67" ht="50" customHeight="1">
      <x:c r="A67" s="28" t="str">
        <x:v>инжир</x:v>
      </x:c>
      <x:c r="B67" s="28" t="str">
        <x:v>Субтропические фрукты</x:v>
      </x:c>
      <x:c r="C67" s="28" t="str">
        <x:v>медовый, зелёный, ягодный, цветочный, кокосово-лактонный</x:v>
      </x:c>
      <x:c r="D67" s="28" t="str">
        <x:v>бензальдегид, линалоол, фуранеол, лактоны и зелёные альдегиды</x:v>
      </x:c>
      <x:c r="E67" s="28" t="str">
        <x:v>высокая сладость, низкая кислотность; семена дают хруст</x:v>
      </x:c>
      <x:c r="F67" s="28" t="str">
        <x:v>кислотное покалывание зависит от плода; специальные эффекты указаны в паспорте</x:v>
      </x:c>
      <x:c r="G67" s="28" t="str">
        <x:v>пектиновая и сахаристая; сушёный инжир концентрирует сахар, фенолы и карамельные ноты</x:v>
      </x:c>
      <x:c r="H67" s="28" t="str">
        <x:v>нуждается в кислоте, соли или горечи; молочный латекс незрелых плодов может раздражать</x:v>
      </x:c>
      <x:c r="I67" s="28" t="n">
        <x:v>4</x:v>
      </x:c>
    </x:row>
    <x:row r="68" ht="50" customHeight="1">
      <x:c r="A68" s="28" t="str">
        <x:v>испанский чоризо</x:v>
      </x:c>
      <x:c r="B68" s="28" t="str">
        <x:v>Мясо и птица</x:v>
      </x:c>
      <x:c r="C68" s="28" t="str">
        <x:v>жареный, мясной, жирный, иногда копчёный и пряный</x:v>
      </x:c>
      <x:c r="D68" s="28" t="str">
        <x:v>пиразины, фураны, сернистые соединения, продукты Майяра, жирные альдегиды</x:v>
      </x:c>
      <x:c r="E68" s="28" t="str">
        <x:v>умами, соль и жир</x:v>
      </x:c>
      <x:c r="F68" s="28" t="str">
        <x:v>тепловой/пряный зависит от обработки</x:v>
      </x:c>
      <x:c r="G68" s="28" t="str">
        <x:v>жир удерживает фруктовые лактоны; белок смягчает кислотность</x:v>
      </x:c>
      <x:c r="H68" s="28" t="str"/>
      <x:c r="I68" s="28" t="n">
        <x:v>2</x:v>
      </x:c>
    </x:row>
    <x:row r="69" ht="50" customHeight="1">
      <x:c r="A69" s="28" t="str">
        <x:v>каламонси</x:v>
      </x:c>
      <x:c r="B69" s="28" t="str">
        <x:v>Цитрусовые</x:v>
      </x:c>
      <x:c r="C69" s="28" t="str">
        <x:v>цитрусовый, зелёный, травяной, камфорный</x:v>
      </x:c>
      <x:c r="D69" s="28" t="str">
        <x:v>лимонен, гамма-терпинен, цитраль, бета-пинен, линалол</x:v>
      </x:c>
      <x:c r="E69" s="28" t="str">
        <x:v>кислый, слабо горький</x:v>
      </x:c>
      <x:c r="F69" s="28" t="str">
        <x:v>кислота усиливает слюноотделение; зелёные терпены создают ощущение прохлады</x:v>
      </x:c>
      <x:c r="G69" s="28" t="str">
        <x:v>сок — водная кислая фаза; цедра — масляная терпеновая</x:v>
      </x:c>
      <x:c r="H69" s="28" t="str">
        <x:v>Лаймовые цитрусы дают более зелёный и камфорный профиль, чем сладкий апельсин.</x:v>
      </x:c>
      <x:c r="I69" s="28" t="n">
        <x:v>1</x:v>
      </x:c>
    </x:row>
    <x:row r="70" ht="50" customHeight="1">
      <x:c r="A70" s="28" t="str">
        <x:v>канталупа</x:v>
      </x:c>
      <x:c r="B70" s="28" t="str">
        <x:v>Бахчевые</x:v>
      </x:c>
      <x:c r="C70" s="28" t="str">
        <x:v>интенсивно сладкий, мускусный, цветочный и зелёный</x:v>
      </x:c>
      <x:c r="D70" s="28" t="str">
        <x:v>этил-2-метилбутират, этилбутират, C9-альдегиды, тиоэфиры</x:v>
      </x:c>
      <x:c r="E70" s="28" t="str">
        <x:v>выраженная сладость и слабая кислотность</x:v>
      </x:c>
      <x:c r="F70" s="28" t="str">
        <x:v>кислотное покалывание зависит от плода; специальные эффекты указаны в паспорте</x:v>
      </x:c>
      <x:c r="G70" s="28" t="str">
        <x:v>водная и мягкая; аромат быстро улетучивается после нарезки</x:v>
      </x:c>
      <x:c r="H70" s="28" t="str">
        <x:v>перезрелый плод приобретает тяжёлый мускусный запах; нужна кислота или солёный контраст</x:v>
      </x:c>
      <x:c r="I70" s="28" t="n">
        <x:v>2</x:v>
      </x:c>
    </x:row>
    <x:row r="71" ht="50" customHeight="1">
      <x:c r="A71" s="28" t="str">
        <x:v>карамель</x:v>
      </x:c>
      <x:c r="B71" s="28" t="str">
        <x:v>Сахара, мёд и кондитерские основы</x:v>
      </x:c>
      <x:c r="C71" s="28" t="str">
        <x:v>жжёный сахар, сливочный и жареный</x:v>
      </x:c>
      <x:c r="D71" s="28" t="str">
        <x:v>мальтол, фурфурол, диацетил</x:v>
      </x:c>
      <x:c r="E71" s="28" t="str">
        <x:v>высокая сладость</x:v>
      </x:c>
      <x:c r="F71" s="28" t="str">
        <x:v>отсутствует</x:v>
      </x:c>
      <x:c r="G71" s="28" t="str">
        <x:v>вязкая сахарная; снижает летучесть и смягчает кислоту</x:v>
      </x:c>
      <x:c r="H71" s="28" t="str">
        <x:v>карамелизация создаёт горько-жареные ноты; перегрев даёт жжёную горечь</x:v>
      </x:c>
      <x:c r="I71" s="28" t="n">
        <x:v>4</x:v>
      </x:c>
    </x:row>
    <x:row r="72" ht="50" customHeight="1">
      <x:c r="A72" s="28" t="str">
        <x:v>кардамон</x:v>
      </x:c>
      <x:c r="B72" s="28" t="str">
        <x:v>Специи и острые компоненты</x:v>
      </x:c>
      <x:c r="C72" s="28" t="str">
        <x:v>цитрусовый, камфорный и цветочный</x:v>
      </x:c>
      <x:c r="D72" s="28" t="str">
        <x:v>1,8-цинеол, α-терпинилацетат, линалоол</x:v>
      </x:c>
      <x:c r="E72" s="28" t="str">
        <x:v>горечь и пряная интенсивность; специи балансируют сладость</x:v>
      </x:c>
      <x:c r="F72" s="28" t="str">
        <x:v>капсаицин, пиперин, гингеролы и камфорные терпены создают жжение, тепло или охлаждение</x:v>
      </x:c>
      <x:c r="G72" s="28" t="str">
        <x:v>ароматические масла хорошо переходят в жир и этанол</x:v>
      </x:c>
      <x:c r="H72" s="28" t="str">
        <x:v>обжарка усиливает тёплые ноты, но пережаривание даёт горечь</x:v>
      </x:c>
      <x:c r="I72" s="28" t="n">
        <x:v>3</x:v>
      </x:c>
    </x:row>
    <x:row r="73" ht="50" customHeight="1">
      <x:c r="A73" s="28" t="str">
        <x:v>картофель фри</x:v>
      </x:c>
      <x:c r="B73" s="28" t="str">
        <x:v>Злаки и выпечка</x:v>
      </x:c>
      <x:c r="C73" s="28" t="str">
        <x:v>жареный, зерновой, солодовый</x:v>
      </x:c>
      <x:c r="D73" s="28" t="str">
        <x:v>мальтол, пиразины, фураны</x:v>
      </x:c>
      <x:c r="E73" s="28" t="str">
        <x:v>крахмалистый, сладковатый</x:v>
      </x:c>
      <x:c r="F73" s="28" t="str">
        <x:v>обычно отсутствует; зависит от конкретного продукта</x:v>
      </x:c>
      <x:c r="G73" s="28" t="str">
        <x:v>крахмал и сухая пористая матрица</x:v>
      </x:c>
      <x:c r="H73" s="28" t="str">
        <x:v>Справочный групповой профиль; для точного состава конкретного сорта или бренда нужен инструментальный анализ.</x:v>
      </x:c>
      <x:c r="I73" s="28" t="n">
        <x:v>2</x:v>
      </x:c>
    </x:row>
    <x:row r="74" ht="50" customHeight="1">
      <x:c r="A74" s="28" t="str">
        <x:v>каштан</x:v>
      </x:c>
      <x:c r="B74" s="28" t="str">
        <x:v>Прочее</x:v>
      </x:c>
      <x:c r="C74" s="28" t="str">
        <x:v>ароматический профиль зависит от конкретного ингредиента</x:v>
      </x:c>
      <x:c r="D74" s="28" t="str">
        <x:v>летучие соединения конкретного продукта</x:v>
      </x:c>
      <x:c r="E74" s="28" t="str">
        <x:v>сочетание оценивается по балансу сладости, кислоты, соли, горечи и умами</x:v>
      </x:c>
      <x:c r="F74" s="28" t="str">
        <x:v>возможен в зависимости от состава</x:v>
      </x:c>
      <x:c r="G74" s="28" t="str">
        <x:v>важны вода, жир, белок, сахар и температура</x:v>
      </x:c>
      <x:c r="H74" s="28" t="str">
        <x:v>требуется пробная сборка с учётом технологии</x:v>
      </x:c>
      <x:c r="I74" s="28" t="n">
        <x:v>2</x:v>
      </x:c>
    </x:row>
    <x:row r="75" ht="50" customHeight="1">
      <x:c r="A75" s="28" t="str">
        <x:v>кедровый орех</x:v>
      </x:c>
      <x:c r="B75" s="28" t="str">
        <x:v>Орехи и семена</x:v>
      </x:c>
      <x:c r="C75" s="28" t="str">
        <x:v>ореховый, жареный, маслянистый и иногда миндальный</x:v>
      </x:c>
      <x:c r="D75" s="28" t="str">
        <x:v>пиразины, бензальдегид, филбертон, жирные альдегиды</x:v>
      </x:c>
      <x:c r="E75" s="28" t="str">
        <x:v>жирность, лёгкая сладость и горечь кожицы</x:v>
      </x:c>
      <x:c r="F75" s="28" t="str">
        <x:v>обычно отсутствует</x:v>
      </x:c>
      <x:c r="G75" s="28" t="str">
        <x:v>высокое содержание жира удерживает гидрофобные ароматические молекулы</x:v>
      </x:c>
      <x:c r="H75" s="28" t="str">
        <x:v>обжарка формирует пиразины и продукты Майяра; прогоркание создаёт картонные и мыльные ноты</x:v>
      </x:c>
      <x:c r="I75" s="28" t="n">
        <x:v>3</x:v>
      </x:c>
    </x:row>
    <x:row r="76" ht="50" customHeight="1">
      <x:c r="A76" s="28" t="str">
        <x:v>кейл на пару</x:v>
      </x:c>
      <x:c r="B76" s="28" t="str">
        <x:v>Овощи и корнеплоды</x:v>
      </x:c>
      <x:c r="C76" s="28" t="str">
        <x:v>зелёный, землистый, сладковатый или сернистый</x:v>
      </x:c>
      <x:c r="D76" s="28" t="str">
        <x:v>C6-альдегиды, метоксипиразины, терпены, сернистые соединения</x:v>
      </x:c>
      <x:c r="E76" s="28" t="str">
        <x:v>сладость, горечь, умами и вода</x:v>
      </x:c>
      <x:c r="F76" s="28" t="str">
        <x:v>зависит от продукта</x:v>
      </x:c>
      <x:c r="G76" s="28" t="str">
        <x:v>водная и клетчаточная матрица; обжарка усиливает сладость и Майяр</x:v>
      </x:c>
      <x:c r="H76" s="28" t="str"/>
      <x:c r="I76" s="28" t="n">
        <x:v>2</x:v>
      </x:c>
    </x:row>
    <x:row r="77" ht="50" customHeight="1">
      <x:c r="A77" s="28" t="str">
        <x:v>кефир</x:v>
      </x:c>
      <x:c r="B77" s="28" t="str">
        <x:v>Сыры и молочные продукты</x:v>
      </x:c>
      <x:c r="C77" s="28" t="str">
        <x:v>сливочный, молочный, ферментированный, иногда ореховый или пикантный</x:v>
      </x:c>
      <x:c r="D77" s="28" t="str">
        <x:v>лактоны, диацетил, жирные кислоты, сернистые и аминокислотные продукты ферментации</x:v>
      </x:c>
      <x:c r="E77" s="28" t="str">
        <x:v>жирность, соль, кислотность и умами</x:v>
      </x:c>
      <x:c r="F77" s="28" t="str">
        <x:v>нет выраженного</x:v>
      </x:c>
      <x:c r="G77" s="28" t="str">
        <x:v>жировая и белковая матрица удерживает гидрофобные ароматы</x:v>
      </x:c>
      <x:c r="H77" s="28" t="str"/>
      <x:c r="I77" s="28" t="n">
        <x:v>2</x:v>
      </x:c>
    </x:row>
    <x:row r="78" ht="50" customHeight="1">
      <x:c r="A78" s="28" t="str">
        <x:v>киви</x:v>
      </x:c>
      <x:c r="B78" s="28" t="str">
        <x:v>Тропические и субтропические фрукты</x:v>
      </x:c>
      <x:c r="C78" s="28" t="str">
        <x:v>зелёный, травянистый, цитрусовый, фруктовый и слегка морской</x:v>
      </x:c>
      <x:c r="D78" s="28" t="str">
        <x:v>гексаналь, (E)-2-гексеналь, этилбутират, метилбутират, линалоол; фермент актинидин</x:v>
      </x:c>
      <x:c r="E78" s="28" t="str">
        <x:v>высокая кислотность, сладость и выраженная свежесть</x:v>
      </x:c>
      <x:c r="F78" s="28" t="str">
        <x:v>кислотное покалывание зависит от плода; специальные эффекты указаны в паспорте</x:v>
      </x:c>
      <x:c r="G78" s="28" t="str">
        <x:v>водная; содержит протеазу актинидин и кристаллы оксалата кальция</x:v>
      </x:c>
      <x:c r="H78" s="28" t="str">
        <x:v>длительный контакт с белком даёт кашеобразную текстуру; у чувствительных людей возможны аллергические реакции и раздражение</x:v>
      </x:c>
      <x:c r="I78" s="28" t="n">
        <x:v>3</x:v>
      </x:c>
    </x:row>
    <x:row r="79" ht="50" customHeight="1">
      <x:c r="A79" s="28" t="str">
        <x:v>кимчи из пекинской капусты</x:v>
      </x:c>
      <x:c r="B79" s="28" t="str">
        <x:v>Ферментированные продукты, соусы и уксусы</x:v>
      </x:c>
      <x:c r="C79" s="28" t="str">
        <x:v>кислый, умами, ферментированный, солёный</x:v>
      </x:c>
      <x:c r="D79" s="28" t="str">
        <x:v>уксусная кислота, эфиры, аминокислотные и ферментационные соединения</x:v>
      </x:c>
      <x:c r="E79" s="28" t="str">
        <x:v>кислота, соль и умами</x:v>
      </x:c>
      <x:c r="F79" s="28" t="str">
        <x:v>кислота усиливает слюноотделение</x:v>
      </x:c>
      <x:c r="G79" s="28" t="str">
        <x:v>водная и солевая матрица; часть ароматов удерживается белком и сахаром</x:v>
      </x:c>
      <x:c r="H79" s="28" t="str"/>
      <x:c r="I79" s="28" t="n">
        <x:v>1</x:v>
      </x:c>
    </x:row>
    <x:row r="80" ht="50" customHeight="1">
      <x:c r="A80" s="28" t="str">
        <x:v>китайская сенча</x:v>
      </x:c>
      <x:c r="B80" s="28" t="str">
        <x:v>Чай и кофе</x:v>
      </x:c>
      <x:c r="C80" s="28" t="str">
        <x:v>жареный, травяной, цветочный или терпкий</x:v>
      </x:c>
      <x:c r="D80" s="28" t="str">
        <x:v>пиридины, пиразины, фенолы, линалоол, гераниол, теафлавины</x:v>
      </x:c>
      <x:c r="E80" s="28" t="str">
        <x:v>горечь, терпкость и иногда сладость</x:v>
      </x:c>
      <x:c r="F80" s="28" t="str">
        <x:v>кофеин даёт горечь, не тройничный эффект</x:v>
      </x:c>
      <x:c r="G80" s="28" t="str">
        <x:v>водная экстракция; температура сильно меняет летучесть</x:v>
      </x:c>
      <x:c r="H80" s="28" t="str"/>
      <x:c r="I80" s="28" t="n">
        <x:v>2</x:v>
      </x:c>
    </x:row>
    <x:row r="81" ht="50" customHeight="1">
      <x:c r="A81" s="28" t="str">
        <x:v>кленовый сироп</x:v>
      </x:c>
      <x:c r="B81" s="28" t="str">
        <x:v>Сахара, мёд и кондитерские основы</x:v>
      </x:c>
      <x:c r="C81" s="28" t="str">
        <x:v>медовый, карамельный, ванильный и жареный</x:v>
      </x:c>
      <x:c r="D81" s="28" t="str">
        <x:v>мальтол, фуранеол, фурфурол, ванилин</x:v>
      </x:c>
      <x:c r="E81" s="28" t="str">
        <x:v>высокая сладость</x:v>
      </x:c>
      <x:c r="F81" s="28" t="str">
        <x:v>отсутствует</x:v>
      </x:c>
      <x:c r="G81" s="28" t="str">
        <x:v>вязкая сахарная; снижает летучесть и смягчает кислоту</x:v>
      </x:c>
      <x:c r="H81" s="28" t="str">
        <x:v>карамелизация создаёт горько-жареные ноты; перегрев даёт жжёную горечь</x:v>
      </x:c>
      <x:c r="I81" s="28" t="n">
        <x:v>4</x:v>
      </x:c>
    </x:row>
    <x:row r="82" ht="50" customHeight="1">
      <x:c r="A82" s="28" t="str">
        <x:v>клубника</x:v>
      </x:c>
      <x:c r="B82" s="28" t="str">
        <x:v>Ягоды</x:v>
      </x:c>
      <x:c r="C82" s="28" t="str">
        <x:v>красно-фруктовый, цветочный, зелёный и иногда сернистый</x:v>
      </x:c>
      <x:c r="D82" s="28" t="str">
        <x:v>фуранеол, эфиры, иононы, зелёные альдегиды</x:v>
      </x:c>
      <x:c r="E82" s="28" t="str">
        <x:v>сочетание сладости, кислотности и иногда терпкости</x:v>
      </x:c>
      <x:c r="F82" s="28" t="str">
        <x:v>обычно слабый; кислота усиливает свежесть</x:v>
      </x:c>
      <x:c r="G82" s="28" t="str">
        <x:v>водная пектиновая; антоцианы влияют на цвет, но не являются главными одорантами</x:v>
      </x:c>
      <x:c r="H82" s="28" t="str">
        <x:v>заморозка разрушает клетки и облегчает экстракцию; нагрев переводит профиль в джемовый</x:v>
      </x:c>
      <x:c r="I82" s="28" t="n">
        <x:v>5</x:v>
      </x:c>
    </x:row>
    <x:row r="83" ht="50" customHeight="1">
      <x:c r="A83" s="28" t="str">
        <x:v>клюква</x:v>
      </x:c>
      <x:c r="B83" s="28" t="str">
        <x:v>Ягоды</x:v>
      </x:c>
      <x:c r="C83" s="28" t="str">
        <x:v>красно-фруктовый, цветочный, зелёный и иногда сернистый</x:v>
      </x:c>
      <x:c r="D83" s="28" t="str">
        <x:v>фуранеол, эфиры, иононы, зелёные альдегиды</x:v>
      </x:c>
      <x:c r="E83" s="28" t="str">
        <x:v>сочетание сладости, кислотности и иногда терпкости</x:v>
      </x:c>
      <x:c r="F83" s="28" t="str">
        <x:v>обычно слабый; кислота усиливает свежесть</x:v>
      </x:c>
      <x:c r="G83" s="28" t="str">
        <x:v>водная пектиновая; антоцианы влияют на цвет, но не являются главными одорантами</x:v>
      </x:c>
      <x:c r="H83" s="28" t="str">
        <x:v>заморозка разрушает клетки и облегчает экстракцию; нагрев переводит профиль в джемовый</x:v>
      </x:c>
      <x:c r="I83" s="28" t="n">
        <x:v>3</x:v>
      </x:c>
    </x:row>
    <x:row r="84" ht="50" customHeight="1">
      <x:c r="A84" s="28" t="str">
        <x:v>козий сыр</x:v>
      </x:c>
      <x:c r="B84" s="28" t="str">
        <x:v>Сыры и молочные продукты</x:v>
      </x:c>
      <x:c r="C84" s="28" t="str">
        <x:v>молочный, травянистый и пикантный</x:v>
      </x:c>
      <x:c r="D84" s="28" t="str">
        <x:v>капроновая и каприловая кислоты, метилкетоны</x:v>
      </x:c>
      <x:c r="E84" s="28" t="str">
        <x:v>жирность, соль, умами и молочная кислотность</x:v>
      </x:c>
      <x:c r="F84" s="28" t="str">
        <x:v>у выдержанных сыров возможна острота аммиака и кислот</x:v>
      </x:c>
      <x:c r="G84" s="28" t="str">
        <x:v>жир и белок смягчают кислоту и удерживают летучие соединения</x:v>
      </x:c>
      <x:c r="H84" s="28" t="str">
        <x:v>температура подачи критична: холод приглушает аромат, умеренное нагревание его высвобождает</x:v>
      </x:c>
      <x:c r="I84" s="28" t="n">
        <x:v>2</x:v>
      </x:c>
    </x:row>
    <x:row r="85" ht="50" customHeight="1">
      <x:c r="A85" s="28" t="str">
        <x:v>кокос</x:v>
      </x:c>
      <x:c r="B85" s="28" t="str">
        <x:v>Тропические фрукты и жирные матрицы</x:v>
      </x:c>
      <x:c r="C85" s="28" t="str">
        <x:v>сливочный, молочный, ореховый, сладкий и древесный</x:v>
      </x:c>
      <x:c r="D85" s="28" t="str">
        <x:v>γ-ноналактон, γ-окталактон, δ-декалактон, жирные кислоты; при обжарке — пиразины и фураны</x:v>
      </x:c>
      <x:c r="E85" s="28" t="str">
        <x:v>мягкая сладость; кокосовая вода минеральнее, мякоть и молоко жирнее</x:v>
      </x:c>
      <x:c r="F85" s="28" t="str">
        <x:v>кислотное покалывание зависит от плода; специальные эффекты указаны в паспорте</x:v>
      </x:c>
      <x:c r="G85" s="28" t="str">
        <x:v>богатая жиром эмульсия; хорошо растворяет гидрофобные терпены, специи и ароматические масла</x:v>
      </x:c>
      <x:c r="H85" s="28" t="str">
        <x:v>может приглушать кислоту и тонкие ароматы; при перегреве эмульсия расслаивается</x:v>
      </x:c>
      <x:c r="I85" s="28" t="n">
        <x:v>4</x:v>
      </x:c>
    </x:row>
    <x:row r="86" ht="50" customHeight="1">
      <x:c r="A86" s="28" t="str">
        <x:v>корица</x:v>
      </x:c>
      <x:c r="B86" s="28" t="str">
        <x:v>Специи и острые компоненты</x:v>
      </x:c>
      <x:c r="C86" s="28" t="str">
        <x:v>тёплый, древесный и сладко-пряный</x:v>
      </x:c>
      <x:c r="D86" s="28" t="str">
        <x:v>коричный альдегид, эвгенол</x:v>
      </x:c>
      <x:c r="E86" s="28" t="str">
        <x:v>горечь и пряная интенсивность; специи балансируют сладость</x:v>
      </x:c>
      <x:c r="F86" s="28" t="str">
        <x:v>капсаицин, пиперин, гингеролы и камфорные терпены создают жжение, тепло или охлаждение</x:v>
      </x:c>
      <x:c r="G86" s="28" t="str">
        <x:v>ароматические масла хорошо переходят в жир и этанол</x:v>
      </x:c>
      <x:c r="H86" s="28" t="str">
        <x:v>обжарка усиливает тёплые ноты, но пережаривание даёт горечь</x:v>
      </x:c>
      <x:c r="I86" s="28" t="n">
        <x:v>5</x:v>
      </x:c>
    </x:row>
    <x:row r="87" ht="50" customHeight="1">
      <x:c r="A87" s="28" t="str">
        <x:v>кофе</x:v>
      </x:c>
      <x:c r="B87" s="28" t="str">
        <x:v>Чай, кофе и какао</x:v>
      </x:c>
      <x:c r="C87" s="28" t="str">
        <x:v>жареный, шоколадный и дымный</x:v>
      </x:c>
      <x:c r="D87" s="28" t="str">
        <x:v>пиразины, фураны, гуаякол</x:v>
      </x:c>
      <x:c r="E87" s="28" t="str">
        <x:v>горечь, терпкость и жареная сладость</x:v>
      </x:c>
      <x:c r="F87" s="28" t="str">
        <x:v>кофеин и терпкость создают сухость, но прямой тройничный эффект умерен</x:v>
      </x:c>
      <x:c r="G87" s="28" t="str">
        <x:v>водные настои извлекают полифенолы; жир и сахар смягчают горечь</x:v>
      </x:c>
      <x:c r="H87" s="28" t="str">
        <x:v>степень обжарки или заваривания радикально меняет профиль</x:v>
      </x:c>
      <x:c r="I87" s="28" t="n">
        <x:v>1</x:v>
      </x:c>
    </x:row>
    <x:row r="88" ht="50" customHeight="1">
      <x:c r="A88" s="28" t="str">
        <x:v>краснокочанная капуста</x:v>
      </x:c>
      <x:c r="B88" s="28" t="str">
        <x:v>Овощи и корнеплоды</x:v>
      </x:c>
      <x:c r="C88" s="28" t="str">
        <x:v>зелёный, землистый, сладковатый или сернистый</x:v>
      </x:c>
      <x:c r="D88" s="28" t="str">
        <x:v>C6-альдегиды, метоксипиразины, терпены, сернистые соединения</x:v>
      </x:c>
      <x:c r="E88" s="28" t="str">
        <x:v>сладость, горечь, умами и вода</x:v>
      </x:c>
      <x:c r="F88" s="28" t="str">
        <x:v>зависит от продукта</x:v>
      </x:c>
      <x:c r="G88" s="28" t="str">
        <x:v>водная и клетчаточная матрица; обжарка усиливает сладость и Майяр</x:v>
      </x:c>
      <x:c r="H88" s="28" t="str"/>
      <x:c r="I88" s="28" t="n">
        <x:v>2</x:v>
      </x:c>
    </x:row>
    <x:row r="89" ht="50" customHeight="1">
      <x:c r="A89" s="28" t="str">
        <x:v>красный сладкий перец</x:v>
      </x:c>
      <x:c r="B89" s="28" t="str">
        <x:v>Специи</x:v>
      </x:c>
      <x:c r="C89" s="28" t="str">
        <x:v>древесный, пряный, тёплый</x:v>
      </x:c>
      <x:c r="D89" s="28" t="str">
        <x:v>коричный альдегид, терпены, эвгенол</x:v>
      </x:c>
      <x:c r="E89" s="28" t="str">
        <x:v>пряный, иногда горький</x:v>
      </x:c>
      <x:c r="F89" s="28" t="str">
        <x:v>обычно отсутствует; зависит от конкретного продукта</x:v>
      </x:c>
      <x:c r="G89" s="28" t="str">
        <x:v>эфирные масла хорошо извлекаются спиртом и жиром</x:v>
      </x:c>
      <x:c r="H89" s="28" t="str">
        <x:v>Справочный групповой профиль; для точного состава конкретного сорта или бренда нужен инструментальный анализ.</x:v>
      </x:c>
      <x:c r="I89" s="28" t="n">
        <x:v>2</x:v>
      </x:c>
    </x:row>
    <x:row r="90" ht="50" customHeight="1">
      <x:c r="A90" s="28" t="str">
        <x:v>красный хабанеро</x:v>
      </x:c>
      <x:c r="B90" s="28" t="str">
        <x:v>Специи и острые компоненты</x:v>
      </x:c>
      <x:c r="C90" s="28" t="str">
        <x:v>пряный, древесный, цветочный или жгучий</x:v>
      </x:c>
      <x:c r="D90" s="28" t="str">
        <x:v>эвгенол, циннамальдегид, анетол, терпены, капсаициноиды, пиперин</x:v>
      </x:c>
      <x:c r="E90" s="28" t="str">
        <x:v>горечь, сладковатость и острота</x:v>
      </x:c>
      <x:c r="F90" s="28" t="str">
        <x:v>выраженный: жжение, тепло или покалывание</x:v>
      </x:c>
      <x:c r="G90" s="28" t="str">
        <x:v>гидрофобные молекулы хорошо переходят в жир и этанол</x:v>
      </x:c>
      <x:c r="H90" s="28" t="str"/>
      <x:c r="I90" s="28" t="n">
        <x:v>1</x:v>
      </x:c>
    </x:row>
    <x:row r="91" ht="50" customHeight="1">
      <x:c r="A91" s="28" t="str">
        <x:v>кумкват</x:v>
      </x:c>
      <x:c r="B91" s="28" t="str">
        <x:v>Цитрусовые</x:v>
      </x:c>
      <x:c r="C91" s="28" t="str">
        <x:v>цитрусовый, свежий, зелёный и цветочный</x:v>
      </x:c>
      <x:c r="D91" s="28" t="str">
        <x:v>лимонен, цитраль, линалоол, γ-терпинен</x:v>
      </x:c>
      <x:c r="E91" s="28" t="str">
        <x:v>кислотность и эфирные масла создают свежесть и усиливают слюноотделение</x:v>
      </x:c>
      <x:c r="F91" s="28" t="str">
        <x:v>кислота даёт покалывание и ощущение свежести</x:v>
      </x:c>
      <x:c r="G91" s="28" t="str">
        <x:v>сок водный и кислый, цедра содержит гидрофобные эфирные масла</x:v>
      </x:c>
      <x:c r="H91" s="28" t="str">
        <x:v>сок лучше использовать свежим; цедра хорошо экстрагируется жиром и этанолом; белая часть даёт горечь</x:v>
      </x:c>
      <x:c r="I91" s="28" t="n">
        <x:v>1</x:v>
      </x:c>
    </x:row>
    <x:row r="92" ht="50" customHeight="1">
      <x:c r="A92" s="28" t="str">
        <x:v>куриный бульон</x:v>
      </x:c>
      <x:c r="B92" s="28" t="str">
        <x:v>Мясо и птица</x:v>
      </x:c>
      <x:c r="C92" s="28" t="str">
        <x:v>жареный, мясной, жирный, иногда копчёный и пряный</x:v>
      </x:c>
      <x:c r="D92" s="28" t="str">
        <x:v>пиразины, фураны, сернистые соединения, продукты Майяра, жирные альдегиды</x:v>
      </x:c>
      <x:c r="E92" s="28" t="str">
        <x:v>умами, соль и жир</x:v>
      </x:c>
      <x:c r="F92" s="28" t="str">
        <x:v>тепловой/пряный зависит от обработки</x:v>
      </x:c>
      <x:c r="G92" s="28" t="str">
        <x:v>жир удерживает фруктовые лактоны; белок смягчает кислотность</x:v>
      </x:c>
      <x:c r="H92" s="28" t="str"/>
      <x:c r="I92" s="28" t="n">
        <x:v>1</x:v>
      </x:c>
    </x:row>
    <x:row r="93" ht="50" customHeight="1">
      <x:c r="A93" s="28" t="str">
        <x:v>лаванда</x:v>
      </x:c>
      <x:c r="B93" s="28" t="str">
        <x:v>Травы и цветы</x:v>
      </x:c>
      <x:c r="C93" s="28" t="str">
        <x:v>зелёный, цветочный, травянистый и эфирно-масличный</x:v>
      </x:c>
      <x:c r="D93" s="28" t="str">
        <x:v>линалоол, гераниол, эвгенол, 1,8-цинеол</x:v>
      </x:c>
      <x:c r="E93" s="28" t="str">
        <x:v>обычно низкая сладость; возможны горечь и зелёная терпкость</x:v>
      </x:c>
      <x:c r="F93" s="28" t="str">
        <x:v>у мяты возможен холодящий эффект ментола; у некоторых трав — камфорность</x:v>
      </x:c>
      <x:c r="G93" s="28" t="str">
        <x:v>эфирные масла гидрофобны и лучше раскрываются в жире или этаноле</x:v>
      </x:c>
      <x:c r="H93" s="28" t="str">
        <x:v>короткая холодная экстракция сохраняет верхние ноты; длительный нагрев даёт горечь</x:v>
      </x:c>
      <x:c r="I93" s="28" t="n">
        <x:v>2</x:v>
      </x:c>
    </x:row>
    <x:row r="94" ht="50" customHeight="1">
      <x:c r="A94" s="28" t="str">
        <x:v>лайм</x:v>
      </x:c>
      <x:c r="B94" s="28" t="str">
        <x:v>Цитрусовые</x:v>
      </x:c>
      <x:c r="C94" s="28" t="str">
        <x:v>зелёный цитрусовый и терпкий</x:v>
      </x:c>
      <x:c r="D94" s="28" t="str">
        <x:v>лимонен, цитраль, γ-терпинен</x:v>
      </x:c>
      <x:c r="E94" s="28" t="str">
        <x:v>кислотность и эфирные масла создают свежесть и усиливают слюноотделение</x:v>
      </x:c>
      <x:c r="F94" s="28" t="str">
        <x:v>кислота даёт покалывание и ощущение свежести</x:v>
      </x:c>
      <x:c r="G94" s="28" t="str">
        <x:v>сок водный и кислый, цедра содержит гидрофобные эфирные масла</x:v>
      </x:c>
      <x:c r="H94" s="28" t="str">
        <x:v>сок лучше использовать свежим; цедра хорошо экстрагируется жиром и этанолом; белая часть даёт горечь</x:v>
      </x:c>
      <x:c r="I94" s="28" t="n">
        <x:v>1</x:v>
      </x:c>
    </x:row>
    <x:row r="95" ht="50" customHeight="1">
      <x:c r="A95" s="28" t="str">
        <x:v>лемонграсс</x:v>
      </x:c>
      <x:c r="B95" s="28" t="str">
        <x:v>Травы и цветы</x:v>
      </x:c>
      <x:c r="C95" s="28" t="str">
        <x:v>зелёный, цветочный, травянистый и эфирно-масличный</x:v>
      </x:c>
      <x:c r="D95" s="28" t="str">
        <x:v>линалоол, гераниол, эвгенол, 1,8-цинеол</x:v>
      </x:c>
      <x:c r="E95" s="28" t="str">
        <x:v>обычно низкая сладость; возможны горечь и зелёная терпкость</x:v>
      </x:c>
      <x:c r="F95" s="28" t="str">
        <x:v>у мяты возможен холодящий эффект ментола; у некоторых трав — камфорность</x:v>
      </x:c>
      <x:c r="G95" s="28" t="str">
        <x:v>эфирные масла гидрофобны и лучше раскрываются в жире или этаноле</x:v>
      </x:c>
      <x:c r="H95" s="28" t="str">
        <x:v>короткая холодная экстракция сохраняет верхние ноты; длительный нагрев даёт горечь</x:v>
      </x:c>
      <x:c r="I95" s="28" t="n">
        <x:v>3</x:v>
      </x:c>
    </x:row>
    <x:row r="96" ht="50" customHeight="1">
      <x:c r="A96" s="28" t="str">
        <x:v>ликер ириска</x:v>
      </x:c>
      <x:c r="B96" s="28" t="str">
        <x:v>Алкогольные напитки</x:v>
      </x:c>
      <x:c r="C96" s="28" t="str">
        <x:v>спиртовой, эфирный, фруктовый или древесный в зависимости от напитка</x:v>
      </x:c>
      <x:c r="D96" s="28" t="str">
        <x:v>этиловые эфиры, высшие спирты, ацетали; для выдержанных напитков — ванилин и дубовые лактоны</x:v>
      </x:c>
      <x:c r="E96" s="28" t="str">
        <x:v>этанол, возможная сладость, горечь и кислотность</x:v>
      </x:c>
      <x:c r="F96" s="28" t="str">
        <x:v>этанол даёт согревание</x:v>
      </x:c>
      <x:c r="G96" s="28" t="str">
        <x:v>этанол растворяет гидрофобные лактоны и терпены</x:v>
      </x:c>
      <x:c r="H96" s="28" t="str"/>
      <x:c r="I96" s="28" t="n">
        <x:v>2</x:v>
      </x:c>
    </x:row>
    <x:row r="97" ht="50" customHeight="1">
      <x:c r="A97" s="28" t="str">
        <x:v>лимон</x:v>
      </x:c>
      <x:c r="B97" s="28" t="str">
        <x:v>Цитрусовые</x:v>
      </x:c>
      <x:c r="C97" s="28" t="str">
        <x:v>яркий цитрусовый и свежий</x:v>
      </x:c>
      <x:c r="D97" s="28" t="str">
        <x:v>лимонен, цитраль, β-пинен</x:v>
      </x:c>
      <x:c r="E97" s="28" t="str">
        <x:v>кислотность и эфирные масла создают свежесть и усиливают слюноотделение</x:v>
      </x:c>
      <x:c r="F97" s="28" t="str">
        <x:v>кислота даёт покалывание и ощущение свежести</x:v>
      </x:c>
      <x:c r="G97" s="28" t="str">
        <x:v>сок водный и кислый, цедра содержит гидрофобные эфирные масла</x:v>
      </x:c>
      <x:c r="H97" s="28" t="str">
        <x:v>сок лучше использовать свежим; цедра хорошо экстрагируется жиром и этанолом; белая часть даёт горечь</x:v>
      </x:c>
      <x:c r="I97" s="28" t="n">
        <x:v>5</x:v>
      </x:c>
    </x:row>
    <x:row r="98" ht="50" customHeight="1">
      <x:c r="A98" s="28" t="str">
        <x:v>лист шисо</x:v>
      </x:c>
      <x:c r="B98" s="28" t="str">
        <x:v>Травы, листья и цветы</x:v>
      </x:c>
      <x:c r="C98" s="28" t="str">
        <x:v>зелёный, цветочный, цитрусовый или анисовый</x:v>
      </x:c>
      <x:c r="D98" s="28" t="str">
        <x:v>терпены, линалоол, гераниол, эвгенол, анетол, C6-альдегиды</x:v>
      </x:c>
      <x:c r="E98" s="28" t="str">
        <x:v>обычно слабая горечь и свежесть</x:v>
      </x:c>
      <x:c r="F98" s="28" t="str">
        <x:v>часто охлаждение/покалывание у мяты и хвои</x:v>
      </x:c>
      <x:c r="G98" s="28" t="str">
        <x:v>эфирные масла гидрофобны и лучше экстрагируются жиром или этанолом</x:v>
      </x:c>
      <x:c r="H98" s="28" t="str"/>
      <x:c r="I98" s="28" t="n">
        <x:v>2</x:v>
      </x:c>
    </x:row>
    <x:row r="99" ht="50" customHeight="1">
      <x:c r="A99" s="28" t="str">
        <x:v>листья кориандра</x:v>
      </x:c>
      <x:c r="B99" s="28" t="str">
        <x:v>Травы/пряности</x:v>
      </x:c>
      <x:c r="C99" s="28" t="str">
        <x:v>цитрусовый, зелёный, цветочный</x:v>
      </x:c>
      <x:c r="D99" s="28" t="str">
        <x:v>линалол, деканаль, додеканаль</x:v>
      </x:c>
      <x:c r="E99" s="28" t="str">
        <x:v>травяной, слегка горький</x:v>
      </x:c>
      <x:c r="F99" s="28" t="str">
        <x:v>нет выраженного</x:v>
      </x:c>
      <x:c r="G99" s="28" t="str">
        <x:v>листья чувствительны к нагреву; семена устойчивее и слаще</x:v>
      </x:c>
      <x:c r="H99" s="28" t="str">
        <x:v>Линалоол создаёт прямой ароматический мост с цитрусами.</x:v>
      </x:c>
      <x:c r="I99" s="28" t="n">
        <x:v>3</x:v>
      </x:c>
    </x:row>
    <x:row r="100" ht="50" customHeight="1">
      <x:c r="A100" s="28" t="str">
        <x:v>листья пажитника</x:v>
      </x:c>
      <x:c r="B100" s="28" t="str">
        <x:v>Травы и цветы</x:v>
      </x:c>
      <x:c r="C100" s="28" t="str">
        <x:v>зелёный, цветочный, травянистый и эфирно-масличный</x:v>
      </x:c>
      <x:c r="D100" s="28" t="str">
        <x:v>линалоол, гераниол, эвгенол, 1,8-цинеол</x:v>
      </x:c>
      <x:c r="E100" s="28" t="str">
        <x:v>обычно низкая сладость; возможны горечь и зелёная терпкость</x:v>
      </x:c>
      <x:c r="F100" s="28" t="str">
        <x:v>у мяты возможен холодящий эффект ментола; у некоторых трав — камфорность</x:v>
      </x:c>
      <x:c r="G100" s="28" t="str">
        <x:v>эфирные масла гидрофобны и лучше раскрываются в жире или этаноле</x:v>
      </x:c>
      <x:c r="H100" s="28" t="str">
        <x:v>короткая холодная экстракция сохраняет верхние ноты; длительный нагрев даёт горечь</x:v>
      </x:c>
      <x:c r="I100" s="28" t="n">
        <x:v>2</x:v>
      </x:c>
    </x:row>
    <x:row r="101" ht="50" customHeight="1">
      <x:c r="A101" s="28" t="str">
        <x:v>личи</x:v>
      </x:c>
      <x:c r="B101" s="28" t="str">
        <x:v>Тропические фрукты</x:v>
      </x:c>
      <x:c r="C101" s="28" t="str">
        <x:v>розовый, цветочный, виноградный и цитрусовый</x:v>
      </x:c>
      <x:c r="D101" s="28" t="str">
        <x:v>цис- и транс-розовый оксид, линалоол, гераниол, цитронеллол</x:v>
      </x:c>
      <x:c r="E101" s="28" t="str">
        <x:v>чистая сладость, мягкая кислотность</x:v>
      </x:c>
      <x:c r="F101" s="28" t="str">
        <x:v>кислотное покалывание зависит от плода; специальные эффекты указаны в паспорте</x:v>
      </x:c>
      <x:c r="G101" s="28" t="str">
        <x:v>водная; цветочные терпены чувствительны к нагреву</x:v>
      </x:c>
      <x:c r="H101" s="28" t="str">
        <x:v>сильные специи и перегрев делают аромат парфюмерным или плоским</x:v>
      </x:c>
      <x:c r="I101" s="28" t="n">
        <x:v>2</x:v>
      </x:c>
    </x:row>
    <x:row r="102" ht="50" customHeight="1">
      <x:c r="A102" s="28" t="str">
        <x:v>макадамия</x:v>
      </x:c>
      <x:c r="B102" s="28" t="str">
        <x:v>Орехи и семена</x:v>
      </x:c>
      <x:c r="C102" s="28" t="str">
        <x:v>ореховый, жареный, маслянистый и иногда миндальный</x:v>
      </x:c>
      <x:c r="D102" s="28" t="str">
        <x:v>пиразины, бензальдегид, филбертон, жирные альдегиды</x:v>
      </x:c>
      <x:c r="E102" s="28" t="str">
        <x:v>жирность, лёгкая сладость и горечь кожицы</x:v>
      </x:c>
      <x:c r="F102" s="28" t="str">
        <x:v>обычно отсутствует</x:v>
      </x:c>
      <x:c r="G102" s="28" t="str">
        <x:v>высокое содержание жира удерживает гидрофобные ароматические молекулы</x:v>
      </x:c>
      <x:c r="H102" s="28" t="str">
        <x:v>обжарка формирует пиразины и продукты Майяра; прогоркание создаёт картонные и мыльные ноты</x:v>
      </x:c>
      <x:c r="I102" s="28" t="n">
        <x:v>2</x:v>
      </x:c>
    </x:row>
    <x:row r="103" ht="50" customHeight="1">
      <x:c r="A103" s="28" t="str">
        <x:v>малина</x:v>
      </x:c>
      <x:c r="B103" s="28" t="str">
        <x:v>Ягоды</x:v>
      </x:c>
      <x:c r="C103" s="28" t="str">
        <x:v>красно-фруктовый, цветочный, зелёный и иногда сернистый</x:v>
      </x:c>
      <x:c r="D103" s="28" t="str">
        <x:v>фуранеол, эфиры, иононы, зелёные альдегиды</x:v>
      </x:c>
      <x:c r="E103" s="28" t="str">
        <x:v>сочетание сладости, кислотности и иногда терпкости</x:v>
      </x:c>
      <x:c r="F103" s="28" t="str">
        <x:v>обычно слабый; кислота усиливает свежесть</x:v>
      </x:c>
      <x:c r="G103" s="28" t="str">
        <x:v>водная пектиновая; антоцианы влияют на цвет, но не являются главными одорантами</x:v>
      </x:c>
      <x:c r="H103" s="28" t="str">
        <x:v>заморозка разрушает клетки и облегчает экстракцию; нагрев переводит профиль в джемовый</x:v>
      </x:c>
      <x:c r="I103" s="28" t="n">
        <x:v>4</x:v>
      </x:c>
    </x:row>
    <x:row r="104" ht="50" customHeight="1">
      <x:c r="A104" s="28" t="str">
        <x:v>манго</x:v>
      </x:c>
      <x:c r="B104" s="28" t="str">
        <x:v>Тропические фрукты</x:v>
      </x:c>
      <x:c r="C104" s="28" t="str">
        <x:v>тропический, смолистый, цитрусовый, цветочный, сливочный; сильно зависит от сорта</x:v>
      </x:c>
      <x:c r="D104" s="28" t="str">
        <x:v>δ-3-карен, лимонен, мирцен, линалоол, γ- и δ-лактоны, фруктовые эфиры</x:v>
      </x:c>
      <x:c r="E104" s="28" t="str">
        <x:v>высокая сладость, умеренная кислотность, иногда смолистая горечь кожицы</x:v>
      </x:c>
      <x:c r="F104" s="28" t="str">
        <x:v>кислотное покалывание зависит от плода; специальные эффекты указаны в паспорте</x:v>
      </x:c>
      <x:c r="G104" s="28" t="str">
        <x:v>мякоть вязкая и богатая каротиноидами; ароматические терпены и лактоны хорошо переходят в жир и этанол</x:v>
      </x:c>
      <x:c r="H104" s="28" t="str">
        <x:v>кожица и сок могут давать смолистую горечь; слишком сладкие партнёры делают сочетание тяжёлым</x:v>
      </x:c>
      <x:c r="I104" s="28" t="n">
        <x:v>2</x:v>
      </x:c>
    </x:row>
    <x:row r="105" ht="50" customHeight="1">
      <x:c r="A105" s="28" t="str">
        <x:v>мандарин</x:v>
      </x:c>
      <x:c r="B105" s="28" t="str">
        <x:v>Цитрусовые</x:v>
      </x:c>
      <x:c r="C105" s="28" t="str">
        <x:v>цитрусовый, свежий, зелёный и цветочный</x:v>
      </x:c>
      <x:c r="D105" s="28" t="str">
        <x:v>лимонен, цитраль, линалоол, γ-терпинен</x:v>
      </x:c>
      <x:c r="E105" s="28" t="str">
        <x:v>кислотность и эфирные масла создают свежесть и усиливают слюноотделение</x:v>
      </x:c>
      <x:c r="F105" s="28" t="str">
        <x:v>кислота даёт покалывание и ощущение свежести</x:v>
      </x:c>
      <x:c r="G105" s="28" t="str">
        <x:v>сок водный и кислый, цедра содержит гидрофобные эфирные масла</x:v>
      </x:c>
      <x:c r="H105" s="28" t="str">
        <x:v>сок лучше использовать свежим; цедра хорошо экстрагируется жиром и этанолом; белая часть даёт горечь</x:v>
      </x:c>
      <x:c r="I105" s="28" t="n">
        <x:v>2</x:v>
      </x:c>
    </x:row>
    <x:row r="106" ht="50" customHeight="1">
      <x:c r="A106" s="28" t="str">
        <x:v>мед</x:v>
      </x:c>
      <x:c r="B106" s="28" t="str">
        <x:v>Сахара, мёд и кондитерские основы</x:v>
      </x:c>
      <x:c r="C106" s="28" t="str">
        <x:v>цветочный, восковой и карамельный</x:v>
      </x:c>
      <x:c r="D106" s="28" t="str">
        <x:v>фенилуксусная кислота, фураны, терпены, зависящие от ботанического происхождения</x:v>
      </x:c>
      <x:c r="E106" s="28" t="str">
        <x:v>высокая сладость</x:v>
      </x:c>
      <x:c r="F106" s="28" t="str">
        <x:v>отсутствует</x:v>
      </x:c>
      <x:c r="G106" s="28" t="str">
        <x:v>вязкая сахарная; снижает летучесть и смягчает кислоту</x:v>
      </x:c>
      <x:c r="H106" s="28" t="str">
        <x:v>карамелизация создаёт горько-жареные ноты; перегрев даёт жжёную горечь</x:v>
      </x:c>
      <x:c r="I106" s="28" t="n">
        <x:v>5</x:v>
      </x:c>
    </x:row>
    <x:row r="107" ht="50" customHeight="1">
      <x:c r="A107" s="28" t="str">
        <x:v>миндаль</x:v>
      </x:c>
      <x:c r="B107" s="28" t="str">
        <x:v>Орехи и семена</x:v>
      </x:c>
      <x:c r="C107" s="28" t="str">
        <x:v>марципановый и ореховый</x:v>
      </x:c>
      <x:c r="D107" s="28" t="str">
        <x:v>бензальдегид, пиразины после обжарки</x:v>
      </x:c>
      <x:c r="E107" s="28" t="str">
        <x:v>жирность, лёгкая сладость и горечь кожицы</x:v>
      </x:c>
      <x:c r="F107" s="28" t="str">
        <x:v>обычно отсутствует</x:v>
      </x:c>
      <x:c r="G107" s="28" t="str">
        <x:v>высокое содержание жира удерживает гидрофобные ароматические молекулы</x:v>
      </x:c>
      <x:c r="H107" s="28" t="str">
        <x:v>обжарка формирует пиразины и продукты Майяра; прогоркание создаёт картонные и мыльные ноты</x:v>
      </x:c>
      <x:c r="I107" s="28" t="n">
        <x:v>5</x:v>
      </x:c>
    </x:row>
    <x:row r="108" ht="50" customHeight="1">
      <x:c r="A108" s="28" t="str">
        <x:v>мирабель</x:v>
      </x:c>
      <x:c r="B108" s="28" t="str">
        <x:v>Косточковые фрукты</x:v>
      </x:c>
      <x:c r="C108" s="28" t="str">
        <x:v>медовый, цветочный, сливовый, винный и слегка миндальный</x:v>
      </x:c>
      <x:c r="D108" s="28" t="str">
        <x:v>фруктовые эфиры, линалоол, бензальдегид, лактоны, дамасценон</x:v>
      </x:c>
      <x:c r="E108" s="28" t="str">
        <x:v>выраженная сладость и умеренная кислотность</x:v>
      </x:c>
      <x:c r="F108" s="28" t="str">
        <x:v>слабый</x:v>
      </x:c>
      <x:c r="G108" s="28" t="str">
        <x:v>сочная пектиновая мякоть; особенно хорошо переносит дистилляцию и ферментацию</x:v>
      </x:c>
      <x:c r="H108" s="28" t="str">
        <x:v>нагрев усиливает мёд и джем; ферментация и дистилляция подчёркивают эфирный сливовый профиль</x:v>
      </x:c>
      <x:c r="I108" s="28" t="n">
        <x:v>1</x:v>
      </x:c>
    </x:row>
    <x:row r="109" ht="50" customHeight="1">
      <x:c r="A109" s="28" t="str">
        <x:v>момбин желтый</x:v>
      </x:c>
      <x:c r="B109" s="28" t="str">
        <x:v>Фрукты</x:v>
      </x:c>
      <x:c r="C109" s="28" t="str">
        <x:v>фруктовый, цветочный, зелёный или тропический</x:v>
      </x:c>
      <x:c r="D109" s="28" t="str">
        <x:v>фруктовые эфиры, терпены, альдегиды и лактоны</x:v>
      </x:c>
      <x:c r="E109" s="28" t="str">
        <x:v>сладость и фруктовая кислотность</x:v>
      </x:c>
      <x:c r="F109" s="28" t="str">
        <x:v>обычно слабый</x:v>
      </x:c>
      <x:c r="G109" s="28" t="str">
        <x:v>преимущественно водно-пектиновая матрица</x:v>
      </x:c>
      <x:c r="H109" s="28" t="str"/>
      <x:c r="I109" s="28" t="n">
        <x:v>2</x:v>
      </x:c>
    </x:row>
    <x:row r="110" ht="50" customHeight="1">
      <x:c r="A110" s="28" t="str">
        <x:v>моцарелла из коровьего молока</x:v>
      </x:c>
      <x:c r="B110" s="28" t="str">
        <x:v>Сыры и молочные продукты</x:v>
      </x:c>
      <x:c r="C110" s="28" t="str">
        <x:v>сливочный, молочный, ферментированный, иногда ореховый или пикантный</x:v>
      </x:c>
      <x:c r="D110" s="28" t="str">
        <x:v>лактоны, диацетил, жирные кислоты, сернистые и аминокислотные продукты ферментации</x:v>
      </x:c>
      <x:c r="E110" s="28" t="str">
        <x:v>жирность, соль, кислотность и умами</x:v>
      </x:c>
      <x:c r="F110" s="28" t="str">
        <x:v>нет выраженного</x:v>
      </x:c>
      <x:c r="G110" s="28" t="str">
        <x:v>жировая и белковая матрица удерживает гидрофобные ароматы</x:v>
      </x:c>
      <x:c r="H110" s="28" t="str"/>
      <x:c r="I110" s="28" t="n">
        <x:v>2</x:v>
      </x:c>
    </x:row>
    <x:row r="111" ht="50" customHeight="1">
      <x:c r="A111" s="28" t="str">
        <x:v>мускатный орех</x:v>
      </x:c>
      <x:c r="B111" s="28" t="str">
        <x:v>Орехи и семена</x:v>
      </x:c>
      <x:c r="C111" s="28" t="str">
        <x:v>ореховый, жареный, маслянистый и иногда миндальный</x:v>
      </x:c>
      <x:c r="D111" s="28" t="str">
        <x:v>пиразины, бензальдегид, филбертон, жирные альдегиды</x:v>
      </x:c>
      <x:c r="E111" s="28" t="str">
        <x:v>жирность, лёгкая сладость и горечь кожицы</x:v>
      </x:c>
      <x:c r="F111" s="28" t="str">
        <x:v>обычно отсутствует</x:v>
      </x:c>
      <x:c r="G111" s="28" t="str">
        <x:v>высокое содержание жира удерживает гидрофобные ароматические молекулы</x:v>
      </x:c>
      <x:c r="H111" s="28" t="str">
        <x:v>обжарка формирует пиразины и продукты Майяра; прогоркание создаёт картонные и мыльные ноты</x:v>
      </x:c>
      <x:c r="I111" s="28" t="n">
        <x:v>3</x:v>
      </x:c>
    </x:row>
    <x:row r="112" ht="50" customHeight="1">
      <x:c r="A112" s="28" t="str">
        <x:v>мушмула японская</x:v>
      </x:c>
      <x:c r="B112" s="28" t="str">
        <x:v>Фрукты</x:v>
      </x:c>
      <x:c r="C112" s="28" t="str">
        <x:v>фруктовый, цветочный, зелёный или тропический</x:v>
      </x:c>
      <x:c r="D112" s="28" t="str">
        <x:v>фруктовые эфиры, терпены, альдегиды и лактоны</x:v>
      </x:c>
      <x:c r="E112" s="28" t="str">
        <x:v>сладость и фруктовая кислотность</x:v>
      </x:c>
      <x:c r="F112" s="28" t="str">
        <x:v>обычно слабый</x:v>
      </x:c>
      <x:c r="G112" s="28" t="str">
        <x:v>преимущественно водно-пектиновая матрица</x:v>
      </x:c>
      <x:c r="H112" s="28" t="str"/>
      <x:c r="I112" s="28" t="n">
        <x:v>2</x:v>
      </x:c>
    </x:row>
    <x:row r="113" ht="50" customHeight="1">
      <x:c r="A113" s="28" t="str">
        <x:v>мята</x:v>
      </x:c>
      <x:c r="B113" s="28" t="str">
        <x:v>Травы и цветы</x:v>
      </x:c>
      <x:c r="C113" s="28" t="str">
        <x:v>свежий мятный</x:v>
      </x:c>
      <x:c r="D113" s="28" t="str">
        <x:v>ментол, ментон</x:v>
      </x:c>
      <x:c r="E113" s="28" t="str">
        <x:v>обычно низкая сладость; возможны горечь и зелёная терпкость</x:v>
      </x:c>
      <x:c r="F113" s="28" t="str">
        <x:v>ментол активирует холодовые рецепторы</x:v>
      </x:c>
      <x:c r="G113" s="28" t="str">
        <x:v>эфирные масла гидрофобны и лучше раскрываются в жире или этаноле</x:v>
      </x:c>
      <x:c r="H113" s="28" t="str">
        <x:v>короткая холодная экстракция сохраняет верхние ноты; длительный нагрев даёт горечь</x:v>
      </x:c>
      <x:c r="I113" s="28" t="n">
        <x:v>5</x:v>
      </x:c>
    </x:row>
    <x:row r="114" ht="50" customHeight="1">
      <x:c r="A114" s="28" t="str">
        <x:v>нектарин</x:v>
      </x:c>
      <x:c r="B114" s="28" t="str">
        <x:v>Косточковые фрукты</x:v>
      </x:c>
      <x:c r="C114" s="28" t="str">
        <x:v>персиковый, фруктовый, цветочный, зелёный, сливочно-лактонный</x:v>
      </x:c>
      <x:c r="D114" s="28" t="str">
        <x:v>γ- и δ-декалактон, γ- и δ-додекалактон, фруктовые эфиры, линалоол, бензальдегид, C6-альдегиды</x:v>
      </x:c>
      <x:c r="E114" s="28" t="str">
        <x:v>сладкий, сочный, с умеренной кислотностью; профиль близок к персику, но кожица гладкая и часто более ярко-фруктовая</x:v>
      </x:c>
      <x:c r="F114" s="28" t="str">
        <x:v>слабый; кислотность усиливает свежесть</x:v>
      </x:c>
      <x:c r="G114" s="28" t="str">
        <x:v>водно-пектиновая; гидрофобные лактоны лучше проявляются в жире и этаноле</x:v>
      </x:c>
      <x:c r="H114" s="28" t="str">
        <x:v>нагрев делает профиль джемовым и сглаживает различия между нектарином и персиком</x:v>
      </x:c>
      <x:c r="I114" s="28" t="n">
        <x:v>133</x:v>
      </x:c>
    </x:row>
    <x:row r="115" ht="50" customHeight="1">
      <x:c r="A115" s="28" t="str">
        <x:v>обжаренные миндальные лепестки</x:v>
      </x:c>
      <x:c r="B115" s="28" t="str">
        <x:v>Орехи и семена</x:v>
      </x:c>
      <x:c r="C115" s="28" t="str">
        <x:v>ореховый, жареный, древесный, иногда миндальный</x:v>
      </x:c>
      <x:c r="D115" s="28" t="str">
        <x:v>бензальдегид, пиразины, фураны, лактоны и липидные альдегиды</x:v>
      </x:c>
      <x:c r="E115" s="28" t="str">
        <x:v>жирность, сладость, лёгкая горечь</x:v>
      </x:c>
      <x:c r="F115" s="28" t="str">
        <x:v>нет выраженного</x:v>
      </x:c>
      <x:c r="G115" s="28" t="str">
        <x:v>жировая матрица удерживает лактоны и округляет кислотность</x:v>
      </x:c>
      <x:c r="H115" s="28" t="str"/>
      <x:c r="I115" s="28" t="n">
        <x:v>2</x:v>
      </x:c>
    </x:row>
    <x:row r="116" ht="50" customHeight="1">
      <x:c r="A116" s="28" t="str">
        <x:v>обжаренный bacon</x:v>
      </x:c>
      <x:c r="B116" s="28" t="str">
        <x:v>Прочее</x:v>
      </x:c>
      <x:c r="C116" s="28" t="str">
        <x:v>комплексный</x:v>
      </x:c>
      <x:c r="D116" s="28" t="str">
        <x:v>не конкретизированы</x:v>
      </x:c>
      <x:c r="E116" s="28" t="str">
        <x:v>зависит от ингредиента</x:v>
      </x:c>
      <x:c r="F116" s="28" t="str">
        <x:v>обычно отсутствует; зависит от конкретного продукта</x:v>
      </x:c>
      <x:c r="G116" s="28" t="str">
        <x:v>механизм зависит от конкретного продукта</x:v>
      </x:c>
      <x:c r="H116" s="28" t="str">
        <x:v>Справочный групповой профиль; для точного состава конкретного сорта или бренда нужен инструментальный анализ.</x:v>
      </x:c>
      <x:c r="I116" s="28" t="n">
        <x:v>2</x:v>
      </x:c>
    </x:row>
    <x:row r="117" ht="50" customHeight="1">
      <x:c r="A117" s="28" t="str">
        <x:v>обжаренный duck breast</x:v>
      </x:c>
      <x:c r="B117" s="28" t="str">
        <x:v>Прочее</x:v>
      </x:c>
      <x:c r="C117" s="28" t="str">
        <x:v>комплексный</x:v>
      </x:c>
      <x:c r="D117" s="28" t="str">
        <x:v>не конкретизированы</x:v>
      </x:c>
      <x:c r="E117" s="28" t="str">
        <x:v>зависит от ингредиента</x:v>
      </x:c>
      <x:c r="F117" s="28" t="str">
        <x:v>обычно отсутствует; зависит от конкретного продукта</x:v>
      </x:c>
      <x:c r="G117" s="28" t="str">
        <x:v>механизм зависит от конкретного продукта</x:v>
      </x:c>
      <x:c r="H117" s="28" t="str">
        <x:v>Справочный групповой профиль; для точного состава конкретного сорта или бренда нужен инструментальный анализ.</x:v>
      </x:c>
      <x:c r="I117" s="28" t="n">
        <x:v>2</x:v>
      </x:c>
    </x:row>
    <x:row r="118" ht="50" customHeight="1">
      <x:c r="A118" s="28" t="str">
        <x:v>обжаренный кунжут</x:v>
      </x:c>
      <x:c r="B118" s="28" t="str">
        <x:v>Орехи и семена</x:v>
      </x:c>
      <x:c r="C118" s="28" t="str">
        <x:v>ореховый, жареный, древесный, иногда миндальный</x:v>
      </x:c>
      <x:c r="D118" s="28" t="str">
        <x:v>бензальдегид, пиразины, фураны, лактоны и липидные альдегиды</x:v>
      </x:c>
      <x:c r="E118" s="28" t="str">
        <x:v>жирность, сладость, лёгкая горечь</x:v>
      </x:c>
      <x:c r="F118" s="28" t="str">
        <x:v>нет выраженного</x:v>
      </x:c>
      <x:c r="G118" s="28" t="str">
        <x:v>жировая матрица удерживает лактоны и округляет кислотность</x:v>
      </x:c>
      <x:c r="H118" s="28" t="str"/>
      <x:c r="I118" s="28" t="n">
        <x:v>2</x:v>
      </x:c>
    </x:row>
    <x:row r="119" ht="50" customHeight="1">
      <x:c r="A119" s="28" t="str">
        <x:v>обжаренный страус</x:v>
      </x:c>
      <x:c r="B119" s="28" t="str">
        <x:v>Мясо и птица</x:v>
      </x:c>
      <x:c r="C119" s="28" t="str">
        <x:v>жареный, мясной, сернистый, жирный</x:v>
      </x:c>
      <x:c r="D119" s="28" t="str">
        <x:v>пиразины, тиазолы, альдегиды жиров, сернистые соединения</x:v>
      </x:c>
      <x:c r="E119" s="28" t="str">
        <x:v>умами, солёный, жирный</x:v>
      </x:c>
      <x:c r="F119" s="28" t="str">
        <x:v>нет выраженного</x:v>
      </x:c>
      <x:c r="G119" s="28" t="str">
        <x:v>жир удерживает терпеновые масла; кислота снижает ощущение жирности</x:v>
      </x:c>
      <x:c r="H119" s="28" t="str">
        <x:v>Цитрус создаёт контраст с реакциями Майяра и освежает мясную матрицу.</x:v>
      </x:c>
      <x:c r="I119" s="28" t="n">
        <x:v>2</x:v>
      </x:c>
    </x:row>
    <x:row r="120" ht="50" customHeight="1">
      <x:c r="A120" s="28" t="str">
        <x:v>оливковое масло</x:v>
      </x:c>
      <x:c r="B120" s="28" t="str">
        <x:v>Молочные продукты и сыры</x:v>
      </x:c>
      <x:c r="C120" s="28" t="str">
        <x:v>масляный, молочный, сливочный, сырный</x:v>
      </x:c>
      <x:c r="D120" s="28" t="str">
        <x:v>диацетил, жирные кислоты, лактоны</x:v>
      </x:c>
      <x:c r="E120" s="28" t="str">
        <x:v>жирный, кислый/солёный</x:v>
      </x:c>
      <x:c r="F120" s="28" t="str">
        <x:v>обычно отсутствует; зависит от конкретного продукта</x:v>
      </x:c>
      <x:c r="G120" s="28" t="str">
        <x:v>жировая и белковая матрица смягчает кислотность</x:v>
      </x:c>
      <x:c r="H120" s="28" t="str">
        <x:v>Справочный групповой профиль; для точного состава конкретного сорта или бренда нужен инструментальный анализ.</x:v>
      </x:c>
      <x:c r="I120" s="28" t="n">
        <x:v>4</x:v>
      </x:c>
    </x:row>
    <x:row r="121" ht="50" customHeight="1">
      <x:c r="A121" s="28" t="str">
        <x:v>оливковое масло арбекина</x:v>
      </x:c>
      <x:c r="B121" s="28" t="str">
        <x:v>Прочее</x:v>
      </x:c>
      <x:c r="C121" s="28" t="str">
        <x:v>комплексный профиль, зависящий от продукта</x:v>
      </x:c>
      <x:c r="D121" s="28" t="str">
        <x:v>нужен профиль конкретного ингредиента</x:v>
      </x:c>
      <x:c r="E121" s="28" t="str">
        <x:v>баланс зависит от продукта</x:v>
      </x:c>
      <x:c r="F121" s="28" t="str">
        <x:v>нет данных</x:v>
      </x:c>
      <x:c r="G121" s="28" t="str">
        <x:v>матрица зависит от формы продукта</x:v>
      </x:c>
      <x:c r="H121" s="28" t="str"/>
      <x:c r="I121" s="28" t="n">
        <x:v>2</x:v>
      </x:c>
    </x:row>
    <x:row r="122" ht="50" customHeight="1">
      <x:c r="A122" s="28" t="str">
        <x:v>отварная или запеченная свекла</x:v>
      </x:c>
      <x:c r="B122" s="28" t="str">
        <x:v>Овощи и корнеплоды</x:v>
      </x:c>
      <x:c r="C122" s="28" t="str">
        <x:v>зелёный, землистый, сладковатый или сернистый</x:v>
      </x:c>
      <x:c r="D122" s="28" t="str">
        <x:v>C6-альдегиды, метоксипиразины, терпены, сернистые соединения</x:v>
      </x:c>
      <x:c r="E122" s="28" t="str">
        <x:v>сладость, горечь, умами и вода</x:v>
      </x:c>
      <x:c r="F122" s="28" t="str">
        <x:v>зависит от продукта</x:v>
      </x:c>
      <x:c r="G122" s="28" t="str">
        <x:v>водная и клетчаточная матрица; обжарка усиливает сладость и Майяр</x:v>
      </x:c>
      <x:c r="H122" s="28" t="str"/>
      <x:c r="I122" s="28" t="n">
        <x:v>2</x:v>
      </x:c>
    </x:row>
    <x:row r="123" ht="50" customHeight="1">
      <x:c r="A123" s="28" t="str">
        <x:v>отварная морковь</x:v>
      </x:c>
      <x:c r="B123" s="28" t="str">
        <x:v>Овощи</x:v>
      </x:c>
      <x:c r="C123" s="28" t="str">
        <x:v>зелёный, землистый, растительный, иногда сернистый</x:v>
      </x:c>
      <x:c r="D123" s="28" t="str">
        <x:v>C6-альдегиды, метоксипиразины, геосмин (землистые), сернистые соединения</x:v>
      </x:c>
      <x:c r="E123" s="28" t="str">
        <x:v>сладковатый, горьковатый, умами</x:v>
      </x:c>
      <x:c r="F123" s="28" t="str">
        <x:v>нет выраженного</x:v>
      </x:c>
      <x:c r="G123" s="28" t="str">
        <x:v>водная/крахмальная матрица; масло помогает распределить цедру</x:v>
      </x:c>
      <x:c r="H123" s="28" t="str">
        <x:v>Кислота подчёркивает сладость овощей и сокращает землистое или сернистое послевкусие.</x:v>
      </x:c>
      <x:c r="I123" s="28" t="n">
        <x:v>2</x:v>
      </x:c>
    </x:row>
    <x:row r="124" ht="50" customHeight="1">
      <x:c r="A124" s="28" t="str">
        <x:v>отварная паста</x:v>
      </x:c>
      <x:c r="B124" s="28" t="str">
        <x:v>Злаки и выпечка</x:v>
      </x:c>
      <x:c r="C124" s="28" t="str">
        <x:v>хлебный, зерновой, жареный, сливочный</x:v>
      </x:c>
      <x:c r="D124" s="28" t="str">
        <x:v>пиразины, фураны, мальтол, продукты Майяра</x:v>
      </x:c>
      <x:c r="E124" s="28" t="str">
        <x:v>крахмал, сладость и соль</x:v>
      </x:c>
      <x:c r="F124" s="28" t="str">
        <x:v>нет выраженного</x:v>
      </x:c>
      <x:c r="G124" s="28" t="str">
        <x:v>крахмальная матрица приглушает кислоту и распределяет аромат</x:v>
      </x:c>
      <x:c r="H124" s="28" t="str"/>
      <x:c r="I124" s="28" t="n">
        <x:v>2</x:v>
      </x:c>
    </x:row>
    <x:row r="125" ht="50" customHeight="1">
      <x:c r="A125" s="28" t="str">
        <x:v>отварная полба</x:v>
      </x:c>
      <x:c r="B125" s="28" t="str">
        <x:v>Злаки и выпечка</x:v>
      </x:c>
      <x:c r="C125" s="28" t="str">
        <x:v>хлебный, зерновой, жареный, сливочный</x:v>
      </x:c>
      <x:c r="D125" s="28" t="str">
        <x:v>пиразины, фураны, мальтол, продукты Майяра</x:v>
      </x:c>
      <x:c r="E125" s="28" t="str">
        <x:v>крахмал, сладость и соль</x:v>
      </x:c>
      <x:c r="F125" s="28" t="str">
        <x:v>нет выраженного</x:v>
      </x:c>
      <x:c r="G125" s="28" t="str">
        <x:v>крахмальная матрица приглушает кислоту и распределяет аромат</x:v>
      </x:c>
      <x:c r="H125" s="28" t="str"/>
      <x:c r="I125" s="28" t="n">
        <x:v>2</x:v>
      </x:c>
    </x:row>
    <x:row r="126" ht="50" customHeight="1">
      <x:c r="A126" s="28" t="str">
        <x:v>отварная стручковая фасоль</x:v>
      </x:c>
      <x:c r="B126" s="28" t="str">
        <x:v>Овощи и корнеплоды</x:v>
      </x:c>
      <x:c r="C126" s="28" t="str">
        <x:v>зелёный, землистый, сладковатый или сернистый</x:v>
      </x:c>
      <x:c r="D126" s="28" t="str">
        <x:v>C6-альдегиды, метоксипиразины, терпены, сернистые соединения</x:v>
      </x:c>
      <x:c r="E126" s="28" t="str">
        <x:v>сладость, горечь, умами и вода</x:v>
      </x:c>
      <x:c r="F126" s="28" t="str">
        <x:v>зависит от продукта</x:v>
      </x:c>
      <x:c r="G126" s="28" t="str">
        <x:v>водная и клетчаточная матрица; обжарка усиливает сладость и Майяр</x:v>
      </x:c>
      <x:c r="H126" s="28" t="str"/>
      <x:c r="I126" s="28" t="n">
        <x:v>2</x:v>
      </x:c>
    </x:row>
    <x:row r="127" ht="50" customHeight="1">
      <x:c r="A127" s="28" t="str">
        <x:v>отварная тыква</x:v>
      </x:c>
      <x:c r="B127" s="28" t="str">
        <x:v>Овощи и корнеплоды</x:v>
      </x:c>
      <x:c r="C127" s="28" t="str">
        <x:v>зелёный, землистый, сладковатый или сернистый</x:v>
      </x:c>
      <x:c r="D127" s="28" t="str">
        <x:v>C6-альдегиды, метоксипиразины, терпены, сернистые соединения</x:v>
      </x:c>
      <x:c r="E127" s="28" t="str">
        <x:v>сладость, горечь, умами и вода</x:v>
      </x:c>
      <x:c r="F127" s="28" t="str">
        <x:v>зависит от продукта</x:v>
      </x:c>
      <x:c r="G127" s="28" t="str">
        <x:v>водная и клетчаточная матрица; обжарка усиливает сладость и Майяр</x:v>
      </x:c>
      <x:c r="H127" s="28" t="str"/>
      <x:c r="I127" s="28" t="n">
        <x:v>2</x:v>
      </x:c>
    </x:row>
    <x:row r="128" ht="50" customHeight="1">
      <x:c r="A128" s="28" t="str">
        <x:v>отварное мясо бурого краба</x:v>
      </x:c>
      <x:c r="B128" s="28" t="str">
        <x:v>Мясо и птица</x:v>
      </x:c>
      <x:c r="C128" s="28" t="str">
        <x:v>жареный, мясной, жирный, иногда копчёный и пряный</x:v>
      </x:c>
      <x:c r="D128" s="28" t="str">
        <x:v>пиразины, фураны, сернистые соединения, продукты Майяра, жирные альдегиды</x:v>
      </x:c>
      <x:c r="E128" s="28" t="str">
        <x:v>умами, соль и жир</x:v>
      </x:c>
      <x:c r="F128" s="28" t="str">
        <x:v>тепловой/пряный зависит от обработки</x:v>
      </x:c>
      <x:c r="G128" s="28" t="str">
        <x:v>жир удерживает фруктовые лактоны; белок смягчает кислотность</x:v>
      </x:c>
      <x:c r="H128" s="28" t="str"/>
      <x:c r="I128" s="28" t="n">
        <x:v>2</x:v>
      </x:c>
    </x:row>
    <x:row r="129" ht="50" customHeight="1">
      <x:c r="A129" s="28" t="str">
        <x:v>отварной broccoli</x:v>
      </x:c>
      <x:c r="B129" s="28" t="str">
        <x:v>Прочее</x:v>
      </x:c>
      <x:c r="C129" s="28" t="str">
        <x:v>комплексный</x:v>
      </x:c>
      <x:c r="D129" s="28" t="str">
        <x:v>не конкретизированы</x:v>
      </x:c>
      <x:c r="E129" s="28" t="str">
        <x:v>зависит от ингредиента</x:v>
      </x:c>
      <x:c r="F129" s="28" t="str">
        <x:v>обычно отсутствует; зависит от конкретного продукта</x:v>
      </x:c>
      <x:c r="G129" s="28" t="str">
        <x:v>механизм зависит от конкретного продукта</x:v>
      </x:c>
      <x:c r="H129" s="28" t="str">
        <x:v>Справочный групповой профиль; для точного состава конкретного сорта или бренда нужен инструментальный анализ.</x:v>
      </x:c>
      <x:c r="I129" s="28" t="n">
        <x:v>2</x:v>
      </x:c>
    </x:row>
    <x:row r="130" ht="50" customHeight="1">
      <x:c r="A130" s="28" t="str">
        <x:v>отварной голубой краб</x:v>
      </x:c>
      <x:c r="B130" s="28" t="str">
        <x:v>Рыба и морепродукты</x:v>
      </x:c>
      <x:c r="C130" s="28" t="str">
        <x:v>морской, солёный, умами, иногда йодистый и жареный</x:v>
      </x:c>
      <x:c r="D130" s="28" t="str">
        <x:v>амины, бромфенолы, альдегиды жирных кислот, сернистые соединения</x:v>
      </x:c>
      <x:c r="E130" s="28" t="str">
        <x:v>соль и умами</x:v>
      </x:c>
      <x:c r="F130" s="28" t="str">
        <x:v>нет выраженного</x:v>
      </x:c>
      <x:c r="G130" s="28" t="str">
        <x:v>водно-белковая матрица; жирная рыба лучше удерживает лактоны</x:v>
      </x:c>
      <x:c r="H130" s="28" t="str"/>
      <x:c r="I130" s="28" t="n">
        <x:v>2</x:v>
      </x:c>
    </x:row>
    <x:row r="131" ht="50" customHeight="1">
      <x:c r="A131" s="28" t="str">
        <x:v>отварной картофель</x:v>
      </x:c>
      <x:c r="B131" s="28" t="str">
        <x:v>Овощи и корнеплоды</x:v>
      </x:c>
      <x:c r="C131" s="28" t="str">
        <x:v>зелёный, землистый, сладковатый или сернистый</x:v>
      </x:c>
      <x:c r="D131" s="28" t="str">
        <x:v>C6-альдегиды, метоксипиразины, терпены, сернистые соединения</x:v>
      </x:c>
      <x:c r="E131" s="28" t="str">
        <x:v>сладость, горечь, умами и вода</x:v>
      </x:c>
      <x:c r="F131" s="28" t="str">
        <x:v>зависит от продукта</x:v>
      </x:c>
      <x:c r="G131" s="28" t="str">
        <x:v>водная и клетчаточная матрица; обжарка усиливает сладость и Майяр</x:v>
      </x:c>
      <x:c r="H131" s="28" t="str"/>
      <x:c r="I131" s="28" t="n">
        <x:v>1</x:v>
      </x:c>
    </x:row>
    <x:row r="132" ht="50" customHeight="1">
      <x:c r="A132" s="28" t="str">
        <x:v>отварной корень сельдерея</x:v>
      </x:c>
      <x:c r="B132" s="28" t="str">
        <x:v>Овощи и корнеплоды</x:v>
      </x:c>
      <x:c r="C132" s="28" t="str">
        <x:v>зелёный, землистый, сладковатый или сернистый</x:v>
      </x:c>
      <x:c r="D132" s="28" t="str">
        <x:v>C6-альдегиды, метоксипиразины, терпены, сернистые соединения</x:v>
      </x:c>
      <x:c r="E132" s="28" t="str">
        <x:v>сладость, горечь, умами и вода</x:v>
      </x:c>
      <x:c r="F132" s="28" t="str">
        <x:v>зависит от продукта</x:v>
      </x:c>
      <x:c r="G132" s="28" t="str">
        <x:v>водная и клетчаточная матрица; обжарка усиливает сладость и Майяр</x:v>
      </x:c>
      <x:c r="H132" s="28" t="str"/>
      <x:c r="I132" s="28" t="n">
        <x:v>1</x:v>
      </x:c>
    </x:row>
    <x:row r="133" ht="50" customHeight="1">
      <x:c r="A133" s="28" t="str">
        <x:v>отварной лангустин</x:v>
      </x:c>
      <x:c r="B133" s="28" t="str">
        <x:v>Рыба и морепродукты</x:v>
      </x:c>
      <x:c r="C133" s="28" t="str">
        <x:v>морской, солёный, умами, иногда йодистый и жареный</x:v>
      </x:c>
      <x:c r="D133" s="28" t="str">
        <x:v>амины, бромфенолы, альдегиды жирных кислот, сернистые соединения</x:v>
      </x:c>
      <x:c r="E133" s="28" t="str">
        <x:v>соль и умами</x:v>
      </x:c>
      <x:c r="F133" s="28" t="str">
        <x:v>нет выраженного</x:v>
      </x:c>
      <x:c r="G133" s="28" t="str">
        <x:v>водно-белковая матрица; жирная рыба лучше удерживает лактоны</x:v>
      </x:c>
      <x:c r="H133" s="28" t="str"/>
      <x:c r="I133" s="28" t="n">
        <x:v>3</x:v>
      </x:c>
    </x:row>
    <x:row r="134" ht="50" customHeight="1">
      <x:c r="A134" s="28" t="str">
        <x:v>отварной рис басмати</x:v>
      </x:c>
      <x:c r="B134" s="28" t="str">
        <x:v>Злаки и выпечка</x:v>
      </x:c>
      <x:c r="C134" s="28" t="str">
        <x:v>хлебный, зерновой, жареный, сливочный</x:v>
      </x:c>
      <x:c r="D134" s="28" t="str">
        <x:v>пиразины, фураны, мальтол, продукты Майяра</x:v>
      </x:c>
      <x:c r="E134" s="28" t="str">
        <x:v>крахмал, сладость и соль</x:v>
      </x:c>
      <x:c r="F134" s="28" t="str">
        <x:v>нет выраженного</x:v>
      </x:c>
      <x:c r="G134" s="28" t="str">
        <x:v>крахмальная матрица приглушает кислоту и распределяет аромат</x:v>
      </x:c>
      <x:c r="H134" s="28" t="str"/>
      <x:c r="I134" s="28" t="n">
        <x:v>2</x:v>
      </x:c>
    </x:row>
    <x:row r="135" ht="50" customHeight="1">
      <x:c r="A135" s="28" t="str">
        <x:v>отварной томатильо</x:v>
      </x:c>
      <x:c r="B135" s="28" t="str">
        <x:v>Овощи и корнеплоды</x:v>
      </x:c>
      <x:c r="C135" s="28" t="str">
        <x:v>зелёный, землистый, сладковатый или сернистый</x:v>
      </x:c>
      <x:c r="D135" s="28" t="str">
        <x:v>C6-альдегиды, метоксипиразины, терпены, сернистые соединения</x:v>
      </x:c>
      <x:c r="E135" s="28" t="str">
        <x:v>сладость, горечь, умами и вода</x:v>
      </x:c>
      <x:c r="F135" s="28" t="str">
        <x:v>зависит от продукта</x:v>
      </x:c>
      <x:c r="G135" s="28" t="str">
        <x:v>водная и клетчаточная матрица; обжарка усиливает сладость и Майяр</x:v>
      </x:c>
      <x:c r="H135" s="28" t="str"/>
      <x:c r="I135" s="28" t="n">
        <x:v>2</x:v>
      </x:c>
    </x:row>
    <x:row r="136" ht="50" customHeight="1">
      <x:c r="A136" s="28" t="str">
        <x:v>отварные бобы</x:v>
      </x:c>
      <x:c r="B136" s="28" t="str">
        <x:v>Овощи и корнеплоды</x:v>
      </x:c>
      <x:c r="C136" s="28" t="str">
        <x:v>зелёный, землистый, сладковатый или сернистый</x:v>
      </x:c>
      <x:c r="D136" s="28" t="str">
        <x:v>C6-альдегиды, метоксипиразины, терпены, сернистые соединения</x:v>
      </x:c>
      <x:c r="E136" s="28" t="str">
        <x:v>сладость, горечь, умами и вода</x:v>
      </x:c>
      <x:c r="F136" s="28" t="str">
        <x:v>зависит от продукта</x:v>
      </x:c>
      <x:c r="G136" s="28" t="str">
        <x:v>водная и клетчаточная матрица; обжарка усиливает сладость и Майяр</x:v>
      </x:c>
      <x:c r="H136" s="28" t="str"/>
      <x:c r="I136" s="28" t="n">
        <x:v>2</x:v>
      </x:c>
    </x:row>
    <x:row r="137" ht="50" customHeight="1">
      <x:c r="A137" s="28" t="str">
        <x:v>папайя</x:v>
      </x:c>
      <x:c r="B137" s="28" t="str">
        <x:v>Тропические фрукты</x:v>
      </x:c>
      <x:c r="C137" s="28" t="str">
        <x:v>мягкий тропический, цветочный, мускусный и слегка зелёный</x:v>
      </x:c>
      <x:c r="D137" s="28" t="str">
        <x:v>линалоол, бензилацетат, этилбутират, метилбутират; в семенах и незрелом плоде — бензилизотиоцианат</x:v>
      </x:c>
      <x:c r="E137" s="28" t="str">
        <x:v>умеренная сладость, низкая кислотность; незрелый плод нейтральнее</x:v>
      </x:c>
      <x:c r="F137" s="28" t="str">
        <x:v>кислотное покалывание зависит от плода; специальные эффекты указаны в паспорте</x:v>
      </x:c>
      <x:c r="G137" s="28" t="str">
        <x:v>мягкая водная мякоть; содержит протеазу папаин</x:v>
      </x:c>
      <x:c r="H137" s="28" t="str">
        <x:v>перезрелая папайя может казаться мускусной; папаин размягчает белки при длительном контакте</x:v>
      </x:c>
      <x:c r="I137" s="28" t="n">
        <x:v>1</x:v>
      </x:c>
    </x:row>
    <x:row r="138" ht="50" customHeight="1">
      <x:c r="A138" s="28" t="str">
        <x:v>пармиджано-реджано</x:v>
      </x:c>
      <x:c r="B138" s="28" t="str">
        <x:v>Рыба и морепродукты</x:v>
      </x:c>
      <x:c r="C138" s="28" t="str">
        <x:v>жирный, морской, умами</x:v>
      </x:c>
      <x:c r="D138" s="28" t="str">
        <x:v>альдегиды, амины, сернистые соединения</x:v>
      </x:c>
      <x:c r="E138" s="28" t="str">
        <x:v>умами, солёный</x:v>
      </x:c>
      <x:c r="F138" s="28" t="str">
        <x:v>обычно отсутствует; зависит от конкретного продукта</x:v>
      </x:c>
      <x:c r="G138" s="28" t="str">
        <x:v>белковая/жировая матрица; кислота снижает рыбные ноты</x:v>
      </x:c>
      <x:c r="H138" s="28" t="str">
        <x:v>Справочный групповой профиль; для точного состава конкретного сорта или бренда нужен инструментальный анализ.</x:v>
      </x:c>
      <x:c r="I138" s="28" t="n">
        <x:v>2</x:v>
      </x:c>
    </x:row>
    <x:row r="139" ht="50" customHeight="1">
      <x:c r="A139" s="28" t="str">
        <x:v>паста из твердых сортов пшеницы</x:v>
      </x:c>
      <x:c r="B139" s="28" t="str">
        <x:v>Злаки и выпечка</x:v>
      </x:c>
      <x:c r="C139" s="28" t="str">
        <x:v>хлебный, зерновой, жареный, сливочный</x:v>
      </x:c>
      <x:c r="D139" s="28" t="str">
        <x:v>пиразины, фураны, мальтол, продукты Майяра</x:v>
      </x:c>
      <x:c r="E139" s="28" t="str">
        <x:v>крахмал, сладость и соль</x:v>
      </x:c>
      <x:c r="F139" s="28" t="str">
        <x:v>нет выраженного</x:v>
      </x:c>
      <x:c r="G139" s="28" t="str">
        <x:v>крахмальная матрица приглушает кислоту и распределяет аромат</x:v>
      </x:c>
      <x:c r="H139" s="28" t="str"/>
      <x:c r="I139" s="28" t="n">
        <x:v>1</x:v>
      </x:c>
    </x:row>
    <x:row r="140" ht="50" customHeight="1">
      <x:c r="A140" s="28" t="str">
        <x:v>пастернак</x:v>
      </x:c>
      <x:c r="B140" s="28" t="str">
        <x:v>Прочее</x:v>
      </x:c>
      <x:c r="C140" s="28" t="str">
        <x:v>ароматический профиль зависит от конкретного ингредиента</x:v>
      </x:c>
      <x:c r="D140" s="28" t="str">
        <x:v>летучие соединения конкретного продукта</x:v>
      </x:c>
      <x:c r="E140" s="28" t="str">
        <x:v>сочетание оценивается по балансу сладости, кислоты, соли, горечи и умами</x:v>
      </x:c>
      <x:c r="F140" s="28" t="str">
        <x:v>возможен в зависимости от состава</x:v>
      </x:c>
      <x:c r="G140" s="28" t="str">
        <x:v>важны вода, жир, белок, сахар и температура</x:v>
      </x:c>
      <x:c r="H140" s="28" t="str">
        <x:v>требуется пробная сборка с учётом технологии</x:v>
      </x:c>
      <x:c r="I140" s="28" t="n">
        <x:v>2</x:v>
      </x:c>
    </x:row>
    <x:row r="141" ht="50" customHeight="1">
      <x:c r="A141" s="28" t="str">
        <x:v>пекан</x:v>
      </x:c>
      <x:c r="B141" s="28" t="str">
        <x:v>Орехи и семена</x:v>
      </x:c>
      <x:c r="C141" s="28" t="str">
        <x:v>ореховый, жареный, маслянистый и иногда миндальный</x:v>
      </x:c>
      <x:c r="D141" s="28" t="str">
        <x:v>пиразины, бензальдегид, филбертон, жирные альдегиды</x:v>
      </x:c>
      <x:c r="E141" s="28" t="str">
        <x:v>жирность, лёгкая сладость и горечь кожицы</x:v>
      </x:c>
      <x:c r="F141" s="28" t="str">
        <x:v>обычно отсутствует</x:v>
      </x:c>
      <x:c r="G141" s="28" t="str">
        <x:v>высокое содержание жира удерживает гидрофобные ароматические молекулы</x:v>
      </x:c>
      <x:c r="H141" s="28" t="str">
        <x:v>обжарка формирует пиразины и продукты Майяра; прогоркание создаёт картонные и мыльные ноты</x:v>
      </x:c>
      <x:c r="I141" s="28" t="n">
        <x:v>3</x:v>
      </x:c>
    </x:row>
    <x:row r="142" ht="50" customHeight="1">
      <x:c r="A142" s="28" t="str">
        <x:v>перец рокото</x:v>
      </x:c>
      <x:c r="B142" s="28" t="str">
        <x:v>Специи и острые компоненты</x:v>
      </x:c>
      <x:c r="C142" s="28" t="str">
        <x:v>пряный, древесный, цветочный или жгучий</x:v>
      </x:c>
      <x:c r="D142" s="28" t="str">
        <x:v>эвгенол, циннамальдегид, анетол, терпены, капсаициноиды, пиперин</x:v>
      </x:c>
      <x:c r="E142" s="28" t="str">
        <x:v>горечь, сладковатость и острота</x:v>
      </x:c>
      <x:c r="F142" s="28" t="str">
        <x:v>выраженный: жжение, тепло или покалывание</x:v>
      </x:c>
      <x:c r="G142" s="28" t="str">
        <x:v>гидрофобные молекулы хорошо переходят в жир и этанол</x:v>
      </x:c>
      <x:c r="H142" s="28" t="str"/>
      <x:c r="I142" s="28" t="n">
        <x:v>2</x:v>
      </x:c>
    </x:row>
    <x:row r="143" ht="50" customHeight="1">
      <x:c r="A143" s="28" t="str">
        <x:v>перец урфа</x:v>
      </x:c>
      <x:c r="B143" s="28" t="str">
        <x:v>Специи и острые компоненты</x:v>
      </x:c>
      <x:c r="C143" s="28" t="str">
        <x:v>пряный, древесный, тёплый, цитрусовый или анисовый</x:v>
      </x:c>
      <x:c r="D143" s="28" t="str">
        <x:v>эвгенол, коричный альдегид, анетол, терпинилацетат</x:v>
      </x:c>
      <x:c r="E143" s="28" t="str">
        <x:v>горечь и пряная интенсивность; специи балансируют сладость</x:v>
      </x:c>
      <x:c r="F143" s="28" t="str">
        <x:v>капсаицин, пиперин, гингеролы и камфорные терпены создают жжение, тепло или охлаждение</x:v>
      </x:c>
      <x:c r="G143" s="28" t="str">
        <x:v>ароматические масла хорошо переходят в жир и этанол</x:v>
      </x:c>
      <x:c r="H143" s="28" t="str">
        <x:v>обжарка усиливает тёплые ноты, но пережаривание даёт горечь</x:v>
      </x:c>
      <x:c r="I143" s="28" t="n">
        <x:v>2</x:v>
      </x:c>
    </x:row>
    <x:row r="144" ht="50" customHeight="1">
      <x:c r="A144" s="28" t="str">
        <x:v>персик</x:v>
      </x:c>
      <x:c r="B144" s="28" t="str">
        <x:v>Косточковые фрукты</x:v>
      </x:c>
      <x:c r="C144" s="28" t="str">
        <x:v>сливочный, персиковый, кокосово-лактонный, цветочный, зелёный</x:v>
      </x:c>
      <x:c r="D144" s="28" t="str">
        <x:v>γ- и δ-декалактон, γ- и δ-додекалактон, линалоол, бензальдегид, гексаналь, цис-3-гексенол</x:v>
      </x:c>
      <x:c r="E144" s="28" t="str">
        <x:v>выраженная сладость, умеренная кислотность; беломякотные сорта обычно слаще и мягче по кислоте</x:v>
      </x:c>
      <x:c r="F144" s="28" t="str">
        <x:v>обычно слабый; кислота даёт свежесть</x:v>
      </x:c>
      <x:c r="G144" s="28" t="str">
        <x:v>сочная пектиновая мякоть; кожица несёт зелёные и цветочные ноты; лактоны хорошо удерживаются жиром и этанолом</x:v>
      </x:c>
      <x:c r="H144" s="28" t="str">
        <x:v>спелость резко увеличивает аромат; нагрев усиливает варенье, карамель и миндальные оттенки, но снижает свежую цветочность</x:v>
      </x:c>
      <x:c r="I144" s="28" t="n">
        <x:v>155</x:v>
      </x:c>
    </x:row>
    <x:row r="145" ht="50" customHeight="1">
      <x:c r="A145" s="28" t="str">
        <x:v>плюмкот</x:v>
      </x:c>
      <x:c r="B145" s="28" t="str">
        <x:v>Гибридные косточковые фрукты</x:v>
      </x:c>
      <x:c r="C145" s="28" t="str">
        <x:v>сливово-персиковый, цветочный, винный и сливочно-лактонный</x:v>
      </x:c>
      <x:c r="D145" s="28" t="str">
        <x:v>лактоны, фруктовые эфиры, линалоол, бензальдегид, C6-альдегиды</x:v>
      </x:c>
      <x:c r="E145" s="28" t="str">
        <x:v>сладость с выраженной фруктовой кислотностью; баланс зависит от сорта</x:v>
      </x:c>
      <x:c r="F145" s="28" t="str">
        <x:v>слабый</x:v>
      </x:c>
      <x:c r="G145" s="28" t="str">
        <x:v>сочная пектиновая; сочетает поведение сливы и абрикоса</x:v>
      </x:c>
      <x:c r="H145" s="28" t="str">
        <x:v>нагрев усиливает джемовые ноты; холодная обработка лучше сохраняет цветочность</x:v>
      </x:c>
      <x:c r="I145" s="28" t="n">
        <x:v>10</x:v>
      </x:c>
    </x:row>
    <x:row r="146" ht="50" customHeight="1">
      <x:c r="A146" s="28" t="str">
        <x:v>приготовленный black salsify</x:v>
      </x:c>
      <x:c r="B146" s="28" t="str">
        <x:v>Прочее</x:v>
      </x:c>
      <x:c r="C146" s="28" t="str">
        <x:v>комплексный</x:v>
      </x:c>
      <x:c r="D146" s="28" t="str">
        <x:v>не конкретизированы</x:v>
      </x:c>
      <x:c r="E146" s="28" t="str">
        <x:v>зависит от ингредиента</x:v>
      </x:c>
      <x:c r="F146" s="28" t="str">
        <x:v>обычно отсутствует; зависит от конкретного продукта</x:v>
      </x:c>
      <x:c r="G146" s="28" t="str">
        <x:v>механизм зависит от конкретного продукта</x:v>
      </x:c>
      <x:c r="H146" s="28" t="str">
        <x:v>Справочный групповой профиль; для точного состава конкретного сорта или бренда нужен инструментальный анализ.</x:v>
      </x:c>
      <x:c r="I146" s="28" t="n">
        <x:v>2</x:v>
      </x:c>
    </x:row>
    <x:row r="147" ht="50" customHeight="1">
      <x:c r="A147" s="28" t="str">
        <x:v>припущенный тюрбо</x:v>
      </x:c>
      <x:c r="B147" s="28" t="str">
        <x:v>Рыба и морепродукты</x:v>
      </x:c>
      <x:c r="C147" s="28" t="str">
        <x:v>морской, солёный, умами, иногда йодистый и жареный</x:v>
      </x:c>
      <x:c r="D147" s="28" t="str">
        <x:v>амины, бромфенолы, альдегиды жирных кислот, сернистые соединения</x:v>
      </x:c>
      <x:c r="E147" s="28" t="str">
        <x:v>соль и умами</x:v>
      </x:c>
      <x:c r="F147" s="28" t="str">
        <x:v>нет выраженного</x:v>
      </x:c>
      <x:c r="G147" s="28" t="str">
        <x:v>водно-белковая матрица; жирная рыба лучше удерживает лактоны</x:v>
      </x:c>
      <x:c r="H147" s="28" t="str"/>
      <x:c r="I147" s="28" t="n">
        <x:v>2</x:v>
      </x:c>
    </x:row>
    <x:row r="148" ht="50" customHeight="1">
      <x:c r="A148" s="28" t="str">
        <x:v>прошутто</x:v>
      </x:c>
      <x:c r="B148" s="28" t="str">
        <x:v>Мясо и птица</x:v>
      </x:c>
      <x:c r="C148" s="28" t="str">
        <x:v>мясной, жареный, жирный и сернистый</x:v>
      </x:c>
      <x:c r="D148" s="28" t="str">
        <x:v>пиразины, тиазолы, альдегиды Стреккера, жирные альдегиды</x:v>
      </x:c>
      <x:c r="E148" s="28" t="str">
        <x:v>умами, соль и жирность</x:v>
      </x:c>
      <x:c r="F148" s="28" t="str">
        <x:v>обычно слабый; жареная корка усиливает ароматическую интенсивность</x:v>
      </x:c>
      <x:c r="G148" s="28" t="str">
        <x:v>жир удерживает фруктовые терпены и смягчает кислоту</x:v>
      </x:c>
      <x:c r="H148" s="28" t="str">
        <x:v>реакции Майяра создают мост к карамельным, ореховым и сухофруктовым нотам</x:v>
      </x:c>
      <x:c r="I148" s="28" t="n">
        <x:v>1</x:v>
      </x:c>
    </x:row>
    <x:row r="149" ht="50" customHeight="1">
      <x:c r="A149" s="28" t="str">
        <x:v>прошутто сан-даниэле</x:v>
      </x:c>
      <x:c r="B149" s="28" t="str">
        <x:v>Мясо и птица</x:v>
      </x:c>
      <x:c r="C149" s="28" t="str">
        <x:v>жареный, мясной, жирный, иногда копчёный и пряный</x:v>
      </x:c>
      <x:c r="D149" s="28" t="str">
        <x:v>пиразины, фураны, сернистые соединения, продукты Майяра, жирные альдегиды</x:v>
      </x:c>
      <x:c r="E149" s="28" t="str">
        <x:v>умами, соль и жир</x:v>
      </x:c>
      <x:c r="F149" s="28" t="str">
        <x:v>тепловой/пряный зависит от обработки</x:v>
      </x:c>
      <x:c r="G149" s="28" t="str">
        <x:v>жир удерживает фруктовые лактоны; белок смягчает кислотность</x:v>
      </x:c>
      <x:c r="H149" s="28" t="str"/>
      <x:c r="I149" s="28" t="n">
        <x:v>2</x:v>
      </x:c>
    </x:row>
    <x:row r="150" ht="50" customHeight="1">
      <x:c r="A150" s="28" t="str">
        <x:v>радиккьо</x:v>
      </x:c>
      <x:c r="B150" s="28" t="str">
        <x:v>Овощи и корнеплоды</x:v>
      </x:c>
      <x:c r="C150" s="28" t="str">
        <x:v>зелёный, землистый, сладковатый или сернистый</x:v>
      </x:c>
      <x:c r="D150" s="28" t="str">
        <x:v>C6-альдегиды, метоксипиразины, терпены, сернистые соединения</x:v>
      </x:c>
      <x:c r="E150" s="28" t="str">
        <x:v>сладость, горечь, умами и вода</x:v>
      </x:c>
      <x:c r="F150" s="28" t="str">
        <x:v>зависит от продукта</x:v>
      </x:c>
      <x:c r="G150" s="28" t="str">
        <x:v>водная и клетчаточная матрица; обжарка усиливает сладость и Майяр</x:v>
      </x:c>
      <x:c r="H150" s="28" t="str"/>
      <x:c r="I150" s="28" t="n">
        <x:v>2</x:v>
      </x:c>
    </x:row>
    <x:row r="151" ht="50" customHeight="1">
      <x:c r="A151" s="28" t="str">
        <x:v>рапсовый мед</x:v>
      </x:c>
      <x:c r="B151" s="28" t="str">
        <x:v>Подсластители</x:v>
      </x:c>
      <x:c r="C151" s="28" t="str">
        <x:v>медовый, цветочный, карамельный</x:v>
      </x:c>
      <x:c r="D151" s="28" t="str">
        <x:v>фенилуксусные соединения, фураны, норизопреноиды</x:v>
      </x:c>
      <x:c r="E151" s="28" t="str">
        <x:v>сладкий</x:v>
      </x:c>
      <x:c r="F151" s="28" t="str">
        <x:v>нет выраженного</x:v>
      </x:c>
      <x:c r="G151" s="28" t="str">
        <x:v>сахар повышает вязкость и снижает воспринимаемую кислотность</x:v>
      </x:c>
      <x:c r="H151" s="28" t="str">
        <x:v>Сладость балансирует кислоту и горечь кожуры; цветочные компоненты могут поддерживать цитрус.</x:v>
      </x:c>
      <x:c r="I151" s="28" t="n">
        <x:v>1</x:v>
      </x:c>
    </x:row>
    <x:row r="152" ht="50" customHeight="1">
      <x:c r="A152" s="28" t="str">
        <x:v>ревень</x:v>
      </x:c>
      <x:c r="B152" s="28" t="str">
        <x:v>Прочее</x:v>
      </x:c>
      <x:c r="C152" s="28" t="str">
        <x:v>ароматический профиль зависит от конкретного ингредиента</x:v>
      </x:c>
      <x:c r="D152" s="28" t="str">
        <x:v>летучие соединения конкретного продукта</x:v>
      </x:c>
      <x:c r="E152" s="28" t="str">
        <x:v>сочетание оценивается по балансу сладости, кислоты, соли, горечи и умами</x:v>
      </x:c>
      <x:c r="F152" s="28" t="str">
        <x:v>возможен в зависимости от состава</x:v>
      </x:c>
      <x:c r="G152" s="28" t="str">
        <x:v>важны вода, жир, белок, сахар и температура</x:v>
      </x:c>
      <x:c r="H152" s="28" t="str">
        <x:v>требуется пробная сборка с учётом технологии</x:v>
      </x:c>
      <x:c r="I152" s="28" t="n">
        <x:v>3</x:v>
      </x:c>
    </x:row>
    <x:row r="153" ht="50" customHeight="1">
      <x:c r="A153" s="28" t="str">
        <x:v>роза</x:v>
      </x:c>
      <x:c r="B153" s="28" t="str">
        <x:v>Травы и цветы</x:v>
      </x:c>
      <x:c r="C153" s="28" t="str">
        <x:v>зелёный, цветочный, травянистый и эфирно-масличный</x:v>
      </x:c>
      <x:c r="D153" s="28" t="str">
        <x:v>линалоол, гераниол, эвгенол, 1,8-цинеол</x:v>
      </x:c>
      <x:c r="E153" s="28" t="str">
        <x:v>обычно низкая сладость; возможны горечь и зелёная терпкость</x:v>
      </x:c>
      <x:c r="F153" s="28" t="str">
        <x:v>у мяты возможен холодящий эффект ментола; у некоторых трав — камфорность</x:v>
      </x:c>
      <x:c r="G153" s="28" t="str">
        <x:v>эфирные масла гидрофобны и лучше раскрываются в жире или этаноле</x:v>
      </x:c>
      <x:c r="H153" s="28" t="str">
        <x:v>короткая холодная экстракция сохраняет верхние ноты; длительный нагрев даёт горечь</x:v>
      </x:c>
      <x:c r="I153" s="28" t="n">
        <x:v>2</x:v>
      </x:c>
    </x:row>
    <x:row r="154" ht="50" customHeight="1">
      <x:c r="A154" s="28" t="str">
        <x:v>розмарин</x:v>
      </x:c>
      <x:c r="B154" s="28" t="str">
        <x:v>Травы и цветы</x:v>
      </x:c>
      <x:c r="C154" s="28" t="str">
        <x:v>хвойный, камфорный и древесный</x:v>
      </x:c>
      <x:c r="D154" s="28" t="str">
        <x:v>1,8-цинеол, камфора, α-пинен</x:v>
      </x:c>
      <x:c r="E154" s="28" t="str">
        <x:v>обычно низкая сладость; возможны горечь и зелёная терпкость</x:v>
      </x:c>
      <x:c r="F154" s="28" t="str">
        <x:v>у мяты возможен холодящий эффект ментола; у некоторых трав — камфорность</x:v>
      </x:c>
      <x:c r="G154" s="28" t="str">
        <x:v>эфирные масла гидрофобны и лучше раскрываются в жире или этаноле</x:v>
      </x:c>
      <x:c r="H154" s="28" t="str">
        <x:v>короткая холодная экстракция сохраняет верхние ноты; длительный нагрев даёт горечь</x:v>
      </x:c>
      <x:c r="I154" s="28" t="n">
        <x:v>3</x:v>
      </x:c>
    </x:row>
    <x:row r="155" ht="50" customHeight="1">
      <x:c r="A155" s="28" t="str">
        <x:v>рубленый чеснок</x:v>
      </x:c>
      <x:c r="B155" s="28" t="str">
        <x:v>Прочее</x:v>
      </x:c>
      <x:c r="C155" s="28" t="str">
        <x:v>комплексный профиль, зависящий от продукта</x:v>
      </x:c>
      <x:c r="D155" s="28" t="str">
        <x:v>нужен профиль конкретного ингредиента</x:v>
      </x:c>
      <x:c r="E155" s="28" t="str">
        <x:v>баланс зависит от продукта</x:v>
      </x:c>
      <x:c r="F155" s="28" t="str">
        <x:v>нет данных</x:v>
      </x:c>
      <x:c r="G155" s="28" t="str">
        <x:v>матрица зависит от формы продукта</x:v>
      </x:c>
      <x:c r="H155" s="28" t="str"/>
      <x:c r="I155" s="28" t="n">
        <x:v>1</x:v>
      </x:c>
    </x:row>
    <x:row r="156" ht="50" customHeight="1">
      <x:c r="A156" s="28" t="str">
        <x:v>салями милано</x:v>
      </x:c>
      <x:c r="B156" s="28" t="str">
        <x:v>Мясо и птица</x:v>
      </x:c>
      <x:c r="C156" s="28" t="str">
        <x:v>жареный, мясной, жирный, иногда копчёный и пряный</x:v>
      </x:c>
      <x:c r="D156" s="28" t="str">
        <x:v>пиразины, фураны, сернистые соединения, продукты Майяра, жирные альдегиды</x:v>
      </x:c>
      <x:c r="E156" s="28" t="str">
        <x:v>умами, соль и жир</x:v>
      </x:c>
      <x:c r="F156" s="28" t="str">
        <x:v>тепловой/пряный зависит от обработки</x:v>
      </x:c>
      <x:c r="G156" s="28" t="str">
        <x:v>жир удерживает фруктовые лактоны; белок смягчает кислотность</x:v>
      </x:c>
      <x:c r="H156" s="28" t="str"/>
      <x:c r="I156" s="28" t="n">
        <x:v>2</x:v>
      </x:c>
    </x:row>
    <x:row r="157" ht="50" customHeight="1">
      <x:c r="A157" s="28" t="str">
        <x:v>сансер</x:v>
      </x:c>
      <x:c r="B157" s="28" t="str">
        <x:v>Алкогольные напитки</x:v>
      </x:c>
      <x:c r="C157" s="28" t="str">
        <x:v>спиртовой, эфирный, фруктовый или древесный в зависимости от напитка</x:v>
      </x:c>
      <x:c r="D157" s="28" t="str">
        <x:v>этиловые эфиры, высшие спирты, ацетали; для выдержанных напитков — ванилин и дубовые лактоны</x:v>
      </x:c>
      <x:c r="E157" s="28" t="str">
        <x:v>этанол, возможная сладость, горечь и кислотность</x:v>
      </x:c>
      <x:c r="F157" s="28" t="str">
        <x:v>этанол даёт согревание</x:v>
      </x:c>
      <x:c r="G157" s="28" t="str">
        <x:v>этанол растворяет гидрофобные лактоны и терпены</x:v>
      </x:c>
      <x:c r="H157" s="28" t="str"/>
      <x:c r="I157" s="28" t="n">
        <x:v>1</x:v>
      </x:c>
    </x:row>
    <x:row r="158" ht="50" customHeight="1">
      <x:c r="A158" s="28" t="str">
        <x:v>свежие цветы лаванды</x:v>
      </x:c>
      <x:c r="B158" s="28" t="str">
        <x:v>Прочее</x:v>
      </x:c>
      <x:c r="C158" s="28" t="str">
        <x:v>нейтральный/специфический</x:v>
      </x:c>
      <x:c r="D158" s="28" t="str">
        <x:v>нужен профиль конкретного продукта</x:v>
      </x:c>
      <x:c r="E158" s="28" t="str">
        <x:v>зависит от продукта</x:v>
      </x:c>
      <x:c r="F158" s="28" t="str">
        <x:v>нет данных</x:v>
      </x:c>
      <x:c r="G158" s="28" t="str">
        <x:v>зависит от формы продукта</x:v>
      </x:c>
      <x:c r="H158" s="28" t="str">
        <x:v>Для точного молекулярного вывода нужен профиль конкретного ингредиента и способа обработки.</x:v>
      </x:c>
      <x:c r="I158" s="28" t="n">
        <x:v>1</x:v>
      </x:c>
    </x:row>
    <x:row r="159" ht="50" customHeight="1">
      <x:c r="A159" s="28" t="str">
        <x:v>свежий корень имбиря</x:v>
      </x:c>
      <x:c r="B159" s="28" t="str">
        <x:v>Специи</x:v>
      </x:c>
      <x:c r="C159" s="28" t="str">
        <x:v>древесный, пряный, тёплый</x:v>
      </x:c>
      <x:c r="D159" s="28" t="str">
        <x:v>коричный альдегид, терпены, эвгенол</x:v>
      </x:c>
      <x:c r="E159" s="28" t="str">
        <x:v>пряный, иногда горький</x:v>
      </x:c>
      <x:c r="F159" s="28" t="str">
        <x:v>обычно отсутствует; зависит от конкретного продукта</x:v>
      </x:c>
      <x:c r="G159" s="28" t="str">
        <x:v>эфирные масла хорошо извлекаются спиртом и жиром</x:v>
      </x:c>
      <x:c r="H159" s="28" t="str">
        <x:v>Справочный групповой профиль; для точного состава конкретного сорта или бренда нужен инструментальный анализ.</x:v>
      </x:c>
      <x:c r="I159" s="28" t="n">
        <x:v>1</x:v>
      </x:c>
    </x:row>
    <x:row r="160" ht="50" customHeight="1">
      <x:c r="A160" s="28" t="str">
        <x:v>свиная корейка</x:v>
      </x:c>
      <x:c r="B160" s="28" t="str">
        <x:v>Прочее</x:v>
      </x:c>
      <x:c r="C160" s="28" t="str">
        <x:v>комплексный профиль, зависящий от продукта</x:v>
      </x:c>
      <x:c r="D160" s="28" t="str">
        <x:v>нужен профиль конкретного ингредиента</x:v>
      </x:c>
      <x:c r="E160" s="28" t="str">
        <x:v>баланс зависит от продукта</x:v>
      </x:c>
      <x:c r="F160" s="28" t="str">
        <x:v>нет данных</x:v>
      </x:c>
      <x:c r="G160" s="28" t="str">
        <x:v>матрица зависит от формы продукта</x:v>
      </x:c>
      <x:c r="H160" s="28" t="str"/>
      <x:c r="I160" s="28" t="n">
        <x:v>4</x:v>
      </x:c>
    </x:row>
    <x:row r="161" ht="50" customHeight="1">
      <x:c r="A161" s="28" t="str">
        <x:v>свинина</x:v>
      </x:c>
      <x:c r="B161" s="28" t="str">
        <x:v>Мясо и птица</x:v>
      </x:c>
      <x:c r="C161" s="28" t="str">
        <x:v>мясной, жареный, жирный и сернистый</x:v>
      </x:c>
      <x:c r="D161" s="28" t="str">
        <x:v>пиразины, тиазолы, альдегиды Стреккера, жирные альдегиды</x:v>
      </x:c>
      <x:c r="E161" s="28" t="str">
        <x:v>умами, соль и жирность</x:v>
      </x:c>
      <x:c r="F161" s="28" t="str">
        <x:v>обычно слабый; жареная корка усиливает ароматическую интенсивность</x:v>
      </x:c>
      <x:c r="G161" s="28" t="str">
        <x:v>жир удерживает фруктовые терпены и смягчает кислоту</x:v>
      </x:c>
      <x:c r="H161" s="28" t="str">
        <x:v>реакции Майяра создают мост к карамельным, ореховым и сухофруктовым нотам</x:v>
      </x:c>
      <x:c r="I161" s="28" t="n">
        <x:v>1</x:v>
      </x:c>
    </x:row>
    <x:row r="162" ht="50" customHeight="1">
      <x:c r="A162" s="28" t="str">
        <x:v>сельдерей</x:v>
      </x:c>
      <x:c r="B162" s="28" t="str">
        <x:v>Овощи и бобовые</x:v>
      </x:c>
      <x:c r="C162" s="28" t="str">
        <x:v>зелёный, землистый, сернистый, сладковатый или травянистый</x:v>
      </x:c>
      <x:c r="D162" s="28" t="str">
        <x:v>C6-альдегиды, метоксипиразины, сернистые соединения, геосмин</x:v>
      </x:c>
      <x:c r="E162" s="28" t="str">
        <x:v>варьирует от сладости до горечи, умами и крахмалистости</x:v>
      </x:c>
      <x:c r="F162" s="28" t="str">
        <x:v>у лука, горчицы и хрена возможен резкий эффект изотиоцианатов</x:v>
      </x:c>
      <x:c r="G162" s="28" t="str">
        <x:v>водная, волокнистая или крахмальная</x:v>
      </x:c>
      <x:c r="H162" s="28" t="str">
        <x:v>жарка и запекание увеличивают сладость и Майяр; варка может усилить сернистые ноты</x:v>
      </x:c>
      <x:c r="I162" s="28" t="n">
        <x:v>2</x:v>
      </x:c>
    </x:row>
    <x:row r="163" ht="50" customHeight="1">
      <x:c r="A163" s="28" t="str">
        <x:v>семена кардамона</x:v>
      </x:c>
      <x:c r="B163" s="28" t="str">
        <x:v>Специи</x:v>
      </x:c>
      <x:c r="C163" s="28" t="str">
        <x:v>древесный, пряный, тёплый</x:v>
      </x:c>
      <x:c r="D163" s="28" t="str">
        <x:v>коричный альдегид, терпены, эвгенол</x:v>
      </x:c>
      <x:c r="E163" s="28" t="str">
        <x:v>пряный, иногда горький</x:v>
      </x:c>
      <x:c r="F163" s="28" t="str">
        <x:v>обычно отсутствует; зависит от конкретного продукта</x:v>
      </x:c>
      <x:c r="G163" s="28" t="str">
        <x:v>эфирные масла хорошо извлекаются спиртом и жиром</x:v>
      </x:c>
      <x:c r="H163" s="28" t="str">
        <x:v>Справочный групповой профиль; для точного состава конкретного сорта или бренда нужен инструментальный анализ.</x:v>
      </x:c>
      <x:c r="I163" s="28" t="n">
        <x:v>3</x:v>
      </x:c>
    </x:row>
    <x:row r="164" ht="50" customHeight="1">
      <x:c r="A164" s="28" t="str">
        <x:v>скрэмбл</x:v>
      </x:c>
      <x:c r="B164" s="28" t="str">
        <x:v>Прочее</x:v>
      </x:c>
      <x:c r="C164" s="28" t="str">
        <x:v>нейтральный/специфический</x:v>
      </x:c>
      <x:c r="D164" s="28" t="str">
        <x:v>нужен профиль конкретного продукта</x:v>
      </x:c>
      <x:c r="E164" s="28" t="str">
        <x:v>зависит от продукта</x:v>
      </x:c>
      <x:c r="F164" s="28" t="str">
        <x:v>нет данных</x:v>
      </x:c>
      <x:c r="G164" s="28" t="str">
        <x:v>зависит от формы продукта</x:v>
      </x:c>
      <x:c r="H164" s="28" t="str">
        <x:v>Для точного молекулярного вывода нужен профиль конкретного ингредиента и способа обработки.</x:v>
      </x:c>
      <x:c r="I164" s="28" t="n">
        <x:v>2</x:v>
      </x:c>
    </x:row>
    <x:row r="165" ht="50" customHeight="1">
      <x:c r="A165" s="28" t="str">
        <x:v>слива</x:v>
      </x:c>
      <x:c r="B165" s="28" t="str">
        <x:v>Косточковые фрукты</x:v>
      </x:c>
      <x:c r="C165" s="28" t="str">
        <x:v>винно-фруктовый, цветочный, зелёный, пряный, миндальный; от свежего до тёмно-джемового</x:v>
      </x:c>
      <x:c r="D165" s="28" t="str">
        <x:v>фруктовые эфиры, γ- и δ-лактоны, бензальдегид, линалоол, C6-альдегиды, дамасконы</x:v>
      </x:c>
      <x:c r="E165" s="28" t="str">
        <x:v>сладость и заметная яблочно-лимонная кислотность; кожица часто терпкая</x:v>
      </x:c>
      <x:c r="F165" s="28" t="str">
        <x:v>слабый; кислота и полифенолы создают освежающе-вяжущий эффект</x:v>
      </x:c>
      <x:c r="G165" s="28" t="str">
        <x:v>сочная пектиновая мякоть; кожица богата полифенолами; аромат хорошо работает в воде, сахаре и этаноле</x:v>
      </x:c>
      <x:c r="H165" s="28" t="str">
        <x:v>нагрев усиливает джем, сухофрукты, специи и карамель; ферментация создаёт винные и эфирные ноты</x:v>
      </x:c>
      <x:c r="I165" s="28" t="n">
        <x:v>46</x:v>
      </x:c>
    </x:row>
    <x:row r="166" ht="50" customHeight="1">
      <x:c r="A166" s="28" t="str">
        <x:v>смородина</x:v>
      </x:c>
      <x:c r="B166" s="28" t="str">
        <x:v>Ягоды</x:v>
      </x:c>
      <x:c r="C166" s="28" t="str">
        <x:v>красно-фруктовый, цветочный, зелёный и иногда сернистый</x:v>
      </x:c>
      <x:c r="D166" s="28" t="str">
        <x:v>фуранеол, эфиры, иононы, зелёные альдегиды</x:v>
      </x:c>
      <x:c r="E166" s="28" t="str">
        <x:v>сочетание сладости, кислотности и иногда терпкости</x:v>
      </x:c>
      <x:c r="F166" s="28" t="str">
        <x:v>обычно слабый; кислота усиливает свежесть</x:v>
      </x:c>
      <x:c r="G166" s="28" t="str">
        <x:v>водная пектиновая; антоцианы влияют на цвет, но не являются главными одорантами</x:v>
      </x:c>
      <x:c r="H166" s="28" t="str">
        <x:v>заморозка разрушает клетки и облегчает экстракцию; нагрев переводит профиль в джемовый</x:v>
      </x:c>
      <x:c r="I166" s="28" t="n">
        <x:v>2</x:v>
      </x:c>
    </x:row>
    <x:row r="167" ht="50" customHeight="1">
      <x:c r="A167" s="28" t="str">
        <x:v>сок яблока кешью</x:v>
      </x:c>
      <x:c r="B167" s="28" t="str">
        <x:v>Фрукты</x:v>
      </x:c>
      <x:c r="C167" s="28" t="str">
        <x:v>фруктовый, цветочный, зелёный или тропический</x:v>
      </x:c>
      <x:c r="D167" s="28" t="str">
        <x:v>фруктовые эфиры, терпены, альдегиды и лактоны</x:v>
      </x:c>
      <x:c r="E167" s="28" t="str">
        <x:v>сладость и фруктовая кислотность</x:v>
      </x:c>
      <x:c r="F167" s="28" t="str">
        <x:v>обычно слабый</x:v>
      </x:c>
      <x:c r="G167" s="28" t="str">
        <x:v>преимущественно водно-пектиновая матрица</x:v>
      </x:c>
      <x:c r="H167" s="28" t="str"/>
      <x:c r="I167" s="28" t="n">
        <x:v>2</x:v>
      </x:c>
    </x:row>
    <x:row r="168" ht="50" customHeight="1">
      <x:c r="A168" s="28" t="str">
        <x:v>сушеная вешенка</x:v>
      </x:c>
      <x:c r="B168" s="28" t="str">
        <x:v>Прочее</x:v>
      </x:c>
      <x:c r="C168" s="28" t="str">
        <x:v>нейтральный/специфический</x:v>
      </x:c>
      <x:c r="D168" s="28" t="str">
        <x:v>нужен профиль конкретного продукта</x:v>
      </x:c>
      <x:c r="E168" s="28" t="str">
        <x:v>зависит от продукта</x:v>
      </x:c>
      <x:c r="F168" s="28" t="str">
        <x:v>нет данных</x:v>
      </x:c>
      <x:c r="G168" s="28" t="str">
        <x:v>зависит от формы продукта</x:v>
      </x:c>
      <x:c r="H168" s="28" t="str">
        <x:v>Для точного молекулярного вывода нужен профиль конкретного ингредиента и способа обработки.</x:v>
      </x:c>
      <x:c r="I168" s="28" t="n">
        <x:v>2</x:v>
      </x:c>
    </x:row>
    <x:row r="169" ht="50" customHeight="1">
      <x:c r="A169" s="28" t="str">
        <x:v>сушеная ромашка</x:v>
      </x:c>
      <x:c r="B169" s="28" t="str">
        <x:v>Алкогольные напитки</x:v>
      </x:c>
      <x:c r="C169" s="28" t="str">
        <x:v>спиртовой, эфирный, фруктовый или древесный в зависимости от напитка</x:v>
      </x:c>
      <x:c r="D169" s="28" t="str">
        <x:v>этиловые эфиры, высшие спирты, ацетали; для выдержанных напитков — ванилин и дубовые лактоны</x:v>
      </x:c>
      <x:c r="E169" s="28" t="str">
        <x:v>этанол, возможная сладость, горечь и кислотность</x:v>
      </x:c>
      <x:c r="F169" s="28" t="str">
        <x:v>этанол даёт согревание</x:v>
      </x:c>
      <x:c r="G169" s="28" t="str">
        <x:v>этанол растворяет гидрофобные лактоны и терпены</x:v>
      </x:c>
      <x:c r="H169" s="28" t="str"/>
      <x:c r="I169" s="28" t="n">
        <x:v>2</x:v>
      </x:c>
    </x:row>
    <x:row r="170" ht="50" customHeight="1">
      <x:c r="A170" s="28" t="str">
        <x:v>сушеные белые грибы</x:v>
      </x:c>
      <x:c r="B170" s="28" t="str">
        <x:v>Грибы и трюфели</x:v>
      </x:c>
      <x:c r="C170" s="28" t="str">
        <x:v>землистый, грибной, ореховый и умами</x:v>
      </x:c>
      <x:c r="D170" s="28" t="str">
        <x:v>1-октен-3-ол, 1-октен-3-он, сернистые соединения</x:v>
      </x:c>
      <x:c r="E170" s="28" t="str">
        <x:v>умами и лёгкая горечь</x:v>
      </x:c>
      <x:c r="F170" s="28" t="str">
        <x:v>нет выраженного</x:v>
      </x:c>
      <x:c r="G170" s="28" t="str">
        <x:v>вода и клетчатка; обжарка создаёт новые жареные молекулы</x:v>
      </x:c>
      <x:c r="H170" s="28" t="str"/>
      <x:c r="I170" s="28" t="n">
        <x:v>2</x:v>
      </x:c>
    </x:row>
    <x:row r="171" ht="50" customHeight="1">
      <x:c r="A171" s="28" t="str">
        <x:v>сушеные листья тмина</x:v>
      </x:c>
      <x:c r="B171" s="28" t="str">
        <x:v>Прочее</x:v>
      </x:c>
      <x:c r="C171" s="28" t="str">
        <x:v>нейтральный/специфический</x:v>
      </x:c>
      <x:c r="D171" s="28" t="str">
        <x:v>нужен профиль конкретного продукта</x:v>
      </x:c>
      <x:c r="E171" s="28" t="str">
        <x:v>зависит от продукта</x:v>
      </x:c>
      <x:c r="F171" s="28" t="str">
        <x:v>нет данных</x:v>
      </x:c>
      <x:c r="G171" s="28" t="str">
        <x:v>зависит от формы продукта</x:v>
      </x:c>
      <x:c r="H171" s="28" t="str">
        <x:v>Для точного молекулярного вывода нужен профиль конкретного ингредиента и способа обработки.</x:v>
      </x:c>
      <x:c r="I171" s="28" t="n">
        <x:v>2</x:v>
      </x:c>
    </x:row>
    <x:row r="172" ht="50" customHeight="1">
      <x:c r="A172" s="28" t="str">
        <x:v>сушеные семена черного тмина</x:v>
      </x:c>
      <x:c r="B172" s="28" t="str">
        <x:v>Специи и острые компоненты</x:v>
      </x:c>
      <x:c r="C172" s="28" t="str">
        <x:v>пряный, древесный, цветочный или жгучий</x:v>
      </x:c>
      <x:c r="D172" s="28" t="str">
        <x:v>эвгенол, циннамальдегид, анетол, терпены, капсаициноиды, пиперин</x:v>
      </x:c>
      <x:c r="E172" s="28" t="str">
        <x:v>горечь, сладковатость и острота</x:v>
      </x:c>
      <x:c r="F172" s="28" t="str">
        <x:v>выраженный: жжение, тепло или покалывание</x:v>
      </x:c>
      <x:c r="G172" s="28" t="str">
        <x:v>гидрофобные молекулы хорошо переходят в жир и этанол</x:v>
      </x:c>
      <x:c r="H172" s="28" t="str"/>
      <x:c r="I172" s="28" t="n">
        <x:v>2</x:v>
      </x:c>
    </x:row>
    <x:row r="173" ht="50" customHeight="1">
      <x:c r="A173" s="28" t="str">
        <x:v>сушеные цветы сакуры</x:v>
      </x:c>
      <x:c r="B173" s="28" t="str">
        <x:v>Травы, листья и цветы</x:v>
      </x:c>
      <x:c r="C173" s="28" t="str">
        <x:v>зелёный, цветочный, цитрусовый или анисовый</x:v>
      </x:c>
      <x:c r="D173" s="28" t="str">
        <x:v>терпены, линалоол, гераниол, эвгенол, анетол, C6-альдегиды</x:v>
      </x:c>
      <x:c r="E173" s="28" t="str">
        <x:v>обычно слабая горечь и свежесть</x:v>
      </x:c>
      <x:c r="F173" s="28" t="str">
        <x:v>часто охлаждение/покалывание у мяты и хвои</x:v>
      </x:c>
      <x:c r="G173" s="28" t="str">
        <x:v>эфирные масла гидрофобны и лучше экстрагируются жиром или этанолом</x:v>
      </x:c>
      <x:c r="H173" s="28" t="str"/>
      <x:c r="I173" s="28" t="n">
        <x:v>2</x:v>
      </x:c>
    </x:row>
    <x:row r="174" ht="50" customHeight="1">
      <x:c r="A174" s="28" t="str">
        <x:v>сыр манчего</x:v>
      </x:c>
      <x:c r="B174" s="28" t="str">
        <x:v>Сыры и молочные продукты</x:v>
      </x:c>
      <x:c r="C174" s="28" t="str">
        <x:v>сливочный, молочный, ферментированный, иногда ореховый или пикантный</x:v>
      </x:c>
      <x:c r="D174" s="28" t="str">
        <x:v>лактоны, диацетил, жирные кислоты, сернистые и аминокислотные продукты ферментации</x:v>
      </x:c>
      <x:c r="E174" s="28" t="str">
        <x:v>жирность, соль, кислотность и умами</x:v>
      </x:c>
      <x:c r="F174" s="28" t="str">
        <x:v>нет выраженного</x:v>
      </x:c>
      <x:c r="G174" s="28" t="str">
        <x:v>жировая и белковая матрица удерживает гидрофобные ароматы</x:v>
      </x:c>
      <x:c r="H174" s="28" t="str"/>
      <x:c r="I174" s="28" t="n">
        <x:v>2</x:v>
      </x:c>
    </x:row>
    <x:row r="175" ht="50" customHeight="1">
      <x:c r="A175" s="28" t="str">
        <x:v>сычуаньский перец</x:v>
      </x:c>
      <x:c r="B175" s="28" t="str">
        <x:v>Специи и острые компоненты</x:v>
      </x:c>
      <x:c r="C175" s="28" t="str">
        <x:v>пряный, древесный, цветочный или жгучий</x:v>
      </x:c>
      <x:c r="D175" s="28" t="str">
        <x:v>эвгенол, циннамальдегид, анетол, терпены, капсаициноиды, пиперин</x:v>
      </x:c>
      <x:c r="E175" s="28" t="str">
        <x:v>горечь, сладковатость и острота</x:v>
      </x:c>
      <x:c r="F175" s="28" t="str">
        <x:v>выраженный: жжение, тепло или покалывание</x:v>
      </x:c>
      <x:c r="G175" s="28" t="str">
        <x:v>гидрофобные молекулы хорошо переходят в жир и этанол</x:v>
      </x:c>
      <x:c r="H175" s="28" t="str"/>
      <x:c r="I175" s="28" t="n">
        <x:v>3</x:v>
      </x:c>
    </x:row>
    <x:row r="176" ht="50" customHeight="1">
      <x:c r="A176" s="28" t="str">
        <x:v>таитянская ваниль</x:v>
      </x:c>
      <x:c r="B176" s="28" t="str">
        <x:v>Прочее</x:v>
      </x:c>
      <x:c r="C176" s="28" t="str">
        <x:v>комплексный</x:v>
      </x:c>
      <x:c r="D176" s="28" t="str">
        <x:v>не конкретизированы</x:v>
      </x:c>
      <x:c r="E176" s="28" t="str">
        <x:v>зависит от ингредиента</x:v>
      </x:c>
      <x:c r="F176" s="28" t="str">
        <x:v>обычно отсутствует; зависит от конкретного продукта</x:v>
      </x:c>
      <x:c r="G176" s="28" t="str">
        <x:v>механизм зависит от конкретного продукта</x:v>
      </x:c>
      <x:c r="H176" s="28" t="str">
        <x:v>Справочный групповой профиль; для точного состава конкретного сорта или бренда нужен инструментальный анализ.</x:v>
      </x:c>
      <x:c r="I176" s="28" t="n">
        <x:v>2</x:v>
      </x:c>
    </x:row>
    <x:row r="177" ht="50" customHeight="1">
      <x:c r="A177" s="28" t="str">
        <x:v>твердый сыр</x:v>
      </x:c>
      <x:c r="B177" s="28" t="str">
        <x:v>Сыры и молочные продукты</x:v>
      </x:c>
      <x:c r="C177" s="28" t="str">
        <x:v>сливочный, молочный, ферментированный, ореховый или пикантный</x:v>
      </x:c>
      <x:c r="D177" s="28" t="str">
        <x:v>диацетил, метилкетоны, короткоцепочечные жирные кислоты, лактоны</x:v>
      </x:c>
      <x:c r="E177" s="28" t="str">
        <x:v>жирность, соль, умами и молочная кислотность</x:v>
      </x:c>
      <x:c r="F177" s="28" t="str">
        <x:v>у выдержанных сыров возможна острота аммиака и кислот</x:v>
      </x:c>
      <x:c r="G177" s="28" t="str">
        <x:v>жир и белок смягчают кислоту и удерживают летучие соединения</x:v>
      </x:c>
      <x:c r="H177" s="28" t="str">
        <x:v>температура подачи критична: холод приглушает аромат, умеренное нагревание его высвобождает</x:v>
      </x:c>
      <x:c r="I177" s="28" t="n">
        <x:v>1</x:v>
      </x:c>
    </x:row>
    <x:row r="178" ht="50" customHeight="1">
      <x:c r="A178" s="28" t="str">
        <x:v>текила бланко</x:v>
      </x:c>
      <x:c r="B178" s="28" t="str">
        <x:v>Алкогольные напитки</x:v>
      </x:c>
      <x:c r="C178" s="28" t="str">
        <x:v>спиртовой, эфирный, фруктовый или древесный в зависимости от напитка</x:v>
      </x:c>
      <x:c r="D178" s="28" t="str">
        <x:v>этиловые эфиры, высшие спирты, ацетали; для выдержанных напитков — ванилин и дубовые лактоны</x:v>
      </x:c>
      <x:c r="E178" s="28" t="str">
        <x:v>этанол, возможная сладость, горечь и кислотность</x:v>
      </x:c>
      <x:c r="F178" s="28" t="str">
        <x:v>этанол даёт согревание</x:v>
      </x:c>
      <x:c r="G178" s="28" t="str">
        <x:v>этанол растворяет гидрофобные лактоны и терпены</x:v>
      </x:c>
      <x:c r="H178" s="28" t="str"/>
      <x:c r="I178" s="28" t="n">
        <x:v>1</x:v>
      </x:c>
    </x:row>
    <x:row r="179" ht="50" customHeight="1">
      <x:c r="A179" s="28" t="str">
        <x:v>темный шоколад</x:v>
      </x:c>
      <x:c r="B179" s="28" t="str">
        <x:v>Чай, кофе и какао</x:v>
      </x:c>
      <x:c r="C179" s="28" t="str">
        <x:v>какао, жареный, ореховый и фруктовый</x:v>
      </x:c>
      <x:c r="D179" s="28" t="str">
        <x:v>пиразины, альдегиды Стреккера, фураны</x:v>
      </x:c>
      <x:c r="E179" s="28" t="str">
        <x:v>горечь, терпкость и жареная сладость</x:v>
      </x:c>
      <x:c r="F179" s="28" t="str">
        <x:v>кофеин и терпкость создают сухость, но прямой тройничный эффект умерен</x:v>
      </x:c>
      <x:c r="G179" s="28" t="str">
        <x:v>водные настои извлекают полифенолы; жир и сахар смягчают горечь</x:v>
      </x:c>
      <x:c r="H179" s="28" t="str">
        <x:v>степень обжарки или заваривания радикально меняет профиль</x:v>
      </x:c>
      <x:c r="I179" s="28" t="n">
        <x:v>3</x:v>
      </x:c>
    </x:row>
    <x:row r="180" ht="50" customHeight="1">
      <x:c r="A180" s="28" t="str">
        <x:v>тертый сырой корень сельдерея</x:v>
      </x:c>
      <x:c r="B180" s="28" t="str">
        <x:v>Сыры и молочные продукты</x:v>
      </x:c>
      <x:c r="C180" s="28" t="str">
        <x:v>сливочный, молочный, ферментированный, иногда ореховый или пикантный</x:v>
      </x:c>
      <x:c r="D180" s="28" t="str">
        <x:v>лактоны, диацетил, жирные кислоты, сернистые и аминокислотные продукты ферментации</x:v>
      </x:c>
      <x:c r="E180" s="28" t="str">
        <x:v>жирность, соль, кислотность и умами</x:v>
      </x:c>
      <x:c r="F180" s="28" t="str">
        <x:v>нет выраженного</x:v>
      </x:c>
      <x:c r="G180" s="28" t="str">
        <x:v>жировая и белковая матрица удерживает гидрофобные ароматы</x:v>
      </x:c>
      <x:c r="H180" s="28" t="str"/>
      <x:c r="I180" s="28" t="n">
        <x:v>2</x:v>
      </x:c>
    </x:row>
    <x:row r="181" ht="50" customHeight="1">
      <x:c r="A181" s="28" t="str">
        <x:v>тимьяновый мед</x:v>
      </x:c>
      <x:c r="B181" s="28" t="str">
        <x:v>Травы, листья и цветы</x:v>
      </x:c>
      <x:c r="C181" s="28" t="str">
        <x:v>зелёный, цветочный, цитрусовый или анисовый</x:v>
      </x:c>
      <x:c r="D181" s="28" t="str">
        <x:v>терпены, линалоол, гераниол, эвгенол, анетол, C6-альдегиды</x:v>
      </x:c>
      <x:c r="E181" s="28" t="str">
        <x:v>обычно слабая горечь и свежесть</x:v>
      </x:c>
      <x:c r="F181" s="28" t="str">
        <x:v>часто охлаждение/покалывание у мяты и хвои</x:v>
      </x:c>
      <x:c r="G181" s="28" t="str">
        <x:v>эфирные масла гидрофобны и лучше экстрагируются жиром или этанолом</x:v>
      </x:c>
      <x:c r="H181" s="28" t="str"/>
      <x:c r="I181" s="28" t="n">
        <x:v>1</x:v>
      </x:c>
    </x:row>
    <x:row r="182" ht="50" customHeight="1">
      <x:c r="A182" s="28" t="str">
        <x:v>томаты черри</x:v>
      </x:c>
      <x:c r="B182" s="28" t="str">
        <x:v>Овощи и корнеплоды</x:v>
      </x:c>
      <x:c r="C182" s="28" t="str">
        <x:v>зелёный, землистый, сладковатый или сернистый</x:v>
      </x:c>
      <x:c r="D182" s="28" t="str">
        <x:v>C6-альдегиды, метоксипиразины, терпены, сернистые соединения</x:v>
      </x:c>
      <x:c r="E182" s="28" t="str">
        <x:v>сладость, горечь, умами и вода</x:v>
      </x:c>
      <x:c r="F182" s="28" t="str">
        <x:v>зависит от продукта</x:v>
      </x:c>
      <x:c r="G182" s="28" t="str">
        <x:v>водная и клетчаточная матрица; обжарка усиливает сладость и Майяр</x:v>
      </x:c>
      <x:c r="H182" s="28" t="str"/>
      <x:c r="I182" s="28" t="n">
        <x:v>3</x:v>
      </x:c>
    </x:row>
    <x:row r="183" ht="50" customHeight="1">
      <x:c r="A183" s="28" t="str">
        <x:v>традиционный бальзамический уксус</x:v>
      </x:c>
      <x:c r="B183" s="28" t="str">
        <x:v>Ферментированные продукты, соусы и уксусы</x:v>
      </x:c>
      <x:c r="C183" s="28" t="str">
        <x:v>кислый, умами, ферментированный, солёный</x:v>
      </x:c>
      <x:c r="D183" s="28" t="str">
        <x:v>уксусная кислота, эфиры, аминокислотные и ферментационные соединения</x:v>
      </x:c>
      <x:c r="E183" s="28" t="str">
        <x:v>кислота, соль и умами</x:v>
      </x:c>
      <x:c r="F183" s="28" t="str">
        <x:v>кислота усиливает слюноотделение</x:v>
      </x:c>
      <x:c r="G183" s="28" t="str">
        <x:v>водная и солевая матрица; часть ароматов удерживается белком и сахаром</x:v>
      </x:c>
      <x:c r="H183" s="28" t="str"/>
      <x:c r="I183" s="28" t="n">
        <x:v>2</x:v>
      </x:c>
    </x:row>
    <x:row r="184" ht="50" customHeight="1">
      <x:c r="A184" s="28" t="str">
        <x:v>тушеная пикша</x:v>
      </x:c>
      <x:c r="B184" s="28" t="str">
        <x:v>Рыба и морепродукты</x:v>
      </x:c>
      <x:c r="C184" s="28" t="str">
        <x:v>морской, солёный, умами, иногда йодистый и жареный</x:v>
      </x:c>
      <x:c r="D184" s="28" t="str">
        <x:v>амины, бромфенолы, альдегиды жирных кислот, сернистые соединения</x:v>
      </x:c>
      <x:c r="E184" s="28" t="str">
        <x:v>соль и умами</x:v>
      </x:c>
      <x:c r="F184" s="28" t="str">
        <x:v>нет выраженного</x:v>
      </x:c>
      <x:c r="G184" s="28" t="str">
        <x:v>водно-белковая матрица; жирная рыба лучше удерживает лактоны</x:v>
      </x:c>
      <x:c r="H184" s="28" t="str"/>
      <x:c r="I184" s="28" t="n">
        <x:v>2</x:v>
      </x:c>
    </x:row>
    <x:row r="185" ht="50" customHeight="1">
      <x:c r="A185" s="28" t="str">
        <x:v>укроп</x:v>
      </x:c>
      <x:c r="B185" s="28" t="str">
        <x:v>Травы и цветы</x:v>
      </x:c>
      <x:c r="C185" s="28" t="str">
        <x:v>зелёный, цветочный, травянистый и эфирно-масличный</x:v>
      </x:c>
      <x:c r="D185" s="28" t="str">
        <x:v>линалоол, гераниол, эвгенол, 1,8-цинеол</x:v>
      </x:c>
      <x:c r="E185" s="28" t="str">
        <x:v>обычно низкая сладость; возможны горечь и зелёная терпкость</x:v>
      </x:c>
      <x:c r="F185" s="28" t="str">
        <x:v>у мяты возможен холодящий эффект ментола; у некоторых трав — камфорность</x:v>
      </x:c>
      <x:c r="G185" s="28" t="str">
        <x:v>эфирные масла гидрофобны и лучше раскрываются в жире или этаноле</x:v>
      </x:c>
      <x:c r="H185" s="28" t="str">
        <x:v>короткая холодная экстракция сохраняет верхние ноты; длительный нагрев даёт горечь</x:v>
      </x:c>
      <x:c r="I185" s="28" t="n">
        <x:v>4</x:v>
      </x:c>
    </x:row>
    <x:row r="186" ht="50" customHeight="1">
      <x:c r="A186" s="28" t="str">
        <x:v>уме</x:v>
      </x:c>
      <x:c r="B186" s="28" t="str">
        <x:v>Косточковые фрукты и ферментированные производные</x:v>
      </x:c>
      <x:c r="C186" s="28" t="str">
        <x:v>зелёный, кислый, цветочный, миндальный и солоновато-ферментированный в обработанных продуктах</x:v>
      </x:c>
      <x:c r="D186" s="28" t="str">
        <x:v>бензальдегид, фруктовые эфиры, линалоол, C6-альдегиды, органические кислоты</x:v>
      </x:c>
      <x:c r="E186" s="28" t="str">
        <x:v>высокая кислотность; у умэбоси — соль и выраженная ферментированная умами-нота</x:v>
      </x:c>
      <x:c r="F186" s="28" t="str">
        <x:v>кислотность и соль активно стимулируют слюноотделение</x:v>
      </x:c>
      <x:c r="G186" s="28" t="str">
        <x:v>водная и кислотная; в умэбоси — концентрированная соль и полифенолы</x:v>
      </x:c>
      <x:c r="H186" s="28" t="str">
        <x:v>соление и ферментация меняют свежий фруктовый профиль на солёно-кислый и умами; ликёры сохраняют миндально-фруктовые ноты</x:v>
      </x:c>
      <x:c r="I186" s="28" t="n">
        <x:v>14</x:v>
      </x:c>
    </x:row>
    <x:row r="187" ht="50" customHeight="1">
      <x:c r="A187" s="28" t="str">
        <x:v>устрица</x:v>
      </x:c>
      <x:c r="B187" s="28" t="str">
        <x:v>Рыба и морепродукты</x:v>
      </x:c>
      <x:c r="C187" s="28" t="str">
        <x:v>морской, минеральный, жирный, йодистый и иногда огуречный</x:v>
      </x:c>
      <x:c r="D187" s="28" t="str">
        <x:v>альдегиды полиненасыщенных жиров, триметиламин, бромфенолы</x:v>
      </x:c>
      <x:c r="E187" s="28" t="str">
        <x:v>солёность, умами и иногда жирность</x:v>
      </x:c>
      <x:c r="F187" s="28" t="str">
        <x:v>обычно слабый</x:v>
      </x:c>
      <x:c r="G187" s="28" t="str">
        <x:v>белок чувствителен к кислоте и протеазам; жирная рыба лучше удерживает аромат</x:v>
      </x:c>
      <x:c r="H187" s="28" t="str">
        <x:v>кислота освежает, но длительный контакт меняет текстуру; перегрев усиливает рыбные ноты</x:v>
      </x:c>
      <x:c r="I187" s="28" t="n">
        <x:v>1</x:v>
      </x:c>
    </x:row>
    <x:row r="188" ht="50" customHeight="1">
      <x:c r="A188" s="28" t="str">
        <x:v>фиалка</x:v>
      </x:c>
      <x:c r="B188" s="28" t="str">
        <x:v>Травы и цветы</x:v>
      </x:c>
      <x:c r="C188" s="28" t="str">
        <x:v>зелёный, цветочный, травянистый и эфирно-масличный</x:v>
      </x:c>
      <x:c r="D188" s="28" t="str">
        <x:v>линалоол, гераниол, эвгенол, 1,8-цинеол</x:v>
      </x:c>
      <x:c r="E188" s="28" t="str">
        <x:v>обычно низкая сладость; возможны горечь и зелёная терпкость</x:v>
      </x:c>
      <x:c r="F188" s="28" t="str">
        <x:v>у мяты возможен холодящий эффект ментола; у некоторых трав — камфорность</x:v>
      </x:c>
      <x:c r="G188" s="28" t="str">
        <x:v>эфирные масла гидрофобны и лучше раскрываются в жире или этаноле</x:v>
      </x:c>
      <x:c r="H188" s="28" t="str">
        <x:v>короткая холодная экстракция сохраняет верхние ноты; длительный нагрев даёт горечь</x:v>
      </x:c>
      <x:c r="I188" s="28" t="n">
        <x:v>2</x:v>
      </x:c>
    </x:row>
    <x:row r="189" ht="50" customHeight="1">
      <x:c r="A189" s="28" t="str">
        <x:v>филе скумбрии</x:v>
      </x:c>
      <x:c r="B189" s="28" t="str">
        <x:v>Рыба и морепродукты</x:v>
      </x:c>
      <x:c r="C189" s="28" t="str">
        <x:v>морской, йодистый, зелёный, жирный</x:v>
      </x:c>
      <x:c r="D189" s="28" t="str">
        <x:v>альдегиды окисления липидов, бромфенолы, диметилсульфид, умами-соединения</x:v>
      </x:c>
      <x:c r="E189" s="28" t="str">
        <x:v>солёный, умами, жирный</x:v>
      </x:c>
      <x:c r="F189" s="28" t="str">
        <x:v>нет выраженного</x:v>
      </x:c>
      <x:c r="G189" s="28" t="str">
        <x:v>кислота может денатурировать поверхностные белки; жир рыбы удерживает терпены</x:v>
      </x:c>
      <x:c r="H189" s="28" t="str">
        <x:v>Цитрус уменьшает восприятие жирности и рыбных нот, усиливая свежесть и слюноотделение.</x:v>
      </x:c>
      <x:c r="I189" s="28" t="n">
        <x:v>2</x:v>
      </x:c>
    </x:row>
    <x:row r="190" ht="50" customHeight="1">
      <x:c r="A190" s="28" t="str">
        <x:v>филе трески</x:v>
      </x:c>
      <x:c r="B190" s="28" t="str">
        <x:v>Рыба и морепродукты</x:v>
      </x:c>
      <x:c r="C190" s="28" t="str">
        <x:v>морской, солёный, умами, иногда йодистый и жареный</x:v>
      </x:c>
      <x:c r="D190" s="28" t="str">
        <x:v>амины, бромфенолы, альдегиды жирных кислот, сернистые соединения</x:v>
      </x:c>
      <x:c r="E190" s="28" t="str">
        <x:v>соль и умами</x:v>
      </x:c>
      <x:c r="F190" s="28" t="str">
        <x:v>нет выраженного</x:v>
      </x:c>
      <x:c r="G190" s="28" t="str">
        <x:v>водно-белковая матрица; жирная рыба лучше удерживает лактоны</x:v>
      </x:c>
      <x:c r="H190" s="28" t="str"/>
      <x:c r="I190" s="28" t="n">
        <x:v>2</x:v>
      </x:c>
    </x:row>
    <x:row r="191" ht="50" customHeight="1">
      <x:c r="A191" s="28" t="str">
        <x:v>финик</x:v>
      </x:c>
      <x:c r="B191" s="28" t="str">
        <x:v>Сухофрукты и тропические плоды</x:v>
      </x:c>
      <x:c r="C191" s="28" t="str">
        <x:v>медовый, карамельный, сухофруктовый, ореховый и пряный</x:v>
      </x:c>
      <x:c r="D191" s="28" t="str">
        <x:v>фураны, альдегиды Стреккера, фенольные соединения и продукты карамелизации</x:v>
      </x:c>
      <x:c r="E191" s="28" t="str">
        <x:v>очень высокая сладость, низкая кислотность</x:v>
      </x:c>
      <x:c r="F191" s="28" t="str">
        <x:v>кислотное покалывание зависит от плода; специальные эффекты указаны в паспорте</x:v>
      </x:c>
      <x:c r="G191" s="28" t="str">
        <x:v>плотная сахаристая и вязкая; хорошо связывает жир и специи</x:v>
      </x:c>
      <x:c r="H191" s="28" t="str">
        <x:v>без кислоты, соли или горечи сочетание быстро становится приторным</x:v>
      </x:c>
      <x:c r="I191" s="28" t="n">
        <x:v>3</x:v>
      </x:c>
    </x:row>
    <x:row r="192" ht="50" customHeight="1">
      <x:c r="A192" s="28" t="str">
        <x:v>фисташка</x:v>
      </x:c>
      <x:c r="B192" s="28" t="str">
        <x:v>Орехи и семена</x:v>
      </x:c>
      <x:c r="C192" s="28" t="str">
        <x:v>ореховый, жареный, маслянистый и иногда миндальный</x:v>
      </x:c>
      <x:c r="D192" s="28" t="str">
        <x:v>пиразины, бензальдегид, филбертон, жирные альдегиды</x:v>
      </x:c>
      <x:c r="E192" s="28" t="str">
        <x:v>жирность, лёгкая сладость и горечь кожицы</x:v>
      </x:c>
      <x:c r="F192" s="28" t="str">
        <x:v>обычно отсутствует</x:v>
      </x:c>
      <x:c r="G192" s="28" t="str">
        <x:v>высокое содержание жира удерживает гидрофобные ароматические молекулы</x:v>
      </x:c>
      <x:c r="H192" s="28" t="str">
        <x:v>обжарка формирует пиразины и продукты Майяра; прогоркание создаёт картонные и мыльные ноты</x:v>
      </x:c>
      <x:c r="I192" s="28" t="n">
        <x:v>5</x:v>
      </x:c>
    </x:row>
    <x:row r="193" ht="50" customHeight="1">
      <x:c r="A193" s="28" t="str">
        <x:v>фундук</x:v>
      </x:c>
      <x:c r="B193" s="28" t="str">
        <x:v>Орехи и семена</x:v>
      </x:c>
      <x:c r="C193" s="28" t="str">
        <x:v>жареный ореховый и маслянистый</x:v>
      </x:c>
      <x:c r="D193" s="28" t="str">
        <x:v>филбертон, пиразины</x:v>
      </x:c>
      <x:c r="E193" s="28" t="str">
        <x:v>жирность, лёгкая сладость и горечь кожицы</x:v>
      </x:c>
      <x:c r="F193" s="28" t="str">
        <x:v>обычно отсутствует</x:v>
      </x:c>
      <x:c r="G193" s="28" t="str">
        <x:v>высокое содержание жира удерживает гидрофобные ароматические молекулы</x:v>
      </x:c>
      <x:c r="H193" s="28" t="str">
        <x:v>обжарка формирует пиразины и продукты Майяра; прогоркание создаёт картонные и мыльные ноты</x:v>
      </x:c>
      <x:c r="I193" s="28" t="n">
        <x:v>5</x:v>
      </x:c>
    </x:row>
    <x:row r="194" ht="50" customHeight="1">
      <x:c r="A194" s="28" t="str">
        <x:v>хамон иберико</x:v>
      </x:c>
      <x:c r="B194" s="28" t="str">
        <x:v>Мясо и птица</x:v>
      </x:c>
      <x:c r="C194" s="28" t="str">
        <x:v>жареный, жирный, сернистый, умами</x:v>
      </x:c>
      <x:c r="D194" s="28" t="str">
        <x:v>альдегиды, пиразины, сернистые соединения</x:v>
      </x:c>
      <x:c r="E194" s="28" t="str">
        <x:v>умами, солёный, жирный</x:v>
      </x:c>
      <x:c r="F194" s="28" t="str">
        <x:v>обычно отсутствует; зависит от конкретного продукта</x:v>
      </x:c>
      <x:c r="G194" s="28" t="str">
        <x:v>жир переносит аромат; реакция Майяра создаёт новые одоранты</x:v>
      </x:c>
      <x:c r="H194" s="28" t="str">
        <x:v>Справочный групповой профиль; для точного состава конкретного сорта или бренда нужен инструментальный анализ.</x:v>
      </x:c>
      <x:c r="I194" s="28" t="n">
        <x:v>1</x:v>
      </x:c>
    </x:row>
    <x:row r="195" ht="50" customHeight="1">
      <x:c r="A195" s="28" t="str">
        <x:v>хамон серрано</x:v>
      </x:c>
      <x:c r="B195" s="28" t="str">
        <x:v>Мясо и птица</x:v>
      </x:c>
      <x:c r="C195" s="28" t="str">
        <x:v>жареный, мясной, жирный, иногда копчёный и пряный</x:v>
      </x:c>
      <x:c r="D195" s="28" t="str">
        <x:v>пиразины, фураны, сернистые соединения, продукты Майяра, жирные альдегиды</x:v>
      </x:c>
      <x:c r="E195" s="28" t="str">
        <x:v>умами, соль и жир</x:v>
      </x:c>
      <x:c r="F195" s="28" t="str">
        <x:v>тепловой/пряный зависит от обработки</x:v>
      </x:c>
      <x:c r="G195" s="28" t="str">
        <x:v>жир удерживает фруктовые лактоны; белок смягчает кислотность</x:v>
      </x:c>
      <x:c r="H195" s="28" t="str"/>
      <x:c r="I195" s="28" t="n">
        <x:v>1</x:v>
      </x:c>
    </x:row>
    <x:row r="196" ht="50" customHeight="1">
      <x:c r="A196" s="28" t="str">
        <x:v>хвоя сосны</x:v>
      </x:c>
      <x:c r="B196" s="28" t="str">
        <x:v>Травы, листья и цветы</x:v>
      </x:c>
      <x:c r="C196" s="28" t="str">
        <x:v>зелёный, цветочный, цитрусовый или анисовый</x:v>
      </x:c>
      <x:c r="D196" s="28" t="str">
        <x:v>терпены, линалоол, гераниол, эвгенол, анетол, C6-альдегиды</x:v>
      </x:c>
      <x:c r="E196" s="28" t="str">
        <x:v>обычно слабая горечь и свежесть</x:v>
      </x:c>
      <x:c r="F196" s="28" t="str">
        <x:v>часто охлаждение/покалывание у мяты и хвои</x:v>
      </x:c>
      <x:c r="G196" s="28" t="str">
        <x:v>эфирные масла гидрофобны и лучше экстрагируются жиром или этанолом</x:v>
      </x:c>
      <x:c r="H196" s="28" t="str"/>
      <x:c r="I196" s="28" t="n">
        <x:v>2</x:v>
      </x:c>
    </x:row>
    <x:row r="197" ht="50" customHeight="1">
      <x:c r="A197" s="28" t="str">
        <x:v>хурма</x:v>
      </x:c>
      <x:c r="B197" s="28" t="str">
        <x:v>Субтропические фрукты</x:v>
      </x:c>
      <x:c r="C197" s="28" t="str">
        <x:v>медовый, абрикосовый, цветочный, пряный и слегка тыквенный</x:v>
      </x:c>
      <x:c r="D197" s="28" t="str">
        <x:v>каротиноидные норизопреноиды, фруктовые эфиры, линалоол, C6-альдегиды</x:v>
      </x:c>
      <x:c r="E197" s="28" t="str">
        <x:v>высокая сладость; у вяжущих сортов много растворимых танинов</x:v>
      </x:c>
      <x:c r="F197" s="28" t="str">
        <x:v>кислотное покалывание зависит от плода; специальные эффекты указаны в паспорте</x:v>
      </x:c>
      <x:c r="G197" s="28" t="str">
        <x:v>пектиновая, мягкая и вязкая; зрелость резко меняет терпкость</x:v>
      </x:c>
      <x:c r="H197" s="28" t="str">
        <x:v>незрелая хурма сильно вяжет; с большим количеством дубильных партнёров сочетание становится сухим</x:v>
      </x:c>
      <x:c r="I197" s="28" t="n">
        <x:v>1</x:v>
      </x:c>
    </x:row>
    <x:row r="198" ht="50" customHeight="1">
      <x:c r="A198" s="28" t="str">
        <x:v>цветы бузины</x:v>
      </x:c>
      <x:c r="B198" s="28" t="str">
        <x:v>Травы и цветы</x:v>
      </x:c>
      <x:c r="C198" s="28" t="str">
        <x:v>зелёный, цветочный, травянистый и эфирно-масличный</x:v>
      </x:c>
      <x:c r="D198" s="28" t="str">
        <x:v>линалоол, гераниол, эвгенол, 1,8-цинеол</x:v>
      </x:c>
      <x:c r="E198" s="28" t="str">
        <x:v>обычно низкая сладость; возможны горечь и зелёная терпкость</x:v>
      </x:c>
      <x:c r="F198" s="28" t="str">
        <x:v>у мяты возможен холодящий эффект ментола; у некоторых трав — камфорность</x:v>
      </x:c>
      <x:c r="G198" s="28" t="str">
        <x:v>эфирные масла гидрофобны и лучше раскрываются в жире или этаноле</x:v>
      </x:c>
      <x:c r="H198" s="28" t="str">
        <x:v>короткая холодная экстракция сохраняет верхние ноты; длительный нагрев даёт горечь</x:v>
      </x:c>
      <x:c r="I198" s="28" t="n">
        <x:v>2</x:v>
      </x:c>
    </x:row>
    <x:row r="199" ht="50" customHeight="1">
      <x:c r="A199" s="28" t="str">
        <x:v>цветы жасмина</x:v>
      </x:c>
      <x:c r="B199" s="28" t="str">
        <x:v>Травы и цветы</x:v>
      </x:c>
      <x:c r="C199" s="28" t="str">
        <x:v>зелёный, травянистый, цветочный</x:v>
      </x:c>
      <x:c r="D199" s="28" t="str">
        <x:v>гераниол, линалоол, терпены, эвгенол</x:v>
      </x:c>
      <x:c r="E199" s="28" t="str">
        <x:v>горьковатый, свежий</x:v>
      </x:c>
      <x:c r="F199" s="28" t="str">
        <x:v>обычно отсутствует; зависит от конкретного продукта</x:v>
      </x:c>
      <x:c r="G199" s="28" t="str">
        <x:v>летучие масла чувствительны к нагреву</x:v>
      </x:c>
      <x:c r="H199" s="28" t="str">
        <x:v>Справочный групповой профиль; для точного состава конкретного сорта или бренда нужен инструментальный анализ.</x:v>
      </x:c>
      <x:c r="I199" s="28" t="n">
        <x:v>2</x:v>
      </x:c>
    </x:row>
    <x:row r="200" ht="50" customHeight="1">
      <x:c r="A200" s="28" t="str">
        <x:v>цикорий</x:v>
      </x:c>
      <x:c r="B200" s="28" t="str">
        <x:v>Овощи и корнеплоды</x:v>
      </x:c>
      <x:c r="C200" s="28" t="str">
        <x:v>зелёный, землистый, сладковатый или сернистый</x:v>
      </x:c>
      <x:c r="D200" s="28" t="str">
        <x:v>C6-альдегиды, метоксипиразины, терпены, сернистые соединения</x:v>
      </x:c>
      <x:c r="E200" s="28" t="str">
        <x:v>сладость, горечь, умами и вода</x:v>
      </x:c>
      <x:c r="F200" s="28" t="str">
        <x:v>зависит от продукта</x:v>
      </x:c>
      <x:c r="G200" s="28" t="str">
        <x:v>водная и клетчаточная матрица; обжарка усиливает сладость и Майяр</x:v>
      </x:c>
      <x:c r="H200" s="28" t="str"/>
      <x:c r="I200" s="28" t="n">
        <x:v>2</x:v>
      </x:c>
    </x:row>
    <x:row r="201" ht="50" customHeight="1">
      <x:c r="A201" s="28" t="str">
        <x:v>цитрусовые</x:v>
      </x:c>
      <x:c r="B201" s="28" t="str">
        <x:v>Цитрусовые</x:v>
      </x:c>
      <x:c r="C201" s="28" t="str">
        <x:v>цитрусовый, свежий, зелёный и цветочный</x:v>
      </x:c>
      <x:c r="D201" s="28" t="str">
        <x:v>лимонен, цитраль, линалоол, γ-терпинен</x:v>
      </x:c>
      <x:c r="E201" s="28" t="str">
        <x:v>кислотность и эфирные масла создают свежесть и усиливают слюноотделение</x:v>
      </x:c>
      <x:c r="F201" s="28" t="str">
        <x:v>кислота даёт покалывание и ощущение свежести</x:v>
      </x:c>
      <x:c r="G201" s="28" t="str">
        <x:v>сок водный и кислый, цедра содержит гидрофобные эфирные масла</x:v>
      </x:c>
      <x:c r="H201" s="28" t="str">
        <x:v>сок лучше использовать свежим; цедра хорошо экстрагируется жиром и этанолом; белая часть даёт горечь</x:v>
      </x:c>
      <x:c r="I201" s="28" t="n">
        <x:v>1</x:v>
      </x:c>
    </x:row>
    <x:row r="202" ht="50" customHeight="1">
      <x:c r="A202" s="28" t="str">
        <x:v>цукаты из апельсиновой кожуры</x:v>
      </x:c>
      <x:c r="B202" s="28" t="str">
        <x:v>Цитрусовые</x:v>
      </x:c>
      <x:c r="C202" s="28" t="str">
        <x:v>цитрусовый, сладко-фруктовый, цветочный, восковой</x:v>
      </x:c>
      <x:c r="D202" s="28" t="str">
        <x:v>лимонен, линалол, деканаль, октаналь, мирцен</x:v>
      </x:c>
      <x:c r="E202" s="28" t="str">
        <x:v>кисло-сладкий, горечь кожуры</x:v>
      </x:c>
      <x:c r="F202" s="28" t="str">
        <x:v>нет выраженного</x:v>
      </x:c>
      <x:c r="G202" s="28" t="str">
        <x:v>сок водный; цедра и ликёры несут гидрофобные эфирные масла</x:v>
      </x:c>
      <x:c r="H202" s="28" t="str">
        <x:v>Апельсиновый профиль строится на лимонене и альдегидах с восково-сладкой нотой.</x:v>
      </x:c>
      <x:c r="I202" s="28" t="n">
        <x:v>1</x:v>
      </x:c>
    </x:row>
    <x:row r="203" ht="50" customHeight="1">
      <x:c r="A203" s="28" t="str">
        <x:v>черешня</x:v>
      </x:c>
      <x:c r="B203" s="28" t="str">
        <x:v>Ягоды и производные</x:v>
      </x:c>
      <x:c r="C203" s="28" t="str">
        <x:v>миндальный, сладко-фруктовый, цветочный</x:v>
      </x:c>
      <x:c r="D203" s="28" t="str">
        <x:v>бензальдегид, бета-дамасценон, эфиры</x:v>
      </x:c>
      <x:c r="E203" s="28" t="str">
        <x:v>сладкий, умеренно кислый</x:v>
      </x:c>
      <x:c r="F203" s="28" t="str">
        <x:v>обычно отсутствует; зависит от конкретного продукта</x:v>
      </x:c>
      <x:c r="G203" s="28" t="str">
        <x:v>нежнее кислой вишни; легко становится приторной</x:v>
      </x:c>
      <x:c r="H203" s="28" t="str">
        <x:v>Ягодный профиль: антоцианы в основном отвечают за цвет, а запах формируют летучие эфиры, терпены, иононы, фураноны и альдегиды.</x:v>
      </x:c>
      <x:c r="I203" s="28" t="n">
        <x:v>2</x:v>
      </x:c>
    </x:row>
    <x:row r="204" ht="50" customHeight="1">
      <x:c r="A204" s="28" t="str">
        <x:v>черная смородина</x:v>
      </x:c>
      <x:c r="B204" s="28" t="str">
        <x:v>Ягоды</x:v>
      </x:c>
      <x:c r="C204" s="28" t="str">
        <x:v>красно-фруктовый, цветочный, зелёный и иногда сернистый</x:v>
      </x:c>
      <x:c r="D204" s="28" t="str">
        <x:v>фуранеол, эфиры, иононы, зелёные альдегиды</x:v>
      </x:c>
      <x:c r="E204" s="28" t="str">
        <x:v>сочетание сладости, кислотности и иногда терпкости</x:v>
      </x:c>
      <x:c r="F204" s="28" t="str">
        <x:v>обычно слабый; кислота усиливает свежесть</x:v>
      </x:c>
      <x:c r="G204" s="28" t="str">
        <x:v>водная пектиновая; антоцианы влияют на цвет, но не являются главными одорантами</x:v>
      </x:c>
      <x:c r="H204" s="28" t="str">
        <x:v>заморозка разрушает клетки и облегчает экстракцию; нагрев переводит профиль в джемовый</x:v>
      </x:c>
      <x:c r="I204" s="28" t="n">
        <x:v>2</x:v>
      </x:c>
    </x:row>
    <x:row r="205" ht="50" customHeight="1">
      <x:c r="A205" s="28" t="str">
        <x:v>черника</x:v>
      </x:c>
      <x:c r="B205" s="28" t="str">
        <x:v>Ягоды</x:v>
      </x:c>
      <x:c r="C205" s="28" t="str">
        <x:v>красно-фруктовый, цветочный, зелёный и иногда сернистый</x:v>
      </x:c>
      <x:c r="D205" s="28" t="str">
        <x:v>фуранеол, эфиры, иононы, зелёные альдегиды</x:v>
      </x:c>
      <x:c r="E205" s="28" t="str">
        <x:v>сочетание сладости, кислотности и иногда терпкости</x:v>
      </x:c>
      <x:c r="F205" s="28" t="str">
        <x:v>обычно слабый; кислота усиливает свежесть</x:v>
      </x:c>
      <x:c r="G205" s="28" t="str">
        <x:v>водная пектиновая; антоцианы влияют на цвет, но не являются главными одорантами</x:v>
      </x:c>
      <x:c r="H205" s="28" t="str">
        <x:v>заморозка разрушает клетки и облегчает экстракцию; нагрев переводит профиль в джемовый</x:v>
      </x:c>
      <x:c r="I205" s="28" t="n">
        <x:v>1</x:v>
      </x:c>
    </x:row>
    <x:row r="206" ht="50" customHeight="1">
      <x:c r="A206" s="28" t="str">
        <x:v>чернослив</x:v>
      </x:c>
      <x:c r="B206" s="28" t="str">
        <x:v>Сушёные косточковые фрукты</x:v>
      </x:c>
      <x:c r="C206" s="28" t="str">
        <x:v>тёмно-фруктовый, карамельный, винный, слегка дымный и миндальный</x:v>
      </x:c>
      <x:c r="D206" s="28" t="str">
        <x:v>фурфурол, 5-метилфурфурол, мальтол, лактоны, бензальдегид, продукты термического распада сахаров</x:v>
      </x:c>
      <x:c r="E206" s="28" t="str">
        <x:v>высокая сладость, мягкая кислотность и плотная сухофруктовая насыщенность</x:v>
      </x:c>
      <x:c r="F206" s="28" t="str">
        <x:v>слабый; возможна лёгкая терпкость</x:v>
      </x:c>
      <x:c r="G206" s="28" t="str">
        <x:v>маловодная, богатая сахарами, пектином и сорбитолом; хорошо удерживает специи и алкоголь</x:v>
      </x:c>
      <x:c r="H206" s="28" t="str">
        <x:v>замачивание возвращает сочность; тушение усиливает карамель и пряности; копчение быстро становится доминирующим</x:v>
      </x:c>
      <x:c r="I206" s="28" t="n">
        <x:v>39</x:v>
      </x:c>
    </x:row>
    <x:row r="207" ht="50" customHeight="1">
      <x:c r="A207" s="28" t="str">
        <x:v>черные оливки</x:v>
      </x:c>
      <x:c r="B207" s="28" t="str">
        <x:v>Прочее</x:v>
      </x:c>
      <x:c r="C207" s="28" t="str">
        <x:v>комплексный</x:v>
      </x:c>
      <x:c r="D207" s="28" t="str">
        <x:v>не конкретизированы</x:v>
      </x:c>
      <x:c r="E207" s="28" t="str">
        <x:v>зависит от ингредиента</x:v>
      </x:c>
      <x:c r="F207" s="28" t="str">
        <x:v>обычно отсутствует; зависит от конкретного продукта</x:v>
      </x:c>
      <x:c r="G207" s="28" t="str">
        <x:v>механизм зависит от конкретного продукта</x:v>
      </x:c>
      <x:c r="H207" s="28" t="str">
        <x:v>Справочный групповой профиль; для точного состава конкретного сорта или бренда нужен инструментальный анализ.</x:v>
      </x:c>
      <x:c r="I207" s="28" t="n">
        <x:v>1</x:v>
      </x:c>
    </x:row>
    <x:row r="208" ht="50" customHeight="1">
      <x:c r="A208" s="28" t="str">
        <x:v>черный перец</x:v>
      </x:c>
      <x:c r="B208" s="28" t="str">
        <x:v>Специи и острые компоненты</x:v>
      </x:c>
      <x:c r="C208" s="28" t="str">
        <x:v>древесный, цитрусовый и пряный</x:v>
      </x:c>
      <x:c r="D208" s="28" t="str">
        <x:v>пиперин, лимонен, сабинен</x:v>
      </x:c>
      <x:c r="E208" s="28" t="str">
        <x:v>горечь и пряная интенсивность; специи балансируют сладость</x:v>
      </x:c>
      <x:c r="F208" s="28" t="str">
        <x:v>пиперин создаёт сухое жжение</x:v>
      </x:c>
      <x:c r="G208" s="28" t="str">
        <x:v>ароматические масла хорошо переходят в жир и этанол</x:v>
      </x:c>
      <x:c r="H208" s="28" t="str">
        <x:v>обжарка усиливает тёплые ноты, но пережаривание даёт горечь</x:v>
      </x:c>
      <x:c r="I208" s="28" t="n">
        <x:v>2</x:v>
      </x:c>
    </x:row>
    <x:row r="209" ht="50" customHeight="1">
      <x:c r="A209" s="28" t="str">
        <x:v>черный трюфель</x:v>
      </x:c>
      <x:c r="B209" s="28" t="str">
        <x:v>Грибы и трюфели</x:v>
      </x:c>
      <x:c r="C209" s="28" t="str">
        <x:v>землистый, грибной, ореховый и умами</x:v>
      </x:c>
      <x:c r="D209" s="28" t="str">
        <x:v>1-октен-3-ол, 1-октен-3-он, сернистые соединения</x:v>
      </x:c>
      <x:c r="E209" s="28" t="str">
        <x:v>умами и лёгкая горечь</x:v>
      </x:c>
      <x:c r="F209" s="28" t="str">
        <x:v>нет выраженного</x:v>
      </x:c>
      <x:c r="G209" s="28" t="str">
        <x:v>вода и клетчатка; обжарка создаёт новые жареные молекулы</x:v>
      </x:c>
      <x:c r="H209" s="28" t="str"/>
      <x:c r="I209" s="28" t="n">
        <x:v>3</x:v>
      </x:c>
    </x:row>
    <x:row r="210" ht="50" customHeight="1">
      <x:c r="A210" s="28" t="str">
        <x:v>черный чай</x:v>
      </x:c>
      <x:c r="B210" s="28" t="str">
        <x:v>Чай и кофе</x:v>
      </x:c>
      <x:c r="C210" s="28" t="str">
        <x:v>жареный, травяной, цветочный или терпкий</x:v>
      </x:c>
      <x:c r="D210" s="28" t="str">
        <x:v>пиридины, пиразины, фенолы, линалоол, гераниол, теафлавины</x:v>
      </x:c>
      <x:c r="E210" s="28" t="str">
        <x:v>горечь, терпкость и иногда сладость</x:v>
      </x:c>
      <x:c r="F210" s="28" t="str">
        <x:v>кофеин даёт горечь, не тройничный эффект</x:v>
      </x:c>
      <x:c r="G210" s="28" t="str">
        <x:v>водная экстракция; температура сильно меняет летучесть</x:v>
      </x:c>
      <x:c r="H210" s="28" t="str"/>
      <x:c r="I210" s="28" t="n">
        <x:v>1</x:v>
      </x:c>
    </x:row>
    <x:row r="211" ht="50" customHeight="1">
      <x:c r="A211" s="28" t="str">
        <x:v>шампиньоны</x:v>
      </x:c>
      <x:c r="B211" s="28" t="str">
        <x:v>Грибы и трюфели</x:v>
      </x:c>
      <x:c r="C211" s="28" t="str">
        <x:v>землистый, грибной, ореховый и умами</x:v>
      </x:c>
      <x:c r="D211" s="28" t="str">
        <x:v>1-октен-3-ол, 1-октен-3-он, сернистые соединения</x:v>
      </x:c>
      <x:c r="E211" s="28" t="str">
        <x:v>умами и лёгкая горечь</x:v>
      </x:c>
      <x:c r="F211" s="28" t="str">
        <x:v>нет выраженного</x:v>
      </x:c>
      <x:c r="G211" s="28" t="str">
        <x:v>вода и клетчатка; обжарка создаёт новые жареные молекулы</x:v>
      </x:c>
      <x:c r="H211" s="28" t="str"/>
      <x:c r="I211" s="28" t="n">
        <x:v>1</x:v>
      </x:c>
    </x:row>
    <x:row r="212" ht="50" customHeight="1">
      <x:c r="A212" s="28" t="str">
        <x:v>шелковица</x:v>
      </x:c>
      <x:c r="B212" s="28" t="str">
        <x:v>Ягоды</x:v>
      </x:c>
      <x:c r="C212" s="28" t="str">
        <x:v>красно-фруктовый, цветочный, зелёный и иногда сернистый</x:v>
      </x:c>
      <x:c r="D212" s="28" t="str">
        <x:v>фуранеол, эфиры, иононы, зелёные альдегиды</x:v>
      </x:c>
      <x:c r="E212" s="28" t="str">
        <x:v>сочетание сладости, кислотности и иногда терпкости</x:v>
      </x:c>
      <x:c r="F212" s="28" t="str">
        <x:v>обычно слабый; кислота усиливает свежесть</x:v>
      </x:c>
      <x:c r="G212" s="28" t="str">
        <x:v>водная пектиновая; антоцианы влияют на цвет, но не являются главными одорантами</x:v>
      </x:c>
      <x:c r="H212" s="28" t="str">
        <x:v>заморозка разрушает клетки и облегчает экстракцию; нагрев переводит профиль в джемовый</x:v>
      </x:c>
      <x:c r="I212" s="28" t="n">
        <x:v>1</x:v>
      </x:c>
    </x:row>
    <x:row r="213" ht="50" customHeight="1">
      <x:c r="A213" s="28" t="str">
        <x:v>шиитаке</x:v>
      </x:c>
      <x:c r="B213" s="28" t="str">
        <x:v>Прочее</x:v>
      </x:c>
      <x:c r="C213" s="28" t="str">
        <x:v>комплексный</x:v>
      </x:c>
      <x:c r="D213" s="28" t="str">
        <x:v>не конкретизированы</x:v>
      </x:c>
      <x:c r="E213" s="28" t="str">
        <x:v>зависит от ингредиента</x:v>
      </x:c>
      <x:c r="F213" s="28" t="str">
        <x:v>обычно отсутствует; зависит от конкретного продукта</x:v>
      </x:c>
      <x:c r="G213" s="28" t="str">
        <x:v>механизм зависит от конкретного продукта</x:v>
      </x:c>
      <x:c r="H213" s="28" t="str">
        <x:v>Справочный групповой профиль; для точного состава конкретного сорта или бренда нужен инструментальный анализ.</x:v>
      </x:c>
      <x:c r="I213" s="28" t="n">
        <x:v>2</x:v>
      </x:c>
    </x:row>
    <x:row r="214" ht="50" customHeight="1">
      <x:c r="A214" s="28" t="str">
        <x:v>шнитт-лук</x:v>
      </x:c>
      <x:c r="B214" s="28" t="str">
        <x:v>Травы, листья и цветы</x:v>
      </x:c>
      <x:c r="C214" s="28" t="str">
        <x:v>зелёный, цветочный, цитрусовый или анисовый</x:v>
      </x:c>
      <x:c r="D214" s="28" t="str">
        <x:v>терпены, линалоол, гераниол, эвгенол, анетол, C6-альдегиды</x:v>
      </x:c>
      <x:c r="E214" s="28" t="str">
        <x:v>обычно слабая горечь и свежесть</x:v>
      </x:c>
      <x:c r="F214" s="28" t="str">
        <x:v>часто охлаждение/покалывание у мяты и хвои</x:v>
      </x:c>
      <x:c r="G214" s="28" t="str">
        <x:v>эфирные масла гидрофобны и лучше экстрагируются жиром или этанолом</x:v>
      </x:c>
      <x:c r="H214" s="28" t="str"/>
      <x:c r="I214" s="28" t="n">
        <x:v>2</x:v>
      </x:c>
    </x:row>
    <x:row r="215" ht="50" customHeight="1">
      <x:c r="A215" s="28" t="str">
        <x:v>шоколад</x:v>
      </x:c>
      <x:c r="B215" s="28" t="str">
        <x:v>Чай, кофе и какао</x:v>
      </x:c>
      <x:c r="C215" s="28" t="str">
        <x:v>какао, жареный, ореховый и фруктовый</x:v>
      </x:c>
      <x:c r="D215" s="28" t="str">
        <x:v>пиразины, альдегиды Стреккера, фураны</x:v>
      </x:c>
      <x:c r="E215" s="28" t="str">
        <x:v>горечь, терпкость и жареная сладость</x:v>
      </x:c>
      <x:c r="F215" s="28" t="str">
        <x:v>кофеин и терпкость создают сухость, но прямой тройничный эффект умерен</x:v>
      </x:c>
      <x:c r="G215" s="28" t="str">
        <x:v>водные настои извлекают полифенолы; жир и сахар смягчают горечь</x:v>
      </x:c>
      <x:c r="H215" s="28" t="str">
        <x:v>степень обжарки или заваривания радикально меняет профиль</x:v>
      </x:c>
      <x:c r="I215" s="28" t="n">
        <x:v>4</x:v>
      </x:c>
    </x:row>
    <x:row r="216" ht="50" customHeight="1">
      <x:c r="A216" s="28" t="str">
        <x:v>эстрагон</x:v>
      </x:c>
      <x:c r="B216" s="28" t="str">
        <x:v>Травы и цветы</x:v>
      </x:c>
      <x:c r="C216" s="28" t="str">
        <x:v>зелёный, травянистый, цветочный</x:v>
      </x:c>
      <x:c r="D216" s="28" t="str">
        <x:v>гераниол, линалоол, терпены, эвгенол</x:v>
      </x:c>
      <x:c r="E216" s="28" t="str">
        <x:v>горьковатый, свежий</x:v>
      </x:c>
      <x:c r="F216" s="28" t="str">
        <x:v>обычно отсутствует; зависит от конкретного продукта</x:v>
      </x:c>
      <x:c r="G216" s="28" t="str">
        <x:v>летучие масла чувствительны к нагреву</x:v>
      </x:c>
      <x:c r="H216" s="28" t="str">
        <x:v>Справочный групповой профиль; для точного состава конкретного сорта или бренда нужен инструментальный анализ.</x:v>
      </x:c>
      <x:c r="I216" s="28" t="n">
        <x:v>2</x:v>
      </x:c>
    </x:row>
    <x:row r="217" ht="50" customHeight="1">
      <x:c r="A217" s="28" t="str">
        <x:v>яблоко</x:v>
      </x:c>
      <x:c r="B217" s="28" t="str">
        <x:v>Семечковые фрукты</x:v>
      </x:c>
      <x:c r="C217" s="28" t="str">
        <x:v>свежий фруктовый, зелёный, цветочный, пряный; профиль сильно зависит от сорта и зрелости</x:v>
      </x:c>
      <x:c r="D217" s="28" t="str">
        <x:v>гексилацетат, бутил ацетат, этил-2-метилбутират, гексаналь, транс-2-гексеналь, β-дамасценон</x:v>
      </x:c>
      <x:c r="E217" s="28" t="str">
        <x:v>сладость и яблочная кислота; иногда лёгкая терпкость кожицы</x:v>
      </x:c>
      <x:c r="F217" s="28" t="str">
        <x:v>кислотное покалывание зависит от плода; специальные эффекты указаны в паспорте</x:v>
      </x:c>
      <x:c r="G217" s="28" t="str">
        <x:v>водная, с пектином; низкое содержание жира; ароматические эфиры быстро теряются после разрезания</x:v>
      </x:c>
      <x:c r="H217" s="28" t="str">
        <x:v>окисление и потемнение после нарезки; слишком ранний сбор даёт слабый аромат; длительный нагрев превращает свежий профиль в печёный</x:v>
      </x:c>
      <x:c r="I217" s="28" t="n">
        <x:v>2</x:v>
      </x:c>
    </x:row>
    <x:row r="218" ht="50" customHeight="1">
      <x:c r="A218" s="28" t="str">
        <x:v>яблоко кокс оранж пиппин</x:v>
      </x:c>
      <x:c r="B218" s="28" t="str">
        <x:v>Фрукты</x:v>
      </x:c>
      <x:c r="C218" s="28" t="str">
        <x:v>фруктовый, цветочный, зелёный или тропический</x:v>
      </x:c>
      <x:c r="D218" s="28" t="str">
        <x:v>фруктовые эфиры, терпены, альдегиды и лактоны</x:v>
      </x:c>
      <x:c r="E218" s="28" t="str">
        <x:v>сладость и фруктовая кислотность</x:v>
      </x:c>
      <x:c r="F218" s="28" t="str">
        <x:v>обычно слабый</x:v>
      </x:c>
      <x:c r="G218" s="28" t="str">
        <x:v>преимущественно водно-пектиновая матрица</x:v>
      </x:c>
      <x:c r="H218" s="28" t="str"/>
      <x:c r="I218" s="28" t="n">
        <x:v>1</x:v>
      </x:c>
    </x:row>
    <x:row r="219" ht="50" customHeight="1">
      <x:c r="A219" s="28" t="str">
        <x:v>ягоды</x:v>
      </x:c>
      <x:c r="B219" s="28" t="str">
        <x:v>Прочее</x:v>
      </x:c>
      <x:c r="C219" s="28" t="str">
        <x:v>комплексный</x:v>
      </x:c>
      <x:c r="D219" s="28" t="str">
        <x:v>не конкретизированы</x:v>
      </x:c>
      <x:c r="E219" s="28" t="str">
        <x:v>зависит от ингредиента</x:v>
      </x:c>
      <x:c r="F219" s="28" t="str">
        <x:v>обычно отсутствует; зависит от конкретного продукта</x:v>
      </x:c>
      <x:c r="G219" s="28" t="str">
        <x:v>механизм зависит от конкретного продукта</x:v>
      </x:c>
      <x:c r="H219" s="28" t="str">
        <x:v>Справочный групповой профиль; для точного состава конкретного сорта или бренда нужен инструментальный анализ.</x:v>
      </x:c>
      <x:c r="I219" s="28" t="n">
        <x:v>1</x:v>
      </x:c>
    </x:row>
    <x:row r="220" ht="50" customHeight="1">
      <x:c r="A220" s="28" t="str">
        <x:v>ягоды можжевельника</x:v>
      </x:c>
      <x:c r="B220" s="28" t="str">
        <x:v>Прочее</x:v>
      </x:c>
      <x:c r="C220" s="28" t="str">
        <x:v>ароматический профиль зависит от конкретного ингредиента</x:v>
      </x:c>
      <x:c r="D220" s="28" t="str">
        <x:v>летучие соединения конкретного продукта</x:v>
      </x:c>
      <x:c r="E220" s="28" t="str">
        <x:v>сочетание оценивается по балансу сладости, кислоты, соли, горечи и умами</x:v>
      </x:c>
      <x:c r="F220" s="28" t="str">
        <x:v>возможен в зависимости от состава</x:v>
      </x:c>
      <x:c r="G220" s="28" t="str">
        <x:v>важны вода, жир, белок, сахар и температура</x:v>
      </x:c>
      <x:c r="H220" s="28" t="str">
        <x:v>требуется пробная сборка с учётом технологии</x:v>
      </x:c>
      <x:c r="I220" s="28" t="n">
        <x:v>2</x:v>
      </x:c>
    </x:row>
    <x:row r="221" ht="50" customHeight="1">
      <x:c r="A221" s="28" t="str">
        <x:v>японский соевый соус</x:v>
      </x:c>
      <x:c r="B221" s="28" t="str">
        <x:v>Ферментированные продукты, соусы и уксусы</x:v>
      </x:c>
      <x:c r="C221" s="28" t="str">
        <x:v>кислый, умами, ферментированный, солёный</x:v>
      </x:c>
      <x:c r="D221" s="28" t="str">
        <x:v>уксусная кислота, эфиры, аминокислотные и ферментационные соединения</x:v>
      </x:c>
      <x:c r="E221" s="28" t="str">
        <x:v>кислота, соль и умами</x:v>
      </x:c>
      <x:c r="F221" s="28" t="str">
        <x:v>кислота усиливает слюноотделение</x:v>
      </x:c>
      <x:c r="G221" s="28" t="str">
        <x:v>водная и солевая матрица; часть ароматов удерживается белком и сахаром</x:v>
      </x:c>
      <x:c r="H221" s="28" t="str"/>
      <x:c r="I221" s="28" t="n">
        <x:v>2</x:v>
      </x:c>
    </x:row>
  </x:sheetData>
  <x:conditionalFormatting sqref="I2:I221">
    <x:cfRule type="dataBar" priority="1">
      <x:dataBar>
        <x:cfvo type="min"/>
        <x:cfvo type="max"/>
        <x:color rgb="FF7C3F55"/>
      </x:dataBar>
      <x:extLst>
        <x:ext xmlns:x14="http://schemas.microsoft.com/office/spreadsheetml/2009/9/main" uri="{B025F937-C7B1-47D3-B67F-A62EFF666E3E}">
          <x14:id>{2372B28E-2C49-D436-8525-B5C5DB896F7B}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d1437ed6e29475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372B28E-2C49-D436-8525-B5C5DB896F7B}">
            <x14:dataBar gradient="1">
              <x14:cfvo type="min"/>
              <x14:cfvo type="max"/>
              <x14:fillColor rgb="FF7C3F55"/>
            </x14:dataBar>
          </x14:cfRule>
          <xm:sqref>I2:I221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0" hidden="0" customWidth="1"/>
    <x:col min="3" max="3" width="42" hidden="0" customWidth="1"/>
    <x:col min="4" max="4" width="55" hidden="0" customWidth="1"/>
    <x:col min="5" max="5" width="58" hidden="0" customWidth="1"/>
    <x:col min="6" max="6" width="52" hidden="0" customWidth="1"/>
  </x:cols>
  <x:sheetData>
    <x:row r="1">
      <x:c r="A1" s="20" t="str">
        <x:v>Соединение / группа</x:v>
      </x:c>
      <x:c r="B1" s="20" t="str">
        <x:v>Класс</x:v>
      </x:c>
      <x:c r="C1" s="20" t="str">
        <x:v>Аромат / эффект</x:v>
      </x:c>
      <x:c r="D1" s="20" t="str">
        <x:v>Поведение и растворимость</x:v>
      </x:c>
      <x:c r="E1" s="20" t="str">
        <x:v>Роль в сочетаниях</x:v>
      </x:c>
      <x:c r="F1" s="20" t="str">
        <x:v>Критическая точка</x:v>
      </x:c>
    </x:row>
    <x:row r="2" ht="58" customHeight="1">
      <x:c r="A2" s="28" t="str">
        <x:v>γ- и δ-декалактон</x:v>
      </x:c>
      <x:c r="B2" s="28" t="str">
        <x:v>Лактоны</x:v>
      </x:c>
      <x:c r="C2" s="28" t="str">
        <x:v>персиковый, сливочный, кокосовый</x:v>
      </x:c>
      <x:c r="D2" s="28" t="str">
        <x:v>гидрофобны; хорошо удерживаются жиром и этанолом; чувствительны к длительному открытому нагреву</x:v>
      </x:c>
      <x:c r="E2" s="28" t="str">
        <x:v>главный мост персика и нектарина с молочными продуктами, кокосом, орехами и выдержанными напитками</x:v>
      </x:c>
      <x:c r="F2" s="28" t="str">
        <x:v>концентрация зависит от сорта и зрелости; один лактон не описывает весь аромат</x:v>
      </x:c>
    </x:row>
    <x:row r="3" ht="58" customHeight="1">
      <x:c r="A3" s="28" t="str">
        <x:v>γ- и δ-додекалактон</x:v>
      </x:c>
      <x:c r="B3" s="28" t="str">
        <x:v>Лактоны</x:v>
      </x:c>
      <x:c r="C3" s="28" t="str">
        <x:v>сливочный, персиковый, жирно-фруктовый</x:v>
      </x:c>
      <x:c r="D3" s="28" t="str">
        <x:v>малорастворимы в воде, лучше проявляются в жире и спирте</x:v>
      </x:c>
      <x:c r="E3" s="28" t="str">
        <x:v>поддерживают сливочную часть профиля персика, абрикоса и гибридов</x:v>
      </x:c>
      <x:c r="F3" s="28" t="str">
        <x:v>избыток жира может замедлить высвобождение аромата</x:v>
      </x:c>
    </x:row>
    <x:row r="4" ht="58" customHeight="1">
      <x:c r="A4" s="28" t="str">
        <x:v>Бензальдегид</x:v>
      </x:c>
      <x:c r="B4" s="28" t="str">
        <x:v>Ароматический альдегид</x:v>
      </x:c>
      <x:c r="C4" s="28" t="str">
        <x:v>горький миндаль, марципан, вишнёвая косточка</x:v>
      </x:c>
      <x:c r="D4" s="28" t="str">
        <x:v>летучий; растворяется в спирте и жире; образуется при ферментативном распаде цианогенных гликозидов косточек</x:v>
      </x:c>
      <x:c r="E4" s="28" t="str">
        <x:v>связывает косточковые фрукты с миндалём, марципаном, корицей и частью выдержанных напитков</x:v>
      </x:c>
      <x:c r="F4" s="28" t="str">
        <x:v>сырые косточки абрикоса, персика и сливы могут выделять цианид; домашняя экстракция опасна</x:v>
      </x:c>
    </x:row>
    <x:row r="5" ht="58" customHeight="1">
      <x:c r="A5" s="28" t="str">
        <x:v>Линалоол</x:v>
      </x:c>
      <x:c r="B5" s="28" t="str">
        <x:v>Терпеновый спирт</x:v>
      </x:c>
      <x:c r="C5" s="28" t="str">
        <x:v>цветочный, цитрусовый, лавандовый</x:v>
      </x:c>
      <x:c r="D5" s="28" t="str">
        <x:v>гидрофобен и летуч; лучше сохраняется при холодной мацерации</x:v>
      </x:c>
      <x:c r="E5" s="28" t="str">
        <x:v>объясняет связи абрикоса и персика с цветами, травами, цитрусом и чаем</x:v>
      </x:c>
      <x:c r="F5" s="28" t="str">
        <x:v>быстро теряется при открытом кипячении и длительном хранении на воздухе</x:v>
      </x:c>
    </x:row>
    <x:row r="6" ht="58" customHeight="1">
      <x:c r="A6" s="28" t="str">
        <x:v>Гераниол и цитронеллол</x:v>
      </x:c>
      <x:c r="B6" s="28" t="str">
        <x:v>Терпеновые спирты</x:v>
      </x:c>
      <x:c r="C6" s="28" t="str">
        <x:v>роза, герань, цитрусовый цветок</x:v>
      </x:c>
      <x:c r="D6" s="28" t="str">
        <x:v>лучше экстрагируются спиртом и жиром</x:v>
      </x:c>
      <x:c r="E6" s="28" t="str">
        <x:v>поддерживают цветочные сочетания абрикоса с розой, лавандой и ароматными травами</x:v>
      </x:c>
      <x:c r="F6" s="28" t="str">
        <x:v>в высокой дозе создают парфюмерный эффект</x:v>
      </x:c>
    </x:row>
    <x:row r="7" ht="58" customHeight="1">
      <x:c r="A7" s="28" t="str">
        <x:v>β-Ионон и дамасценон</x:v>
      </x:c>
      <x:c r="B7" s="28" t="str">
        <x:v>Норизопреноиды</x:v>
      </x:c>
      <x:c r="C7" s="28" t="str">
        <x:v>фиалка, роза, тёмные фрукты, чай</x:v>
      </x:c>
      <x:c r="D7" s="28" t="str">
        <x:v>очень низкие пороги восприятия; гидрофобны</x:v>
      </x:c>
      <x:c r="E7" s="28" t="str">
        <x:v>создают мосты с ягодами, чаем, вином и цветочными ингредиентами</x:v>
      </x:c>
      <x:c r="F7" s="28" t="str">
        <x:v>следовые концентрации дают сильный эффект; количественные значения зависят от сорта</x:v>
      </x:c>
    </x:row>
    <x:row r="8" ht="58" customHeight="1">
      <x:c r="A8" s="28" t="str">
        <x:v>Фруктовые эфиры</x:v>
      </x:c>
      <x:c r="B8" s="28" t="str">
        <x:v>Эфиры</x:v>
      </x:c>
      <x:c r="C8" s="28" t="str">
        <x:v>сочный фрукт, груша, ананас, банан, вино</x:v>
      </x:c>
      <x:c r="D8" s="28" t="str">
        <x:v>летучи; быстро теряются при кипячении; хорошо воспринимаются в холодных напитках</x:v>
      </x:c>
      <x:c r="E8" s="28" t="str">
        <x:v>создают непрерывность между косточковыми, семечковыми, ягодами и тропическими плодами</x:v>
      </x:c>
      <x:c r="F8" s="28" t="str">
        <x:v>длительный нагрев и окисление делают профиль плоским</x:v>
      </x:c>
    </x:row>
    <x:row r="9" ht="58" customHeight="1">
      <x:c r="A9" s="28" t="str">
        <x:v>C6-альдегиды и спирты</x:v>
      </x:c>
      <x:c r="B9" s="28" t="str">
        <x:v>Зелёные летучие соединения</x:v>
      </x:c>
      <x:c r="C9" s="28" t="str">
        <x:v>срезанная трава, зелёная кожица, листья</x:v>
      </x:c>
      <x:c r="D9" s="28" t="str">
        <x:v>очень летучи и чувствительны к окислению</x:v>
      </x:c>
      <x:c r="E9" s="28" t="str">
        <x:v>связывают незрелые и свежие косточковые с травами, огурцом, зелёными овощами и оливковым маслом</x:v>
      </x:c>
      <x:c r="F9" s="28" t="str">
        <x:v>при избытке создают незрелый, травянистый профиль</x:v>
      </x:c>
    </x:row>
    <x:row r="10" ht="58" customHeight="1">
      <x:c r="A10" s="28" t="str">
        <x:v>Эвгенол</x:v>
      </x:c>
      <x:c r="B10" s="28" t="str">
        <x:v>Фенилпропаноид</x:v>
      </x:c>
      <x:c r="C10" s="28" t="str">
        <x:v>гвоздика, древесность, пряность</x:v>
      </x:c>
      <x:c r="D10" s="28" t="str">
        <x:v>гидрофобен; хорошо переходит в спирт и жир</x:v>
      </x:c>
      <x:c r="E10" s="28" t="str">
        <x:v>поддерживает сочетания персика и сливы с гвоздикой, корицей, базиликом и выдержанными напитками</x:v>
      </x:c>
      <x:c r="F10" s="28" t="str">
        <x:v>быстро доминирует; требуется малая дозировка</x:v>
      </x:c>
    </x:row>
    <x:row r="11" ht="58" customHeight="1">
      <x:c r="A11" s="28" t="str">
        <x:v>Анетол</x:v>
      </x:c>
      <x:c r="B11" s="28" t="str">
        <x:v>Фенилпропаноид</x:v>
      </x:c>
      <x:c r="C11" s="28" t="str">
        <x:v>анис, лакрица, фенхель</x:v>
      </x:c>
      <x:c r="D11" s="28" t="str">
        <x:v>гидрофобен; мутнеет в разбавленных спиртовых системах</x:v>
      </x:c>
      <x:c r="E11" s="28" t="str">
        <x:v>даёт пряный мост к сливе, персику и нектарину</x:v>
      </x:c>
      <x:c r="F11" s="28" t="str">
        <x:v>может маскировать тонкие фруктовые лактоны</x:v>
      </x:c>
    </x:row>
    <x:row r="12" ht="58" customHeight="1">
      <x:c r="A12" s="28" t="str">
        <x:v>Пиразины</x:v>
      </x:c>
      <x:c r="B12" s="28" t="str">
        <x:v>Гетероциклические соединения Майяра</x:v>
      </x:c>
      <x:c r="C12" s="28" t="str">
        <x:v>жареный орех, хлебная корка, какао</x:v>
      </x:c>
      <x:c r="D12" s="28" t="str">
        <x:v>образуются при обжарке; устойчивее свежих фруктовых эфиров</x:v>
      </x:c>
      <x:c r="E12" s="28" t="str">
        <x:v>соединяют запечённые косточковые с орехами, шоколадом, хлебом и жареным мясом</x:v>
      </x:c>
      <x:c r="F12" s="28" t="str">
        <x:v>сильная обжарка переводит композицию из фруктовой в жареную</x:v>
      </x:c>
    </x:row>
    <x:row r="13" ht="58" customHeight="1">
      <x:c r="A13" s="28" t="str">
        <x:v>Фурфурол и 5-метилфурфурол</x:v>
      </x:c>
      <x:c r="B13" s="28" t="str">
        <x:v>Фураны</x:v>
      </x:c>
      <x:c r="C13" s="28" t="str">
        <x:v>карамель, сухофрукты, хлеб, миндаль</x:v>
      </x:c>
      <x:c r="D13" s="28" t="str">
        <x:v>образуются при сушке и нагреве сахаров</x:v>
      </x:c>
      <x:c r="E13" s="28" t="str">
        <x:v>важны для чернослива, кураги, джемов, выпечки и выдержанного алкоголя</x:v>
      </x:c>
      <x:c r="F13" s="28" t="str">
        <x:v>не являются маркерами свежего плода; избыток указывает на сильную термообработку</x:v>
      </x:c>
    </x:row>
    <x:row r="14" ht="58" customHeight="1">
      <x:c r="A14" s="28" t="str">
        <x:v>Мальтол</x:v>
      </x:c>
      <x:c r="B14" s="28" t="str">
        <x:v>Кислородсодержащий гетероцикл</x:v>
      </x:c>
      <x:c r="C14" s="28" t="str">
        <x:v>карамель, сахарная вата, печёный хлеб</x:v>
      </x:c>
      <x:c r="D14" s="28" t="str">
        <x:v>водорастворим; усиливается при нагреве</x:v>
      </x:c>
      <x:c r="E14" s="28" t="str">
        <x:v>поддерживает сочетания сухофруктов с карамелью, шоколадом и выпечкой</x:v>
      </x:c>
      <x:c r="F14" s="28" t="str">
        <x:v>переслащивание скрывает кислотность и цветочные ноты</x:v>
      </x:c>
    </x:row>
    <x:row r="15" ht="58" customHeight="1">
      <x:c r="A15" s="28" t="str">
        <x:v>Капсаициноиды</x:v>
      </x:c>
      <x:c r="B15" s="28" t="str">
        <x:v>Амидами фенольного ряда</x:v>
      </x:c>
      <x:c r="C15" s="28" t="str">
        <x:v>почти без запаха; эффект жжения</x:v>
      </x:c>
      <x:c r="D15" s="28" t="str">
        <x:v>жирорастворимы; вода плохо снимает жжение</x:v>
      </x:c>
      <x:c r="E15" s="28" t="str">
        <x:v>создают тройничный контраст с сочной сладостью персика, абрикоса и сливы</x:v>
      </x:c>
      <x:c r="F15" s="28" t="str">
        <x:v>острота нарастает после выдержки и может полностью подавить аромат плода</x:v>
      </x:c>
    </x:row>
    <x:row r="16" ht="58" customHeight="1">
      <x:c r="A16" s="28" t="str">
        <x:v>Пиперин</x:v>
      </x:c>
      <x:c r="B16" s="28" t="str">
        <x:v>Алкалоид</x:v>
      </x:c>
      <x:c r="C16" s="28" t="str">
        <x:v>перечный, древесный; покалывание</x:v>
      </x:c>
      <x:c r="D16" s="28" t="str">
        <x:v>лучше растворяется в спирте и жире, чем в воде</x:v>
      </x:c>
      <x:c r="E16" s="28" t="str">
        <x:v>чёрный и белый перец усиливают цветочно-фруктовый профиль за счёт контраста</x:v>
      </x:c>
      <x:c r="F16" s="28" t="str">
        <x:v>избыток создаёт сухое и грубое послевкусие</x:v>
      </x:c>
    </x:row>
    <x:row r="17" ht="58" customHeight="1">
      <x:c r="A17" s="28" t="str">
        <x:v>Антоцианы</x:v>
      </x:c>
      <x:c r="B17" s="28" t="str">
        <x:v>Нелетучие полифенольные пигменты</x:v>
      </x:c>
      <x:c r="C17" s="28" t="str">
        <x:v>не являются основным источником запаха</x:v>
      </x:c>
      <x:c r="D17" s="28" t="str">
        <x:v>цвет зависит от pH; чувствительны к теплу, кислороду и свету</x:v>
      </x:c>
      <x:c r="E17" s="28" t="str">
        <x:v>определяют цвет кожицы тёмных слив и часть терпкости</x:v>
      </x:c>
      <x:c r="F17" s="28" t="str">
        <x:v>нельзя использовать как объяснение ароматического сходства</x:v>
      </x:c>
    </x:row>
    <x:row r="18" ht="58" customHeight="1">
      <x:c r="A18" s="28" t="str">
        <x:v>Цианогенные гликозиды</x:v>
      </x:c>
      <x:c r="B18" s="28" t="str">
        <x:v>Защитные растительные метаболиты</x:v>
      </x:c>
      <x:c r="C18" s="28" t="str">
        <x:v>сами по себе не являются желательным ароматическим компонентом</x:v>
      </x:c>
      <x:c r="D18" s="28" t="str">
        <x:v>при повреждении и контакте с ферментами могут приводить к образованию бензальдегида и цианида</x:v>
      </x:c>
      <x:c r="E18" s="28" t="str">
        <x:v>объясняют миндальный запах косточек после разрушения тканей</x:v>
      </x:c>
      <x:c r="F18" s="28" t="str">
        <x:v>косточки абрикоса, персика и сливы не подходят для домашней неконтролируемой экстракции</x:v>
      </x:c>
    </x:row>
  </x:sheetData>
  <x:pageMargins left="0.7" right="0.7" top="0.75" bottom="0.75" header="0.3" footer="0.3"/>
  <x:tableParts count="1">
    <x:tablePart xmlns:r="http://schemas.openxmlformats.org/officeDocument/2006/relationships" r:id="Rcd3f6973078f4c9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5" hidden="0" customWidth="1"/>
    <x:col min="3" max="3" width="63" hidden="0" customWidth="1"/>
  </x:cols>
  <x:sheetData>
    <x:row r="1" ht="34" customHeight="1">
      <x:c r="A1" s="4" t="str">
        <x:v>МЕТОДИКА СБОРКИ И ОГРАНИЧЕНИЯ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20" t="str">
        <x:v>Этап</x:v>
      </x:c>
      <x:c r="B4" s="20" t="str">
        <x:v>Что выполнено</x:v>
      </x:c>
    </x:row>
    <x:row r="5" ht="48" customHeight="1">
      <x:c r="A5" s="28" t="str">
        <x:v>1. Извлечение</x:v>
      </x:c>
      <x:c r="B5" s="28" t="str">
        <x:v>Из трёх PDF извлечены статьи, перекрёстные ссылки, строки таблиц, прямые pairings и связи со страниц профилей Foodpairing.</x:v>
      </x:c>
    </x:row>
    <x:row r="6" ht="48" customHeight="1">
      <x:c r="A6" s="28" t="str">
        <x:v>2. Обратные связи</x:v>
      </x:c>
      <x:c r="B6" s="28" t="str">
        <x:v>Учтены не только строки «абрикос → партнёр», но и случаи, когда косточковый ингредиент указан в профиле другого продукта.</x:v>
      </x:c>
    </x:row>
    <x:row r="7" ht="48" customHeight="1">
      <x:c r="A7" s="28" t="str">
        <x:v>3. Очистка</x:v>
      </x:c>
      <x:c r="B7" s="28" t="str">
        <x:v>Направления A — B и B — A сведены в одну пару; прямые дубли удалены; оригинальные названия сохранены.</x:v>
      </x:c>
    </x:row>
    <x:row r="8" ht="48" customHeight="1">
      <x:c r="A8" s="28" t="str">
        <x:v>4. Границы фрагмента</x:v>
      </x:c>
      <x:c r="B8" s="28" t="str">
        <x:v>Вишня и черешня оставлены в ягодной части; манго, кокос и авокадо — в тропической части. Здесь они могут встречаться только как партнёры.</x:v>
      </x:c>
    </x:row>
    <x:row r="9" ht="48" customHeight="1">
      <x:c r="A9" s="28" t="str">
        <x:v>5. Профили</x:v>
      </x:c>
      <x:c r="B9" s="28" t="str">
        <x:v>Для косточковых собраны лактоны, бензальдегид, терпены, эфиры, зелёные альдегиды, норизопреноиды и свойства пищевой матрицы.</x:v>
      </x:c>
    </x:row>
    <x:row r="10" ht="48" customHeight="1">
      <x:c r="A10" s="28" t="str">
        <x:v>6. Общая молекула</x:v>
      </x:c>
      <x:c r="B10" s="28" t="str">
        <x:v>Конкретный одорант объявляется общим только при совпадении рабочих профилей. В остальных строках используется объяснение через семейства, вкус и матрицу.</x:v>
      </x:c>
    </x:row>
    <x:row r="11" ht="48" customHeight="1">
      <x:c r="A11" s="28" t="str">
        <x:v>7. Уверенность</x:v>
      </x:c>
      <x:c r="B11" s="28" t="str">
        <x:v>Высокая: несколько источников. Средняя: Foodpairing или статья «Тезауруса». Гипотеза: рекомендация только из компактной таблицы.</x:v>
      </x:c>
    </x:row>
    <x:row r="12" ht="48" customHeight="1">
      <x:c r="A12" s="28" t="str">
        <x:v>8. Практика</x:v>
      </x:c>
      <x:c r="B12" s="28" t="str">
        <x:v>Для каждой пары указаны применение, технологические риски, способ обработки и ингредиент-мост.</x:v>
      </x:c>
    </x:row>
    <x:row r="13" ht="48" customHeight="1">
      <x:c r="A13" s="28" t="str">
        <x:v>9. Безопасность</x:v>
      </x:c>
      <x:c r="B13" s="28" t="str">
        <x:v>Сырые косточки и ядра не рассматриваются как допустимый домашний ароматизатор из-за цианогенных гликозидов.</x:v>
      </x:c>
    </x:row>
    <x:row r="14" ht="48" customHeight="1">
      <x:c r="A14" s="28" t="str">
        <x:v>10. Валидация</x:v>
      </x:c>
      <x:c r="B14" s="28" t="str">
        <x:v>Перед внедрением нужна пробная сборка, дегустация при рабочей температуре и повторная оценка после выдержки.</x:v>
      </x:c>
    </x:row>
    <x:row r="16">
      <x:c r="A16" s="36" t="str">
        <x:v>ОГРАНИЧЕНИЕ НАУЧНОГО СЛОЯ</x:v>
      </x:c>
      <x:c r="B16" s="36"/>
      <x:c r="C16" s="36"/>
      <x:c r="D16" s="36"/>
      <x:c r="E16" s="36"/>
      <x:c r="F16" s="36"/>
      <x:c r="G16" s="36"/>
      <x:c r="H16" s="36"/>
    </x:row>
    <x:row r="17" ht="108" customHeight="1">
      <x:c r="A17" s="43" t="str">
        <x:v>Энциклопедия не является количественным GC–MS-анализом конкретной партии продукта. Концентрация лактонов, эфиров, бензальдегида, линалоола и зелёных альдегидов зависит от сорта, зрелости, происхождения, хранения и технологии. Поэтому научное объяснение описывает наиболее вероятный механизм и уровень уверенности, но не заменяет сенсорную проверку.
Важное различие: летучие молекулы создают запах, органические кислоты формируют кислотность, а нелетучие полифенолы и антоцианы влияют преимущественно на цвет, горечь и терпкость.</x:v>
      </x:c>
      <x:c r="B17" s="43"/>
      <x:c r="C17" s="43"/>
      <x:c r="D17" s="43"/>
      <x:c r="E17" s="43"/>
      <x:c r="F17" s="43"/>
      <x:c r="G17" s="43"/>
      <x:c r="H17" s="43"/>
    </x:row>
    <x:row r="18" ht="108" customHeight="1">
      <x:c r="A18" s="43"/>
      <x:c r="B18" s="43"/>
      <x:c r="C18" s="43"/>
      <x:c r="D18" s="43"/>
      <x:c r="E18" s="43"/>
      <x:c r="F18" s="43"/>
      <x:c r="G18" s="43"/>
      <x:c r="H18" s="43"/>
    </x:row>
    <x:row r="19" ht="108" customHeight="1">
      <x:c r="A19" s="43"/>
      <x:c r="B19" s="43"/>
      <x:c r="C19" s="43"/>
      <x:c r="D19" s="43"/>
      <x:c r="E19" s="43"/>
      <x:c r="F19" s="43"/>
      <x:c r="G19" s="43"/>
      <x:c r="H19" s="43"/>
    </x:row>
    <x:row r="20" ht="108" customHeight="1">
      <x:c r="A20" s="43"/>
      <x:c r="B20" s="43"/>
      <x:c r="C20" s="43"/>
      <x:c r="D20" s="43"/>
      <x:c r="E20" s="43"/>
      <x:c r="F20" s="43"/>
      <x:c r="G20" s="43"/>
      <x:c r="H20" s="43"/>
    </x:row>
    <x:row r="21" ht="108" customHeight="1">
      <x:c r="A21" s="43"/>
      <x:c r="B21" s="43"/>
      <x:c r="C21" s="43"/>
      <x:c r="D21" s="43"/>
      <x:c r="E21" s="43"/>
      <x:c r="F21" s="43"/>
      <x:c r="G21" s="43"/>
      <x:c r="H21" s="43"/>
    </x:row>
    <x:row r="22" ht="108" customHeight="1">
      <x:c r="A22" s="43"/>
      <x:c r="B22" s="43"/>
      <x:c r="C22" s="43"/>
      <x:c r="D22" s="43"/>
      <x:c r="E22" s="43"/>
      <x:c r="F22" s="43"/>
      <x:c r="G22" s="43"/>
      <x:c r="H22" s="43"/>
    </x:row>
    <x:row r="23" ht="108" customHeight="1">
      <x:c r="A23" s="43"/>
      <x:c r="B23" s="43"/>
      <x:c r="C23" s="43"/>
      <x:c r="D23" s="43"/>
      <x:c r="E23" s="43"/>
      <x:c r="F23" s="43"/>
      <x:c r="G23" s="43"/>
      <x:c r="H23" s="43"/>
    </x:row>
    <x:row r="24" ht="108" customHeight="1">
      <x:c r="A24" s="43"/>
      <x:c r="B24" s="43"/>
      <x:c r="C24" s="43"/>
      <x:c r="D24" s="43"/>
      <x:c r="E24" s="43"/>
      <x:c r="F24" s="43"/>
      <x:c r="G24" s="43"/>
      <x:c r="H24" s="43"/>
    </x:row>
    <x:row r="25" ht="108" customHeight="1">
      <x:c r="A25" s="43"/>
      <x:c r="B25" s="43"/>
      <x:c r="C25" s="43"/>
      <x:c r="D25" s="43"/>
      <x:c r="E25" s="43"/>
      <x:c r="F25" s="43"/>
      <x:c r="G25" s="43"/>
      <x:c r="H25" s="43"/>
    </x:row>
    <x:row r="27">
      <x:c r="A27" s="20" t="str">
        <x:v>Источник</x:v>
      </x:c>
      <x:c r="B27" s="20" t="str">
        <x:v>Файл</x:v>
      </x:c>
      <x:c r="C27" s="20" t="str">
        <x:v>Что использовано</x:v>
      </x:c>
    </x:row>
    <x:row r="28">
      <x:c r="A28" s="28" t="str">
        <x:v>Ники Сегнит</x:v>
      </x:c>
      <x:c r="B28" s="28" t="str">
        <x:v>Тезариус вкусов (Ники Сегнит)(1).pdf</x:v>
      </x:c>
      <x:c r="C28" s="28" t="str">
        <x:v>Статьи о парах, рецептуры, культурные и сенсорные наблюдения</x:v>
      </x:c>
    </x:row>
    <x:row r="29">
      <x:c r="A29" s="28" t="str">
        <x:v>Coucquyt / Lahousse / Langenbick</x:v>
      </x:c>
      <x:c r="B29" s="28" t="str">
        <x:v>The Art &amp; Science of Foodpairing.pdf</x:v>
      </x:c>
      <x:c r="C29" s="28" t="str">
        <x:v>Аромапрофили, ключевые молекулы, прямые и потенциальные pairings</x:v>
      </x:c>
    </x:row>
    <x:row r="30">
      <x:c r="A30" s="28" t="str">
        <x:v>Таблица сочетаний</x:v>
      </x:c>
      <x:c r="B30" s="28" t="str">
        <x:v>Таблица сочетания(1).pdf</x:v>
      </x:c>
      <x:c r="C30" s="28" t="str">
        <x:v>Компактные рекомендованные сочетания и обратные связи</x:v>
      </x:c>
    </x:row>
  </x:sheetData>
  <x:mergeCells>
    <x:mergeCell ref="A1:H2"/>
    <x:mergeCell ref="A16:H16"/>
    <x:mergeCell ref="A17:H25"/>
  </x:mergeCells>
  <x:pageMargins left="0.7" right="0.7" top="0.75" bottom="0.75" header="0.3" footer="0.3"/>
</x:worksheet>
</file>